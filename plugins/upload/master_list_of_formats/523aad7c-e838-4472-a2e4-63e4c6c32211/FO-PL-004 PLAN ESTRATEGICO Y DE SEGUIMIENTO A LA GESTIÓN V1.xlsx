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sistente.calidad\Downloads\"/>
    </mc:Choice>
  </mc:AlternateContent>
  <bookViews>
    <workbookView xWindow="0" yWindow="0" windowWidth="28800" windowHeight="11130" tabRatio="758" activeTab="5"/>
  </bookViews>
  <sheets>
    <sheet name="Convencionales" sheetId="11" r:id="rId1"/>
    <sheet name="BaseSalarial" sheetId="15" state="hidden" r:id="rId2"/>
    <sheet name="ADM" sheetId="17" state="hidden" r:id="rId3"/>
    <sheet name="PRE" sheetId="13" state="hidden" r:id="rId4"/>
    <sheet name="POS" sheetId="24" state="hidden" r:id="rId5"/>
    <sheet name="CONSOLIDADO" sheetId="35" r:id="rId6"/>
    <sheet name="ANALISIS MACROS" sheetId="36" r:id="rId7"/>
    <sheet name="Analisis Proyectos" sheetId="37" r:id="rId8"/>
    <sheet name="Analisis tipo de Impacto" sheetId="38" r:id="rId9"/>
    <sheet name="M&amp;E" sheetId="23" state="hidden" r:id="rId10"/>
    <sheet name="RES" sheetId="18" state="hidden" r:id="rId11"/>
    <sheet name="velGrap" sheetId="34"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xlnm._FilterDatabase" localSheetId="7" hidden="1">'Analisis Proyectos'!$B$1:$C$195</definedName>
    <definedName name="_xlnm._FilterDatabase" localSheetId="8" hidden="1">'Analisis tipo de Impacto'!$B$2:$C$5</definedName>
    <definedName name="_xlnm._FilterDatabase" localSheetId="5" hidden="1">CONSOLIDADO!$A$5:$V$338</definedName>
    <definedName name="_xlnm._FilterDatabase" localSheetId="0" hidden="1">Convencionales!$A$2:$G$78</definedName>
    <definedName name="AER">Convencionales!#REF!</definedName>
    <definedName name="_xlnm.Print_Area" localSheetId="10">RES!$A$1:$L$55</definedName>
    <definedName name="ASC">Convencionales!#REF!</definedName>
    <definedName name="BIN">Convencionales!#REF!</definedName>
    <definedName name="EST">Convencionales!#REF!</definedName>
    <definedName name="FIN">Convencionales!#REF!</definedName>
    <definedName name="ICA">Convencionales!#REF!</definedName>
    <definedName name="IMS">Convencionales!#REF!</definedName>
    <definedName name="MIS">Convencionales!#REF!</definedName>
    <definedName name="OBE">Convencionales!$I$3:$I$17</definedName>
    <definedName name="OGA">Convencionales!#REF!</definedName>
    <definedName name="PAC">Convencionales!#REF!</definedName>
    <definedName name="PRF">Convencionales!#REF!</definedName>
    <definedName name="RAI">Convencionales!#REF!</definedName>
    <definedName name="THM">Convencionales!#REF!</definedName>
    <definedName name="VNI">Convencionales!#REF!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38" l="1"/>
  <c r="C5" i="38"/>
  <c r="C3" i="38"/>
  <c r="C57" i="36"/>
  <c r="C58" i="36"/>
  <c r="C59" i="36"/>
  <c r="C60" i="36"/>
  <c r="C25" i="36"/>
  <c r="C26" i="36"/>
  <c r="C27" i="36"/>
  <c r="C28" i="36"/>
  <c r="C29" i="36"/>
  <c r="C30" i="36"/>
  <c r="C31" i="36"/>
  <c r="C32" i="36"/>
  <c r="C33" i="36"/>
  <c r="C34" i="36"/>
  <c r="C35" i="36"/>
  <c r="C36" i="36"/>
  <c r="C37" i="36"/>
  <c r="C38" i="36"/>
  <c r="C39" i="36"/>
  <c r="C40" i="36"/>
  <c r="C41" i="36"/>
  <c r="C42" i="36"/>
  <c r="C43" i="36"/>
  <c r="C44" i="36"/>
  <c r="C45" i="36"/>
  <c r="C46" i="36"/>
  <c r="C47" i="36"/>
  <c r="C48" i="36"/>
  <c r="C49" i="36"/>
  <c r="C50" i="36"/>
  <c r="C51" i="36"/>
  <c r="C52" i="36"/>
  <c r="C53" i="36"/>
  <c r="C54" i="36"/>
  <c r="C55" i="36"/>
  <c r="C61" i="36"/>
  <c r="C62" i="36"/>
  <c r="C63" i="36"/>
  <c r="C64" i="36"/>
  <c r="C65" i="36"/>
  <c r="C66" i="36"/>
  <c r="C67" i="36"/>
  <c r="C68" i="36"/>
  <c r="C69" i="36"/>
  <c r="C70" i="36"/>
  <c r="C71" i="36"/>
  <c r="C72" i="36"/>
  <c r="C73" i="36"/>
  <c r="C74" i="36"/>
  <c r="C75" i="36"/>
  <c r="C76" i="36"/>
  <c r="C77" i="36"/>
  <c r="C78" i="36"/>
  <c r="C79" i="36"/>
  <c r="C80" i="36"/>
  <c r="C81" i="36"/>
  <c r="C82" i="36"/>
  <c r="C83" i="36"/>
  <c r="C84" i="36"/>
  <c r="C85" i="36"/>
  <c r="C86" i="36"/>
  <c r="C87" i="36"/>
  <c r="C88" i="36"/>
  <c r="C89" i="36"/>
  <c r="C90" i="36"/>
  <c r="C91" i="36"/>
  <c r="C92" i="36"/>
  <c r="C93" i="36"/>
  <c r="C94" i="36"/>
  <c r="C95" i="36"/>
  <c r="C96" i="36"/>
  <c r="C97" i="36"/>
  <c r="C98" i="36"/>
  <c r="C99" i="36"/>
  <c r="C100" i="36"/>
  <c r="C101" i="36"/>
  <c r="C102" i="36"/>
  <c r="C103" i="36"/>
  <c r="C104" i="36"/>
  <c r="C105" i="36"/>
  <c r="C106" i="36"/>
  <c r="C107" i="36"/>
  <c r="C108" i="36"/>
  <c r="C109" i="36"/>
  <c r="C110" i="36"/>
  <c r="C111" i="36"/>
  <c r="C112" i="36"/>
  <c r="C113" i="36"/>
  <c r="C114" i="36"/>
  <c r="C115" i="36"/>
  <c r="C116" i="36"/>
  <c r="C117" i="36"/>
  <c r="C118" i="36"/>
  <c r="C119" i="36"/>
  <c r="C120" i="36"/>
  <c r="C121" i="36"/>
  <c r="C122" i="36"/>
  <c r="C123" i="36"/>
  <c r="C124" i="36"/>
  <c r="C125" i="36"/>
  <c r="C126" i="36"/>
  <c r="C127" i="36"/>
  <c r="C128" i="36"/>
  <c r="C129" i="36"/>
  <c r="C130" i="36"/>
  <c r="C131" i="36"/>
  <c r="C132" i="36"/>
  <c r="C133" i="36"/>
  <c r="C134" i="36"/>
  <c r="C135" i="36"/>
  <c r="C136" i="36"/>
  <c r="C137" i="36"/>
  <c r="C138" i="36"/>
  <c r="C139" i="36"/>
  <c r="C140" i="36"/>
  <c r="C141" i="36"/>
  <c r="C142" i="36"/>
  <c r="C143" i="36"/>
  <c r="C144" i="36"/>
  <c r="C145" i="36"/>
  <c r="C146" i="36"/>
  <c r="C147" i="36"/>
  <c r="C148" i="36"/>
  <c r="C149" i="36"/>
  <c r="C150" i="36"/>
  <c r="C151" i="36"/>
  <c r="C152" i="36"/>
  <c r="C153" i="36"/>
  <c r="C154" i="36"/>
  <c r="C155" i="36"/>
  <c r="C156" i="36"/>
  <c r="C157" i="36"/>
  <c r="C158" i="36"/>
  <c r="C159" i="36"/>
  <c r="C160" i="36"/>
  <c r="C161" i="36"/>
  <c r="C162" i="36"/>
  <c r="C163" i="36"/>
  <c r="C164" i="36"/>
  <c r="C165" i="36"/>
  <c r="C166" i="36"/>
  <c r="C167" i="36"/>
  <c r="C168" i="36"/>
  <c r="C169" i="36"/>
  <c r="C170" i="36"/>
  <c r="C171" i="36"/>
  <c r="C172" i="36"/>
  <c r="C173" i="36"/>
  <c r="C174" i="36"/>
  <c r="C175" i="36"/>
  <c r="C176" i="36"/>
  <c r="C177" i="36"/>
  <c r="C178" i="36"/>
  <c r="C179" i="36"/>
  <c r="C180" i="36"/>
  <c r="C181" i="36"/>
  <c r="C182" i="36"/>
  <c r="C183" i="36"/>
  <c r="C184" i="36"/>
  <c r="C185" i="36"/>
  <c r="C186" i="36"/>
  <c r="C187" i="36"/>
  <c r="C188" i="36"/>
  <c r="C189" i="36"/>
  <c r="C190" i="36"/>
  <c r="C191" i="36"/>
  <c r="C192" i="36"/>
  <c r="C193" i="36"/>
  <c r="C194" i="36"/>
  <c r="C195" i="36"/>
  <c r="C196" i="36"/>
  <c r="C197" i="36"/>
  <c r="C198" i="36"/>
  <c r="C199" i="36"/>
  <c r="C200" i="36"/>
  <c r="C201" i="36"/>
  <c r="C202" i="36"/>
  <c r="C203" i="36"/>
  <c r="C204" i="36"/>
  <c r="C205" i="36"/>
  <c r="C206" i="36"/>
  <c r="C207" i="36"/>
  <c r="C208" i="36"/>
  <c r="C209" i="36"/>
  <c r="C210" i="36"/>
  <c r="C211" i="36"/>
  <c r="C212" i="36"/>
  <c r="C213" i="36"/>
  <c r="C214" i="36"/>
  <c r="C215" i="36"/>
  <c r="C23" i="36"/>
  <c r="C24" i="36"/>
  <c r="C22" i="36"/>
  <c r="C12" i="36"/>
  <c r="C13" i="36"/>
  <c r="C14" i="36"/>
  <c r="C15" i="36"/>
  <c r="C16" i="36"/>
  <c r="C17" i="36"/>
  <c r="C11" i="36"/>
  <c r="C3" i="36"/>
  <c r="C4" i="36"/>
  <c r="C5" i="36"/>
  <c r="C2" i="36"/>
  <c r="C6" i="38" l="1"/>
  <c r="C216" i="36"/>
  <c r="C36" i="37"/>
  <c r="C94" i="37"/>
  <c r="C105" i="37"/>
  <c r="C3" i="37"/>
  <c r="C4" i="37"/>
  <c r="C5" i="37"/>
  <c r="C6" i="37"/>
  <c r="C7" i="37"/>
  <c r="C8" i="37"/>
  <c r="C9" i="37"/>
  <c r="C10" i="37"/>
  <c r="C11" i="37"/>
  <c r="C12" i="37"/>
  <c r="C13" i="37"/>
  <c r="C14" i="37"/>
  <c r="C15" i="37"/>
  <c r="C16" i="37"/>
  <c r="C17" i="37"/>
  <c r="C18" i="37"/>
  <c r="C19" i="37"/>
  <c r="C20" i="37"/>
  <c r="C21" i="37"/>
  <c r="C22" i="37"/>
  <c r="C23" i="37"/>
  <c r="C24" i="37"/>
  <c r="C25" i="37"/>
  <c r="C26" i="37"/>
  <c r="C27" i="37"/>
  <c r="C28" i="37"/>
  <c r="C29" i="37"/>
  <c r="C30" i="37"/>
  <c r="C31" i="37"/>
  <c r="C32" i="37"/>
  <c r="C33" i="37"/>
  <c r="C34" i="37"/>
  <c r="C35" i="37"/>
  <c r="C37" i="37"/>
  <c r="C38" i="37"/>
  <c r="C39" i="37"/>
  <c r="C40" i="37"/>
  <c r="C41" i="37"/>
  <c r="C42" i="37"/>
  <c r="C43" i="37"/>
  <c r="C44" i="37"/>
  <c r="C45" i="37"/>
  <c r="C46" i="37"/>
  <c r="C47" i="37"/>
  <c r="C48" i="37"/>
  <c r="C49" i="37"/>
  <c r="C50" i="37"/>
  <c r="C51" i="37"/>
  <c r="C52" i="37"/>
  <c r="C53" i="37"/>
  <c r="C54" i="37"/>
  <c r="C55" i="37"/>
  <c r="C56" i="37"/>
  <c r="C57" i="37"/>
  <c r="C58" i="37"/>
  <c r="C59" i="37"/>
  <c r="C60" i="37"/>
  <c r="C61" i="37"/>
  <c r="C62" i="37"/>
  <c r="C63" i="37"/>
  <c r="C64" i="37"/>
  <c r="C65" i="37"/>
  <c r="C66" i="37"/>
  <c r="C67" i="37"/>
  <c r="C68" i="37"/>
  <c r="C69" i="37"/>
  <c r="C70" i="37"/>
  <c r="C71" i="37"/>
  <c r="C72" i="37"/>
  <c r="C73" i="37"/>
  <c r="C74" i="37"/>
  <c r="C75" i="37"/>
  <c r="C76" i="37"/>
  <c r="C77" i="37"/>
  <c r="C78" i="37"/>
  <c r="C79" i="37"/>
  <c r="C80" i="37"/>
  <c r="C81" i="37"/>
  <c r="C82" i="37"/>
  <c r="C83" i="37"/>
  <c r="C84" i="37"/>
  <c r="C85" i="37"/>
  <c r="C86" i="37"/>
  <c r="C87" i="37"/>
  <c r="C88" i="37"/>
  <c r="C89" i="37"/>
  <c r="C90" i="37"/>
  <c r="C91" i="37"/>
  <c r="C92" i="37"/>
  <c r="C93" i="37"/>
  <c r="C95" i="37"/>
  <c r="C96" i="37"/>
  <c r="C97" i="37"/>
  <c r="C98" i="37"/>
  <c r="C99" i="37"/>
  <c r="C100" i="37"/>
  <c r="C101" i="37"/>
  <c r="C102" i="37"/>
  <c r="C103" i="37"/>
  <c r="C104" i="37"/>
  <c r="C106" i="37"/>
  <c r="C107" i="37"/>
  <c r="C108" i="37"/>
  <c r="C109" i="37"/>
  <c r="C110" i="37"/>
  <c r="C111" i="37"/>
  <c r="C112" i="37"/>
  <c r="C113" i="37"/>
  <c r="C114" i="37"/>
  <c r="C115" i="37"/>
  <c r="C116" i="37"/>
  <c r="C117" i="37"/>
  <c r="C118" i="37"/>
  <c r="C119" i="37"/>
  <c r="C120" i="37"/>
  <c r="C121" i="37"/>
  <c r="C122" i="37"/>
  <c r="C123" i="37"/>
  <c r="C124" i="37"/>
  <c r="C125" i="37"/>
  <c r="C126" i="37"/>
  <c r="C127" i="37"/>
  <c r="C128" i="37"/>
  <c r="C129" i="37"/>
  <c r="C130" i="37"/>
  <c r="C131" i="37"/>
  <c r="C132" i="37"/>
  <c r="C133" i="37"/>
  <c r="C134" i="37"/>
  <c r="C135" i="37"/>
  <c r="C136" i="37"/>
  <c r="C137" i="37"/>
  <c r="C138" i="37"/>
  <c r="C139" i="37"/>
  <c r="C140" i="37"/>
  <c r="C141" i="37"/>
  <c r="C142" i="37"/>
  <c r="C143" i="37"/>
  <c r="C144" i="37"/>
  <c r="C145" i="37"/>
  <c r="C146" i="37"/>
  <c r="C147" i="37"/>
  <c r="C148" i="37"/>
  <c r="C149" i="37"/>
  <c r="C150" i="37"/>
  <c r="C151" i="37"/>
  <c r="C152" i="37"/>
  <c r="C153" i="37"/>
  <c r="C154" i="37"/>
  <c r="C155" i="37"/>
  <c r="C156" i="37"/>
  <c r="C157" i="37"/>
  <c r="C158" i="37"/>
  <c r="C159" i="37"/>
  <c r="C160" i="37"/>
  <c r="C161" i="37"/>
  <c r="C162" i="37"/>
  <c r="C163" i="37"/>
  <c r="C164" i="37"/>
  <c r="C165" i="37"/>
  <c r="C166" i="37"/>
  <c r="C167" i="37"/>
  <c r="C168" i="37"/>
  <c r="C169" i="37"/>
  <c r="C170" i="37"/>
  <c r="C171" i="37"/>
  <c r="C172" i="37"/>
  <c r="C173" i="37"/>
  <c r="C174" i="37"/>
  <c r="C175" i="37"/>
  <c r="C176" i="37"/>
  <c r="C177" i="37"/>
  <c r="C178" i="37"/>
  <c r="C179" i="37"/>
  <c r="C180" i="37"/>
  <c r="C181" i="37"/>
  <c r="C182" i="37"/>
  <c r="C183" i="37"/>
  <c r="C184" i="37"/>
  <c r="C185" i="37"/>
  <c r="C186" i="37"/>
  <c r="C187" i="37"/>
  <c r="C188" i="37"/>
  <c r="C189" i="37"/>
  <c r="C190" i="37"/>
  <c r="C191" i="37"/>
  <c r="C192" i="37"/>
  <c r="C193" i="37"/>
  <c r="C194" i="37"/>
  <c r="C195" i="37"/>
  <c r="C2" i="37"/>
  <c r="C18" i="36"/>
  <c r="D12" i="36" s="1"/>
  <c r="C6" i="36"/>
  <c r="D3" i="36" s="1"/>
  <c r="C196" i="37" l="1"/>
  <c r="D11" i="36"/>
  <c r="D17" i="36"/>
  <c r="D15" i="36"/>
  <c r="D14" i="36"/>
  <c r="D16" i="36"/>
  <c r="D13" i="36"/>
  <c r="D4" i="36"/>
  <c r="D2" i="36"/>
  <c r="D5" i="36"/>
  <c r="B11" i="34"/>
  <c r="N14" i="34" l="1"/>
  <c r="N15" i="34" s="1"/>
  <c r="G42" i="18"/>
  <c r="F42" i="18"/>
  <c r="J14" i="34"/>
  <c r="J15" i="34" s="1"/>
  <c r="G41" i="18"/>
  <c r="F41" i="18"/>
  <c r="F14" i="34"/>
  <c r="F15" i="34" s="1"/>
  <c r="G40" i="18"/>
  <c r="F40" i="18"/>
  <c r="I40" i="18" l="1"/>
  <c r="J40" i="18"/>
  <c r="I42" i="18"/>
  <c r="J42" i="18"/>
  <c r="J41" i="18"/>
  <c r="G19" i="34"/>
  <c r="F19" i="34"/>
  <c r="I41" i="18"/>
  <c r="O19" i="34"/>
  <c r="N19" i="34"/>
  <c r="J19" i="34"/>
  <c r="K19" i="34"/>
  <c r="B14" i="34"/>
  <c r="B15" i="34" s="1"/>
  <c r="C19" i="34" l="1"/>
  <c r="B19" i="34"/>
  <c r="L48" i="13"/>
  <c r="J47" i="13"/>
  <c r="I47" i="13"/>
  <c r="J46" i="13"/>
  <c r="I46" i="13"/>
  <c r="J45" i="13"/>
  <c r="I45" i="13"/>
  <c r="J44" i="13"/>
  <c r="I44" i="13"/>
  <c r="J43" i="13"/>
  <c r="I43" i="13"/>
  <c r="J42" i="13"/>
  <c r="I42" i="13"/>
  <c r="J41" i="13"/>
  <c r="I41" i="13"/>
  <c r="J40" i="13"/>
  <c r="I40" i="13"/>
  <c r="J39" i="13"/>
  <c r="I39" i="13"/>
  <c r="J38" i="13"/>
  <c r="I38" i="13"/>
  <c r="J48" i="13" l="1"/>
  <c r="J31" i="18" s="1"/>
  <c r="I48" i="13"/>
  <c r="I31" i="18" s="1"/>
  <c r="H17" i="24"/>
  <c r="G17" i="24"/>
  <c r="H16" i="24"/>
  <c r="G16" i="24"/>
  <c r="H15" i="24"/>
  <c r="G15" i="24"/>
  <c r="H14" i="24"/>
  <c r="G14" i="24"/>
  <c r="H13" i="24"/>
  <c r="G13" i="24"/>
  <c r="H12" i="24"/>
  <c r="G12" i="24"/>
  <c r="H11" i="24"/>
  <c r="G11" i="24"/>
  <c r="H10" i="24"/>
  <c r="G10" i="24"/>
  <c r="H9" i="24"/>
  <c r="G9" i="24"/>
  <c r="H8" i="24"/>
  <c r="G8" i="24"/>
  <c r="H7" i="24"/>
  <c r="G7" i="24"/>
  <c r="H6" i="24"/>
  <c r="G6" i="24"/>
  <c r="H5" i="24"/>
  <c r="G5" i="24"/>
  <c r="H4" i="24"/>
  <c r="G4" i="24"/>
  <c r="H3" i="24"/>
  <c r="G47" i="13" l="1"/>
  <c r="F47" i="13"/>
  <c r="G46" i="13"/>
  <c r="F46" i="13"/>
  <c r="G45" i="13"/>
  <c r="F45" i="13"/>
  <c r="G44" i="13"/>
  <c r="F44" i="13"/>
  <c r="G43" i="13"/>
  <c r="F43" i="13"/>
  <c r="G42" i="13"/>
  <c r="F42" i="13"/>
  <c r="G41" i="13"/>
  <c r="F41" i="13"/>
  <c r="G40" i="13"/>
  <c r="F40" i="13"/>
  <c r="G39" i="13"/>
  <c r="F39" i="13"/>
  <c r="D32" i="13"/>
  <c r="F32" i="13" s="1"/>
  <c r="F31" i="13"/>
  <c r="D31" i="13"/>
  <c r="G31" i="13" s="1"/>
  <c r="D30" i="13"/>
  <c r="F30" i="13" s="1"/>
  <c r="D29" i="13"/>
  <c r="G29" i="13" s="1"/>
  <c r="G28" i="13"/>
  <c r="D28" i="13"/>
  <c r="F28" i="13" s="1"/>
  <c r="D27" i="13"/>
  <c r="G27" i="13" s="1"/>
  <c r="D26" i="13"/>
  <c r="G26" i="13" s="1"/>
  <c r="D25" i="13"/>
  <c r="G25" i="13" s="1"/>
  <c r="D24" i="13"/>
  <c r="F24" i="13" s="1"/>
  <c r="I24" i="13" s="1"/>
  <c r="J32" i="13"/>
  <c r="I32" i="13"/>
  <c r="J31" i="13"/>
  <c r="I31" i="13"/>
  <c r="J30" i="13"/>
  <c r="I30" i="13"/>
  <c r="J29" i="13"/>
  <c r="I29" i="13"/>
  <c r="J28" i="13"/>
  <c r="I28" i="13"/>
  <c r="J27" i="13"/>
  <c r="I27" i="13"/>
  <c r="J26" i="13"/>
  <c r="I26" i="13"/>
  <c r="J25" i="13"/>
  <c r="I25" i="13"/>
  <c r="J23" i="13"/>
  <c r="L33" i="13"/>
  <c r="J17" i="17"/>
  <c r="I17" i="17"/>
  <c r="J16" i="17"/>
  <c r="I16" i="17"/>
  <c r="J15" i="17"/>
  <c r="I15" i="17"/>
  <c r="J14" i="17"/>
  <c r="I14" i="17"/>
  <c r="J13" i="17"/>
  <c r="I13" i="17"/>
  <c r="J12" i="17"/>
  <c r="I12" i="17"/>
  <c r="J11" i="17"/>
  <c r="I11" i="17"/>
  <c r="J10" i="17"/>
  <c r="I10" i="17"/>
  <c r="J9" i="17"/>
  <c r="I9" i="17"/>
  <c r="J8" i="17"/>
  <c r="I8" i="17"/>
  <c r="J7" i="17"/>
  <c r="I7" i="17"/>
  <c r="J6" i="17"/>
  <c r="I6" i="17"/>
  <c r="G24" i="13" l="1"/>
  <c r="J24" i="13" s="1"/>
  <c r="J33" i="13" s="1"/>
  <c r="J30" i="18" s="1"/>
  <c r="F27" i="13"/>
  <c r="G32" i="13"/>
  <c r="F26" i="13"/>
  <c r="F25" i="13"/>
  <c r="F29" i="13"/>
  <c r="G30" i="13"/>
  <c r="G17" i="13"/>
  <c r="F17" i="13"/>
  <c r="G16" i="13"/>
  <c r="F16" i="13"/>
  <c r="G15" i="13"/>
  <c r="F15" i="13"/>
  <c r="G14" i="13"/>
  <c r="F14" i="13"/>
  <c r="G13" i="13"/>
  <c r="F13" i="13"/>
  <c r="G12" i="13"/>
  <c r="F12" i="13"/>
  <c r="G11" i="13"/>
  <c r="F11" i="13"/>
  <c r="G10" i="13"/>
  <c r="F10" i="13"/>
  <c r="G9" i="13"/>
  <c r="F9" i="13"/>
  <c r="G8" i="13"/>
  <c r="F8" i="13"/>
  <c r="G7" i="13"/>
  <c r="F7" i="13"/>
  <c r="G6" i="13"/>
  <c r="F6" i="13"/>
  <c r="F5" i="13"/>
  <c r="G17" i="17" l="1"/>
  <c r="H17" i="17" s="1"/>
  <c r="G16" i="17"/>
  <c r="H16" i="17" s="1"/>
  <c r="G15" i="17"/>
  <c r="H15" i="17" s="1"/>
  <c r="G14" i="17"/>
  <c r="H14" i="17" s="1"/>
  <c r="G13" i="17"/>
  <c r="H13" i="17" s="1"/>
  <c r="G12" i="17"/>
  <c r="H12" i="17" s="1"/>
  <c r="G11" i="17"/>
  <c r="H11" i="17" s="1"/>
  <c r="G10" i="17"/>
  <c r="H10" i="17" s="1"/>
  <c r="G9" i="17"/>
  <c r="H9" i="17" s="1"/>
  <c r="G8" i="17"/>
  <c r="H8" i="17" s="1"/>
  <c r="G7" i="17"/>
  <c r="H7" i="17" s="1"/>
  <c r="G6" i="17"/>
  <c r="H6" i="17" s="1"/>
  <c r="G5" i="17"/>
  <c r="G4" i="17"/>
  <c r="G3" i="17"/>
  <c r="L44" i="23" l="1"/>
  <c r="L29" i="23"/>
  <c r="L14" i="23"/>
  <c r="M18" i="24"/>
  <c r="L18" i="13"/>
  <c r="O18" i="17"/>
  <c r="J43" i="23" l="1"/>
  <c r="I43" i="23"/>
  <c r="J42" i="23"/>
  <c r="I42" i="23"/>
  <c r="J41" i="23"/>
  <c r="I41" i="23"/>
  <c r="J40" i="23"/>
  <c r="I40" i="23"/>
  <c r="J39" i="23"/>
  <c r="I39" i="23"/>
  <c r="J38" i="23"/>
  <c r="I38" i="23"/>
  <c r="J37" i="23"/>
  <c r="I37" i="23"/>
  <c r="J36" i="23"/>
  <c r="I36" i="23"/>
  <c r="J35" i="23"/>
  <c r="I35" i="23"/>
  <c r="J34" i="23"/>
  <c r="I34" i="23"/>
  <c r="J28" i="23"/>
  <c r="I28" i="23"/>
  <c r="J27" i="23"/>
  <c r="I27" i="23"/>
  <c r="J26" i="23"/>
  <c r="I26" i="23"/>
  <c r="J25" i="23"/>
  <c r="I25" i="23"/>
  <c r="J24" i="23"/>
  <c r="I24" i="23"/>
  <c r="J23" i="23"/>
  <c r="I23" i="23"/>
  <c r="J22" i="23"/>
  <c r="I22" i="23"/>
  <c r="J21" i="23"/>
  <c r="I21" i="23"/>
  <c r="J20" i="23"/>
  <c r="I20" i="23"/>
  <c r="J19" i="23"/>
  <c r="I19" i="23"/>
  <c r="K41" i="18" l="1"/>
  <c r="G44" i="23"/>
  <c r="I44" i="23"/>
  <c r="J44" i="23"/>
  <c r="I29" i="23"/>
  <c r="J29" i="23"/>
  <c r="F44" i="23" l="1"/>
  <c r="G29" i="23"/>
  <c r="F29" i="23"/>
  <c r="H41" i="18"/>
  <c r="B8" i="18" l="1"/>
  <c r="K40" i="18" l="1"/>
  <c r="B17" i="24"/>
  <c r="F17" i="24" s="1"/>
  <c r="B16" i="24"/>
  <c r="F16" i="24" s="1"/>
  <c r="B15" i="24"/>
  <c r="F15" i="24" s="1"/>
  <c r="B14" i="24"/>
  <c r="F14" i="24" s="1"/>
  <c r="B13" i="24"/>
  <c r="F13" i="24" s="1"/>
  <c r="B12" i="24"/>
  <c r="F12" i="24" s="1"/>
  <c r="B11" i="24"/>
  <c r="F11" i="24" s="1"/>
  <c r="B10" i="24"/>
  <c r="F10" i="24" s="1"/>
  <c r="B9" i="24"/>
  <c r="F9" i="24" s="1"/>
  <c r="B8" i="24"/>
  <c r="F8" i="24" s="1"/>
  <c r="B7" i="24"/>
  <c r="F7" i="24" s="1"/>
  <c r="B6" i="24"/>
  <c r="F6" i="24" s="1"/>
  <c r="B5" i="24"/>
  <c r="F5" i="24" s="1"/>
  <c r="B4" i="24"/>
  <c r="F4" i="24" s="1"/>
  <c r="B3" i="24"/>
  <c r="F3" i="24" s="1"/>
  <c r="G3" i="24" s="1"/>
  <c r="J4" i="24"/>
  <c r="K4" i="24"/>
  <c r="J5" i="24"/>
  <c r="K5" i="24"/>
  <c r="J6" i="24"/>
  <c r="K6" i="24"/>
  <c r="J7" i="24"/>
  <c r="K7" i="24"/>
  <c r="J8" i="24"/>
  <c r="K8" i="24"/>
  <c r="J9" i="24"/>
  <c r="K9" i="24"/>
  <c r="J10" i="24"/>
  <c r="K10" i="24"/>
  <c r="J11" i="24"/>
  <c r="K11" i="24"/>
  <c r="J12" i="24"/>
  <c r="K12" i="24"/>
  <c r="J13" i="24"/>
  <c r="K13" i="24"/>
  <c r="J14" i="24"/>
  <c r="K14" i="24"/>
  <c r="J15" i="24"/>
  <c r="K15" i="24"/>
  <c r="J16" i="24"/>
  <c r="J17" i="24"/>
  <c r="K17" i="24"/>
  <c r="H40" i="18" l="1"/>
  <c r="K42" i="18"/>
  <c r="H42" i="18"/>
  <c r="K16" i="24"/>
  <c r="J3" i="24"/>
  <c r="F18" i="24"/>
  <c r="K3" i="24" l="1"/>
  <c r="H18" i="24"/>
  <c r="G32" i="18" s="1"/>
  <c r="G18" i="24"/>
  <c r="F32" i="18" s="1"/>
  <c r="J18" i="24"/>
  <c r="I32" i="18" s="1"/>
  <c r="H32" i="18" l="1"/>
  <c r="K18" i="24"/>
  <c r="J32" i="18" s="1"/>
  <c r="K32" i="18" l="1"/>
  <c r="B16" i="18"/>
  <c r="D58" i="15"/>
  <c r="E58" i="15" s="1"/>
  <c r="D57" i="15"/>
  <c r="E57" i="15" s="1"/>
  <c r="D56" i="15"/>
  <c r="E56" i="15" s="1"/>
  <c r="D55" i="15"/>
  <c r="E55" i="15" s="1"/>
  <c r="G39" i="18" l="1"/>
  <c r="G43" i="18" s="1"/>
  <c r="F39" i="18"/>
  <c r="F43" i="18" s="1"/>
  <c r="J13" i="23"/>
  <c r="I13" i="23"/>
  <c r="J12" i="23"/>
  <c r="I12" i="23"/>
  <c r="J11" i="23"/>
  <c r="I11" i="23"/>
  <c r="H39" i="18" l="1"/>
  <c r="H43" i="18" s="1"/>
  <c r="F60" i="18" s="1"/>
  <c r="D54" i="15"/>
  <c r="E54" i="15" s="1"/>
  <c r="D53" i="15"/>
  <c r="E53" i="15" s="1"/>
  <c r="D52" i="15"/>
  <c r="E52" i="15" s="1"/>
  <c r="D51" i="15"/>
  <c r="E51" i="15" s="1"/>
  <c r="D50" i="15"/>
  <c r="E50" i="15" s="1"/>
  <c r="H3" i="17" s="1"/>
  <c r="G14" i="23" l="1"/>
  <c r="G49" i="18" s="1"/>
  <c r="F14" i="23"/>
  <c r="F49" i="18" s="1"/>
  <c r="J10" i="23"/>
  <c r="I10" i="23"/>
  <c r="J9" i="23"/>
  <c r="I9" i="23"/>
  <c r="J8" i="23"/>
  <c r="I8" i="23"/>
  <c r="J7" i="23"/>
  <c r="I7" i="23"/>
  <c r="J6" i="23"/>
  <c r="I6" i="23"/>
  <c r="J5" i="23"/>
  <c r="I5" i="23"/>
  <c r="J4" i="23"/>
  <c r="I4" i="23"/>
  <c r="H49" i="18" l="1"/>
  <c r="F61" i="18" s="1"/>
  <c r="I14" i="23"/>
  <c r="I49" i="18" s="1"/>
  <c r="J14" i="23"/>
  <c r="J49" i="18" s="1"/>
  <c r="K49" i="18" l="1"/>
  <c r="G61" i="18" s="1"/>
  <c r="D49" i="15" l="1"/>
  <c r="E49" i="15" s="1"/>
  <c r="D48" i="15"/>
  <c r="E48" i="15" s="1"/>
  <c r="D47" i="15"/>
  <c r="E47" i="15" s="1"/>
  <c r="D46" i="15"/>
  <c r="E46" i="15" s="1"/>
  <c r="D45" i="15"/>
  <c r="E45" i="15" s="1"/>
  <c r="D44" i="15"/>
  <c r="E44" i="15" s="1"/>
  <c r="D43" i="15"/>
  <c r="E43" i="15" s="1"/>
  <c r="D42" i="15"/>
  <c r="E42" i="15" s="1"/>
  <c r="D41" i="15"/>
  <c r="E41" i="15" s="1"/>
  <c r="D40" i="15"/>
  <c r="E40" i="15" s="1"/>
  <c r="D39" i="15"/>
  <c r="E39" i="15" s="1"/>
  <c r="D38" i="15"/>
  <c r="E38" i="15" s="1"/>
  <c r="D37" i="15"/>
  <c r="E37" i="15" s="1"/>
  <c r="D36" i="15"/>
  <c r="E36" i="15" s="1"/>
  <c r="D35" i="15"/>
  <c r="E35" i="15" s="1"/>
  <c r="D34" i="15"/>
  <c r="E34" i="15" s="1"/>
  <c r="D33" i="15"/>
  <c r="E33" i="15" s="1"/>
  <c r="D32" i="15"/>
  <c r="E32" i="15" s="1"/>
  <c r="D9" i="15" l="1"/>
  <c r="C47" i="13" l="1"/>
  <c r="D47" i="13" s="1"/>
  <c r="C39" i="13"/>
  <c r="D39" i="13" s="1"/>
  <c r="C46" i="13"/>
  <c r="D46" i="13" s="1"/>
  <c r="C38" i="13"/>
  <c r="D38" i="13" s="1"/>
  <c r="C42" i="13"/>
  <c r="D42" i="13" s="1"/>
  <c r="C45" i="13"/>
  <c r="D45" i="13" s="1"/>
  <c r="C44" i="13"/>
  <c r="D44" i="13" s="1"/>
  <c r="C43" i="13"/>
  <c r="D43" i="13" s="1"/>
  <c r="C41" i="13"/>
  <c r="D41" i="13" s="1"/>
  <c r="C40" i="13"/>
  <c r="D40" i="13" s="1"/>
  <c r="G38" i="13"/>
  <c r="G48" i="13" s="1"/>
  <c r="G31" i="18" s="1"/>
  <c r="F38" i="13"/>
  <c r="F48" i="13" s="1"/>
  <c r="F31" i="18" s="1"/>
  <c r="D7" i="15"/>
  <c r="D8" i="15" s="1"/>
  <c r="G16" i="15"/>
  <c r="H16" i="15" s="1"/>
  <c r="I16" i="15" s="1"/>
  <c r="G15" i="15"/>
  <c r="H15" i="15" s="1"/>
  <c r="I15" i="15" s="1"/>
  <c r="G14" i="15"/>
  <c r="H14" i="15" s="1"/>
  <c r="I14" i="15" s="1"/>
  <c r="G13" i="15"/>
  <c r="H13" i="15" s="1"/>
  <c r="D15" i="13"/>
  <c r="D14" i="13"/>
  <c r="D13" i="13"/>
  <c r="D12" i="13"/>
  <c r="D11" i="13"/>
  <c r="D10" i="13"/>
  <c r="D9" i="13"/>
  <c r="D8" i="13"/>
  <c r="D7" i="13"/>
  <c r="D6" i="13"/>
  <c r="D16" i="15"/>
  <c r="E16" i="15" s="1"/>
  <c r="D15" i="15"/>
  <c r="E15" i="15" s="1"/>
  <c r="D14" i="15"/>
  <c r="E14" i="15" s="1"/>
  <c r="F14" i="15" s="1"/>
  <c r="D13" i="15"/>
  <c r="E13" i="15" s="1"/>
  <c r="F13" i="15" s="1"/>
  <c r="D20" i="15"/>
  <c r="E20" i="15" s="1"/>
  <c r="D3" i="13" l="1"/>
  <c r="G3" i="13" s="1"/>
  <c r="I13" i="15"/>
  <c r="K14" i="15"/>
  <c r="K16" i="15"/>
  <c r="K15" i="15"/>
  <c r="D16" i="13"/>
  <c r="F16" i="15"/>
  <c r="J15" i="15"/>
  <c r="J16" i="15"/>
  <c r="D17" i="13"/>
  <c r="F15" i="15"/>
  <c r="J14" i="15"/>
  <c r="D4" i="13"/>
  <c r="D5" i="13"/>
  <c r="G5" i="13" s="1"/>
  <c r="K13" i="15" l="1"/>
  <c r="D23" i="13"/>
  <c r="F3" i="13"/>
  <c r="G4" i="13"/>
  <c r="G18" i="13" s="1"/>
  <c r="G29" i="18" s="1"/>
  <c r="F4" i="13"/>
  <c r="J13" i="15"/>
  <c r="F18" i="13" l="1"/>
  <c r="F29" i="18" s="1"/>
  <c r="G23" i="13"/>
  <c r="G33" i="13" s="1"/>
  <c r="G30" i="18" s="1"/>
  <c r="G33" i="18" s="1"/>
  <c r="F23" i="13"/>
  <c r="J17" i="13"/>
  <c r="I17" i="13"/>
  <c r="J16" i="13"/>
  <c r="I16" i="13"/>
  <c r="J15" i="13"/>
  <c r="I15" i="13"/>
  <c r="J14" i="13"/>
  <c r="I14" i="13"/>
  <c r="J13" i="13"/>
  <c r="I13" i="13"/>
  <c r="J12" i="13"/>
  <c r="I12" i="13"/>
  <c r="J11" i="13"/>
  <c r="I11" i="13"/>
  <c r="J9" i="13"/>
  <c r="I9" i="13"/>
  <c r="J7" i="13"/>
  <c r="I7" i="13"/>
  <c r="J6" i="13"/>
  <c r="J5" i="13"/>
  <c r="I5" i="13"/>
  <c r="I4" i="13"/>
  <c r="I23" i="13" l="1"/>
  <c r="I33" i="13" s="1"/>
  <c r="I30" i="18" s="1"/>
  <c r="F33" i="13"/>
  <c r="F30" i="18" s="1"/>
  <c r="F33" i="18" s="1"/>
  <c r="D31" i="15"/>
  <c r="E31" i="15" s="1"/>
  <c r="L11" i="17"/>
  <c r="M16" i="17"/>
  <c r="M15" i="17"/>
  <c r="M14" i="17"/>
  <c r="M13" i="17"/>
  <c r="M10" i="17"/>
  <c r="M9" i="17"/>
  <c r="M8" i="17"/>
  <c r="L16" i="17"/>
  <c r="L15" i="17"/>
  <c r="L14" i="17"/>
  <c r="L13" i="17"/>
  <c r="L10" i="17"/>
  <c r="L9" i="17"/>
  <c r="L8" i="17"/>
  <c r="H31" i="18" l="1"/>
  <c r="B12" i="18"/>
  <c r="M11" i="17"/>
  <c r="H30" i="18" l="1"/>
  <c r="K31" i="18"/>
  <c r="M17" i="17"/>
  <c r="L17" i="17"/>
  <c r="M12" i="17"/>
  <c r="L12" i="17"/>
  <c r="L6" i="17"/>
  <c r="L4" i="17"/>
  <c r="M4" i="17"/>
  <c r="M7" i="17"/>
  <c r="L7" i="17"/>
  <c r="M6" i="17" l="1"/>
  <c r="K30" i="18"/>
  <c r="D30" i="15" l="1"/>
  <c r="E30" i="15" s="1"/>
  <c r="D29" i="15"/>
  <c r="E29" i="15" s="1"/>
  <c r="D28" i="15"/>
  <c r="E28" i="15" s="1"/>
  <c r="D27" i="15"/>
  <c r="E27" i="15" s="1"/>
  <c r="D26" i="15"/>
  <c r="E26" i="15" s="1"/>
  <c r="D25" i="15"/>
  <c r="E25" i="15" s="1"/>
  <c r="D24" i="15"/>
  <c r="E24" i="15" s="1"/>
  <c r="D23" i="15"/>
  <c r="E23" i="15" s="1"/>
  <c r="D22" i="15"/>
  <c r="E22" i="15" s="1"/>
  <c r="D21" i="15"/>
  <c r="E21" i="15" s="1"/>
  <c r="H4" i="17" l="1"/>
  <c r="J4" i="17" s="1"/>
  <c r="H5" i="17"/>
  <c r="J3" i="17"/>
  <c r="I3" i="17"/>
  <c r="I39" i="18"/>
  <c r="I43" i="18" s="1"/>
  <c r="J39" i="18"/>
  <c r="J43" i="18" s="1"/>
  <c r="I6" i="13"/>
  <c r="J4" i="13"/>
  <c r="I4" i="17" l="1"/>
  <c r="J5" i="17"/>
  <c r="M5" i="17" s="1"/>
  <c r="I5" i="17"/>
  <c r="L5" i="17" s="1"/>
  <c r="M3" i="17"/>
  <c r="L3" i="17"/>
  <c r="K39" i="18"/>
  <c r="K43" i="18" s="1"/>
  <c r="G60" i="18" s="1"/>
  <c r="I3" i="13"/>
  <c r="I10" i="13"/>
  <c r="J10" i="13"/>
  <c r="J3" i="13"/>
  <c r="L18" i="17" l="1"/>
  <c r="I24" i="18" s="1"/>
  <c r="I18" i="17"/>
  <c r="F24" i="18" s="1"/>
  <c r="M18" i="17"/>
  <c r="J24" i="18" s="1"/>
  <c r="J18" i="17"/>
  <c r="G24" i="18" s="1"/>
  <c r="I8" i="13"/>
  <c r="I18" i="13" s="1"/>
  <c r="I29" i="18" s="1"/>
  <c r="I33" i="18" s="1"/>
  <c r="J8" i="13"/>
  <c r="J18" i="13" s="1"/>
  <c r="J29" i="18" s="1"/>
  <c r="J33" i="18" s="1"/>
  <c r="K24" i="18" l="1"/>
  <c r="G58" i="18" s="1"/>
  <c r="H24" i="18"/>
  <c r="F58" i="18" s="1"/>
  <c r="J54" i="18"/>
  <c r="I54" i="18"/>
  <c r="G54" i="18"/>
  <c r="K29" i="18"/>
  <c r="K33" i="18" s="1"/>
  <c r="G59" i="18" s="1"/>
  <c r="K54" i="18" l="1"/>
  <c r="F54" i="18"/>
  <c r="H54" i="18" s="1"/>
  <c r="H29" i="18"/>
  <c r="H33" i="18" s="1"/>
  <c r="F59" i="18" s="1"/>
</calcChain>
</file>

<file path=xl/comments1.xml><?xml version="1.0" encoding="utf-8"?>
<comments xmlns="http://schemas.openxmlformats.org/spreadsheetml/2006/main">
  <authors>
    <author>DIRECCION PLANEACION</author>
  </authors>
  <commentList>
    <comment ref="J2" authorId="0" shapeId="0">
      <text>
        <r>
          <rPr>
            <b/>
            <sz val="9"/>
            <color indexed="81"/>
            <rFont val="Tahoma"/>
            <family val="2"/>
          </rPr>
          <t>DIRECCION PLANEACION:</t>
        </r>
        <r>
          <rPr>
            <sz val="9"/>
            <color indexed="81"/>
            <rFont val="Tahoma"/>
            <family val="2"/>
          </rPr>
          <t xml:space="preserve">
Ej1: Treinta y cinco (35) Docentes Formados
Ej2: Tres (3) articulos publicados en Q1
Ej3: Cinco (5) reuniones realizadas
Ej4: Tres (3) instrumentos aplicados
Ej 5: Cinco (5) docentes en movilidad Internacional</t>
        </r>
      </text>
    </comment>
    <comment ref="L5" authorId="0" shapeId="0">
      <text>
        <r>
          <rPr>
            <b/>
            <sz val="9"/>
            <color indexed="81"/>
            <rFont val="Tahoma"/>
            <family val="2"/>
          </rPr>
          <t xml:space="preserve">DIRECCION PLANEACION:
</t>
        </r>
        <r>
          <rPr>
            <sz val="9"/>
            <color indexed="81"/>
            <rFont val="Tahoma"/>
            <family val="2"/>
          </rPr>
          <t xml:space="preserve">
Ej1: Acta 002 Consejo de Facultad, reposa en archivo de la facultad.
Ej2: Pieza gráfica ubicada en el drive. https://fupedu-my.sharepoint.com/:w:/g/personal/planeacion_fup_edu_co/EZ_UO_YJ0jxAnyimQ545GRAB8tsPxGXbY5LOsi7Q3bvDXA.
Ej3: Documento análisis reposa en el drive https://fupedu-my.sharepoint.com/:w:/g/personal/planeacion_fup_edu_co/EZ_UO_YJ0jxAnyimQ958GRAB1tsPxGXbY5LOsi7Q1bv.
Ej4: Articulo denominado a las mejores prácticas mundiales en la revista Tecnologías emergentes, visible en https\www.prospectiva.com
</t>
        </r>
      </text>
    </comment>
    <comment ref="O5" authorId="0" shapeId="0">
      <text>
        <r>
          <rPr>
            <b/>
            <sz val="9"/>
            <color indexed="81"/>
            <rFont val="Tahoma"/>
            <family val="2"/>
          </rPr>
          <t xml:space="preserve">DIRECCION PLANEACION:
</t>
        </r>
        <r>
          <rPr>
            <sz val="9"/>
            <color indexed="81"/>
            <rFont val="Tahoma"/>
            <family val="2"/>
          </rPr>
          <t xml:space="preserve">
Ej1: Acta 002 Consejo de Facultad, reposa en archivo de la facultad.
Ej2: Pieza gráfica ubicada en el drive. https://fupedu-my.sharepoint.com/:w:/g/personal/planeacion_fup_edu_co/EZ_UO_YJ0jxAnyimQ545GRAB8tsPxGXbY5LOsi7Q3bvDXA.
Ej3: Documento análisis reposa en el drive https://fupedu-my.sharepoint.com/:w:/g/personal/planeacion_fup_edu_co/EZ_UO_YJ0jxAnyimQ958GRAB1tsPxGXbY5LOsi7Q1bv.
Ej4: Articulo denominado a las mejores prácticas mundiales en la revista Tecnologías emergentes, visible en https\www.prospectiva.com
</t>
        </r>
      </text>
    </comment>
    <comment ref="R5" authorId="0" shapeId="0">
      <text>
        <r>
          <rPr>
            <b/>
            <sz val="9"/>
            <color indexed="81"/>
            <rFont val="Tahoma"/>
            <family val="2"/>
          </rPr>
          <t xml:space="preserve">DIRECCION PLANEACION:
</t>
        </r>
        <r>
          <rPr>
            <sz val="9"/>
            <color indexed="81"/>
            <rFont val="Tahoma"/>
            <family val="2"/>
          </rPr>
          <t xml:space="preserve">
Ej1: Acta 002 Consejo de Facultad, reposa en archivo de la facultad.
Ej2: Pieza gráfica ubicada en el drive. https://fupedu-my.sharepoint.com/:w:/g/personal/planeacion_fup_edu_co/EZ_UO_YJ0jxAnyimQ545GRAB8tsPxGXbY5LOsi7Q3bvDXA.
Ej3: Documento análisis reposa en el drive https://fupedu-my.sharepoint.com/:w:/g/personal/planeacion_fup_edu_co/EZ_UO_YJ0jxAnyimQ958GRAB1tsPxGXbY5LOsi7Q1bv.
Ej4: Articulo denominado a las mejores prácticas mundiales en la revista Tecnologías emergentes, visible en https\www.prospectiva.com
</t>
        </r>
      </text>
    </comment>
    <comment ref="U5" authorId="0" shapeId="0">
      <text>
        <r>
          <rPr>
            <b/>
            <sz val="9"/>
            <color indexed="81"/>
            <rFont val="Tahoma"/>
            <family val="2"/>
          </rPr>
          <t xml:space="preserve">DIRECCION PLANEACION:
</t>
        </r>
        <r>
          <rPr>
            <sz val="9"/>
            <color indexed="81"/>
            <rFont val="Tahoma"/>
            <family val="2"/>
          </rPr>
          <t xml:space="preserve">
Ej1: Acta 002 Consejo de Facultad, reposa en archivo de la facultad.
Ej2: Pieza gráfica ubicada en el drive. https://fupedu-my.sharepoint.com/:w:/g/personal/planeacion_fup_edu_co/EZ_UO_YJ0jxAnyimQ545GRAB8tsPxGXbY5LOsi7Q3bvDXA.
Ej3: Documento análisis reposa en el drive https://fupedu-my.sharepoint.com/:w:/g/personal/planeacion_fup_edu_co/EZ_UO_YJ0jxAnyimQ958GRAB1tsPxGXbY5LOsi7Q1bv.
Ej4: Articulo denominado a las mejores prácticas mundiales en la revista Tecnologías emergentes, visible en https\www.prospectiva.com
</t>
        </r>
      </text>
    </comment>
  </commentList>
</comments>
</file>

<file path=xl/sharedStrings.xml><?xml version="1.0" encoding="utf-8"?>
<sst xmlns="http://schemas.openxmlformats.org/spreadsheetml/2006/main" count="4360" uniqueCount="1404">
  <si>
    <t>Costo Semestre 1</t>
  </si>
  <si>
    <t>Costo Semestre 2</t>
  </si>
  <si>
    <t>TOTALES</t>
  </si>
  <si>
    <t>Investigación</t>
  </si>
  <si>
    <t>Aprobado SI-NO</t>
  </si>
  <si>
    <t>SI</t>
  </si>
  <si>
    <t>NO</t>
  </si>
  <si>
    <t>Observaciones</t>
  </si>
  <si>
    <t>Semestre 1</t>
  </si>
  <si>
    <t>Semestre 2</t>
  </si>
  <si>
    <t>8 Meses</t>
  </si>
  <si>
    <t>10 meses</t>
  </si>
  <si>
    <t>4 Meses Semestre 1</t>
  </si>
  <si>
    <t>4 Meses Semestre 2</t>
  </si>
  <si>
    <t>Elija</t>
  </si>
  <si>
    <t>Costo por Semestre I</t>
  </si>
  <si>
    <t>Costo por Semestre II</t>
  </si>
  <si>
    <t>Incremento</t>
  </si>
  <si>
    <t>Carga prestacional</t>
  </si>
  <si>
    <t>Salario Mínimo</t>
  </si>
  <si>
    <t>CÓDIGO SALARIO</t>
  </si>
  <si>
    <t>SALARIO CON INCREMENTO</t>
  </si>
  <si>
    <t>CON CARGA PRESTACIONAL</t>
  </si>
  <si>
    <t>Aprobado</t>
  </si>
  <si>
    <t>ASISTENTE ACADEMICO</t>
  </si>
  <si>
    <t>AUXILIAR ADMINISTRATIVO</t>
  </si>
  <si>
    <t>AUXILIAR CONTABLE</t>
  </si>
  <si>
    <t>AUXILIAR SERVICIOS GENERALES</t>
  </si>
  <si>
    <t>CAPELLAN</t>
  </si>
  <si>
    <t>COORDINADOR</t>
  </si>
  <si>
    <t>COORDINADOR ACADEMICO GENERAL</t>
  </si>
  <si>
    <t>DIRECTOR</t>
  </si>
  <si>
    <t>JOVEN INVESTIGADOR</t>
  </si>
  <si>
    <t>MAYORDOMO</t>
  </si>
  <si>
    <t>MENSAJERO</t>
  </si>
  <si>
    <t>PROFESIONAL UNIVERSITARIO</t>
  </si>
  <si>
    <t>TESORERO</t>
  </si>
  <si>
    <t>Vr. Hora por docente TC</t>
  </si>
  <si>
    <t>Vr. Hora por docente</t>
  </si>
  <si>
    <t>Ambos</t>
  </si>
  <si>
    <t>FUNDACIÓN UNIVERSITARIA DE POPAYÁN</t>
  </si>
  <si>
    <t>DD</t>
  </si>
  <si>
    <t>MM</t>
  </si>
  <si>
    <t>AAAA</t>
  </si>
  <si>
    <t>Ene</t>
  </si>
  <si>
    <t>Feb</t>
  </si>
  <si>
    <t>Mar</t>
  </si>
  <si>
    <t>Abr</t>
  </si>
  <si>
    <t>May</t>
  </si>
  <si>
    <t>Jun</t>
  </si>
  <si>
    <t>Jul</t>
  </si>
  <si>
    <t>Ago</t>
  </si>
  <si>
    <t>Sep</t>
  </si>
  <si>
    <t>Oct</t>
  </si>
  <si>
    <t>Nov</t>
  </si>
  <si>
    <t>Dic</t>
  </si>
  <si>
    <t>Seleccione el Cargo</t>
  </si>
  <si>
    <t>Código Salario</t>
  </si>
  <si>
    <t>Cantidad
Personal</t>
  </si>
  <si>
    <t>Meses de contratación</t>
  </si>
  <si>
    <t>Totales</t>
  </si>
  <si>
    <t>Quién elaboró:</t>
  </si>
  <si>
    <t>VICERRECTORIA ADMINISTRATIVA Y FINANCIERA</t>
  </si>
  <si>
    <t>Total anual</t>
  </si>
  <si>
    <t>Total Gastos de personal Administrativo</t>
  </si>
  <si>
    <t>Total Gastos Docentes Medio Tiempo</t>
  </si>
  <si>
    <t>Total Gastos Docentes Tiempo Parcial</t>
  </si>
  <si>
    <t>Concepto</t>
  </si>
  <si>
    <t>Presupuestado</t>
  </si>
  <si>
    <t>Gastos en personal</t>
  </si>
  <si>
    <t>Gastos en actividades</t>
  </si>
  <si>
    <t>Total Gastos para la labor Docente</t>
  </si>
  <si>
    <t>PRESUPUESTO CONSOLIDADO</t>
  </si>
  <si>
    <t>11 meses</t>
  </si>
  <si>
    <t>1 año</t>
  </si>
  <si>
    <t>Periodo de contratación</t>
  </si>
  <si>
    <t>Espacio para la revisión</t>
  </si>
  <si>
    <t>Cualificación</t>
  </si>
  <si>
    <t>Maestría</t>
  </si>
  <si>
    <t>Doctorado</t>
  </si>
  <si>
    <t>Pregrado</t>
  </si>
  <si>
    <t>Función(Buscar)</t>
  </si>
  <si>
    <t>CUALIFICACIÓN DOCENTE</t>
  </si>
  <si>
    <t>SALARIO CON INCREMENTO TC</t>
  </si>
  <si>
    <t>CON CARGA PRESTACIONAL TC</t>
  </si>
  <si>
    <t>SALARIO CON INCREMENTO MT</t>
  </si>
  <si>
    <t>CON CARGA PRESTACIONAL MT</t>
  </si>
  <si>
    <t>Vr. Hora por docente MT</t>
  </si>
  <si>
    <t>Horas Laborales Tiempo Completo</t>
  </si>
  <si>
    <t>Horas Laborales Medio Tiempo</t>
  </si>
  <si>
    <t>Horas Laborales TP</t>
  </si>
  <si>
    <t>Vr. Hora por docente TP</t>
  </si>
  <si>
    <t>Relación de costos presupuestales</t>
  </si>
  <si>
    <t>Supsidio de transporte</t>
  </si>
  <si>
    <t>Especialización Profesional</t>
  </si>
  <si>
    <t>ASISTENTE  ADMINISTRATIVO</t>
  </si>
  <si>
    <t>BIBLIOTECOLOGA</t>
  </si>
  <si>
    <t>PROFESIONAL DE APOYO</t>
  </si>
  <si>
    <t>SECRETARIA GENERAL</t>
  </si>
  <si>
    <t>Total Gastos Docentes Tiempo Completo</t>
  </si>
  <si>
    <t>Colaborador a cargo</t>
  </si>
  <si>
    <t>APRENDIZ SENA</t>
  </si>
  <si>
    <t>AUXILIAR ACADEMICO</t>
  </si>
  <si>
    <t>CONTADOR</t>
  </si>
  <si>
    <t>COORDINADOR SG - SST</t>
  </si>
  <si>
    <t>RESULTADO</t>
  </si>
  <si>
    <t>1. Misión y Proyecto Educativo Institucional</t>
  </si>
  <si>
    <t>2. Estudiantes</t>
  </si>
  <si>
    <t>3. Talento Humano</t>
  </si>
  <si>
    <t>4. Profesores</t>
  </si>
  <si>
    <t>5. Procesos académicos</t>
  </si>
  <si>
    <t>6. Visibilidad Nacional e Internacional</t>
  </si>
  <si>
    <t>7. Investigación y Creación Artística</t>
  </si>
  <si>
    <t>8. Impacto social</t>
  </si>
  <si>
    <t>9. Autoevaluación y Autorregulación</t>
  </si>
  <si>
    <t>10. Bienestar Institucional</t>
  </si>
  <si>
    <t>11. Organización, gestión y administración</t>
  </si>
  <si>
    <t>12. Recursos de apoyo académico e infraestructura física</t>
  </si>
  <si>
    <t>13. Recursos financieros</t>
  </si>
  <si>
    <t>14. Aseguramiento de la Calidad</t>
  </si>
  <si>
    <t>OBE</t>
  </si>
  <si>
    <t>Extensión o Proyección Social</t>
  </si>
  <si>
    <t>Total Gastos en actividades</t>
  </si>
  <si>
    <t>Muebles y Enseres</t>
  </si>
  <si>
    <t>ADMINISTRACION DE EMPRESAS AGROPECUARIAS / MOD. VIRTUAL</t>
  </si>
  <si>
    <t>Localidad</t>
  </si>
  <si>
    <t>POPAYÁN</t>
  </si>
  <si>
    <t>LOCALIDAD</t>
  </si>
  <si>
    <t>SANTANDER DE QUILICHAO</t>
  </si>
  <si>
    <t>ADMINISTRACION DE EMPRESAS</t>
  </si>
  <si>
    <t>ADMINISTRACION DE EMPRESAS / MOD. VIRTUAL</t>
  </si>
  <si>
    <t>ADMINISTRACION DE EMPRESAS AGROPECUARIAS</t>
  </si>
  <si>
    <t>ARQUITECTURA</t>
  </si>
  <si>
    <t>ASEGURAMIENTO DE LA CALIDAD</t>
  </si>
  <si>
    <t>AUTOEVALUACION</t>
  </si>
  <si>
    <t>BIBLIOTECA</t>
  </si>
  <si>
    <t>CENTRO DE INFORMATICA</t>
  </si>
  <si>
    <t>CICMA</t>
  </si>
  <si>
    <t>COMUNICACIÓN SOCIAL</t>
  </si>
  <si>
    <t>COMUNICACIÓN SOCIAL / MOD. VIRTUAL</t>
  </si>
  <si>
    <t>COMUNICACIONES</t>
  </si>
  <si>
    <t>CONTABILIDAD</t>
  </si>
  <si>
    <t>CONTADURIA</t>
  </si>
  <si>
    <t>DERECHO</t>
  </si>
  <si>
    <t>ECOLOGIA</t>
  </si>
  <si>
    <t>ECONOMIA</t>
  </si>
  <si>
    <t>EGRESADOS</t>
  </si>
  <si>
    <t>ESCUELA DE DESARROLLO PROFESORAL</t>
  </si>
  <si>
    <t>ESCUELA DE IDIOMAS</t>
  </si>
  <si>
    <t>ESCUELA DE LECTO-ESCRITURA</t>
  </si>
  <si>
    <t>ESCUELA DE MATEMATICAS</t>
  </si>
  <si>
    <t>ESCUELA DE MUSICA</t>
  </si>
  <si>
    <t>EXTENSIÓN Y PROYECCIÓN SOCIAL</t>
  </si>
  <si>
    <t>FINCA</t>
  </si>
  <si>
    <t>INGENIERIA DE SISTEMAS</t>
  </si>
  <si>
    <t>INGENIERIA INDUSTRIAL</t>
  </si>
  <si>
    <t>INTERNACIONALIZACION</t>
  </si>
  <si>
    <t>LEAC</t>
  </si>
  <si>
    <t>PASTORAL</t>
  </si>
  <si>
    <t>PLANEACION</t>
  </si>
  <si>
    <t>POSGRADOS / GERENCIA DEL TALENTO HUMANO</t>
  </si>
  <si>
    <t>POSGRADOS / PSICOLOGÍA EDUCATIVA</t>
  </si>
  <si>
    <t>POSGRADOS / PSICOLOGÍA SOCIAL COMUNITARIA</t>
  </si>
  <si>
    <t>POSGRADOS / GESTIÓN DEL RIESGO DE DESASTRES</t>
  </si>
  <si>
    <t>PSICOLOGIA</t>
  </si>
  <si>
    <t>RECTORIA</t>
  </si>
  <si>
    <t>RECURSOS HUMANOS</t>
  </si>
  <si>
    <t>REGISTRO ACADEMICO</t>
  </si>
  <si>
    <t>SERVICIOS GENERALES</t>
  </si>
  <si>
    <t>SIDI</t>
  </si>
  <si>
    <t>TESORERIA</t>
  </si>
  <si>
    <t>TRABAJO SOCIAL</t>
  </si>
  <si>
    <t>UNIDAD AUDIOVISUALES</t>
  </si>
  <si>
    <t>UNIVIDA</t>
  </si>
  <si>
    <t>VICERECTORIA ACADEMICA</t>
  </si>
  <si>
    <t>Descripcion ccosto</t>
  </si>
  <si>
    <t>Descripción costo</t>
  </si>
  <si>
    <t>ACOSTA CAICEDO OMAR ANDRES</t>
  </si>
  <si>
    <t>ARBOLEDA GAETH ANDRES FELIPE</t>
  </si>
  <si>
    <t>ARIAS HOYOS ARNOL</t>
  </si>
  <si>
    <t>BOLAÑOS SARRIA DIEGO FABIAN</t>
  </si>
  <si>
    <t>CARDONA CHAVEZ CARLOS MANUEL</t>
  </si>
  <si>
    <t>CLEVES SUAZA LUIS GUILLERMO</t>
  </si>
  <si>
    <t>DURAN LOPEZ JULIAN ANDRES</t>
  </si>
  <si>
    <t>ERAZO MEDINA MONICA ADRIANA</t>
  </si>
  <si>
    <t>FERIZ GARCIA DANIEL ANDRES</t>
  </si>
  <si>
    <t>GARCIA BUITRON JULIO CESAR</t>
  </si>
  <si>
    <t>MOSQUERA CERON JUAN PABLO</t>
  </si>
  <si>
    <t>OCAMPO GUZMAN GINNA FERNANDA</t>
  </si>
  <si>
    <t>POTES GALARZA MANUEL JULIAN CAMILO</t>
  </si>
  <si>
    <t>ROJAS GIRALDO JUAN CARLOS</t>
  </si>
  <si>
    <t>SOLIS ESCOBAR FERNANDO</t>
  </si>
  <si>
    <t>URREA PANTOJA WILMER JAIR</t>
  </si>
  <si>
    <t>VALENCIA PALOMINO DAISY XIMENA</t>
  </si>
  <si>
    <t>ZUÑIGA RAMOS KAREN JISSET</t>
  </si>
  <si>
    <t>DOCENTE INVESTIGADOR</t>
  </si>
  <si>
    <t>RECTOR</t>
  </si>
  <si>
    <t>VICERRECTOR</t>
  </si>
  <si>
    <t>CS01</t>
  </si>
  <si>
    <t>CS02</t>
  </si>
  <si>
    <t>CS03</t>
  </si>
  <si>
    <t>CS04</t>
  </si>
  <si>
    <t>CS05</t>
  </si>
  <si>
    <t>CS06</t>
  </si>
  <si>
    <t>CS07</t>
  </si>
  <si>
    <t>CS08</t>
  </si>
  <si>
    <t>CS09</t>
  </si>
  <si>
    <t>CS10</t>
  </si>
  <si>
    <t>CS11</t>
  </si>
  <si>
    <t>CS12</t>
  </si>
  <si>
    <t>CS13</t>
  </si>
  <si>
    <t>CS14</t>
  </si>
  <si>
    <t>CS15</t>
  </si>
  <si>
    <t>CS16</t>
  </si>
  <si>
    <t>CS17</t>
  </si>
  <si>
    <t>CS18</t>
  </si>
  <si>
    <t>CS19</t>
  </si>
  <si>
    <t>CS20</t>
  </si>
  <si>
    <t>CS21</t>
  </si>
  <si>
    <t>CS22</t>
  </si>
  <si>
    <t>CS23</t>
  </si>
  <si>
    <t>CS24</t>
  </si>
  <si>
    <t>CS25</t>
  </si>
  <si>
    <t>CS26</t>
  </si>
  <si>
    <t>CS27</t>
  </si>
  <si>
    <t>CS28</t>
  </si>
  <si>
    <t>CS29</t>
  </si>
  <si>
    <t>CS30</t>
  </si>
  <si>
    <t>CS31</t>
  </si>
  <si>
    <t>CS32</t>
  </si>
  <si>
    <t>CS33</t>
  </si>
  <si>
    <t>CS34</t>
  </si>
  <si>
    <t>CS35</t>
  </si>
  <si>
    <t>CS36</t>
  </si>
  <si>
    <t>CS37</t>
  </si>
  <si>
    <t>CS38</t>
  </si>
  <si>
    <t>CS39</t>
  </si>
  <si>
    <t>COSTO HORA</t>
  </si>
  <si>
    <t>Cantidad
Horas</t>
  </si>
  <si>
    <t>Relación Salario</t>
  </si>
  <si>
    <t>Seleccione la cualificación</t>
  </si>
  <si>
    <t>Total
Docentes</t>
  </si>
  <si>
    <t>Complementarios</t>
  </si>
  <si>
    <t>Total Gastos Docentes de POSGRADO</t>
  </si>
  <si>
    <t>Adecuaciones</t>
  </si>
  <si>
    <t>Equipos de tecnología</t>
  </si>
  <si>
    <r>
      <t xml:space="preserve">Descripción
</t>
    </r>
    <r>
      <rPr>
        <sz val="11"/>
        <color rgb="FFFFFF00"/>
        <rFont val="Tahoma"/>
        <family val="2"/>
      </rPr>
      <t>(Hardware y Software)</t>
    </r>
  </si>
  <si>
    <t>Otros gastos imputables al programa o al área</t>
  </si>
  <si>
    <r>
      <t xml:space="preserve">Descripción
</t>
    </r>
    <r>
      <rPr>
        <sz val="11"/>
        <color rgb="FFFFFF00"/>
        <rFont val="Tahoma"/>
        <family val="2"/>
      </rPr>
      <t>(Adecuaciones de oficina, mantenimiento, etc.)</t>
    </r>
  </si>
  <si>
    <r>
      <rPr>
        <b/>
        <sz val="11"/>
        <color theme="0"/>
        <rFont val="Tahoma"/>
        <family val="2"/>
      </rPr>
      <t xml:space="preserve">Descripción
</t>
    </r>
    <r>
      <rPr>
        <sz val="11"/>
        <color rgb="FFFFFF00"/>
        <rFont val="Tahoma"/>
        <family val="2"/>
      </rPr>
      <t>(Archivadores, escritorios, sillas, etc.)</t>
    </r>
  </si>
  <si>
    <t>Ejecución</t>
  </si>
  <si>
    <t>Observaciones de la Ejecución</t>
  </si>
  <si>
    <t>SEDE NORTE</t>
  </si>
  <si>
    <t>Indefinido</t>
  </si>
  <si>
    <t>TRANSVERSAL</t>
  </si>
  <si>
    <t>CONVENCIONAL</t>
  </si>
  <si>
    <t>DECANATURA</t>
  </si>
  <si>
    <t>DULCEY MUJICA INGRITH TATIANA</t>
  </si>
  <si>
    <t>POSGRADOS / DERECHO PROCESAL</t>
  </si>
  <si>
    <t>POSGRADOS / DATA ANALYTICS PARA MARKETING DIGITAL</t>
  </si>
  <si>
    <t>POSGRADOS / GERENCIA DE AGRONEGOCIOS SOSTENIBLES</t>
  </si>
  <si>
    <t>SEGUIMIENTO INSTITUCIONAL</t>
  </si>
  <si>
    <t>SATIZABAL SERNA CLARA EUGENIA</t>
  </si>
  <si>
    <t>COORDINACION DE PROYECTOS</t>
  </si>
  <si>
    <t>JACOME MOSQUERA VICTOR JULIAN</t>
  </si>
  <si>
    <t>MOLANO CASTRO MARIA ALEJANDRA</t>
  </si>
  <si>
    <t>MEDINA LLANTEN JESUS ANTONIO</t>
  </si>
  <si>
    <t>DIAZ CARMONA DANILO MANZILLER</t>
  </si>
  <si>
    <t>Cantidad
de Docentes</t>
  </si>
  <si>
    <t>Docentes Tiempo Completo</t>
  </si>
  <si>
    <t>Docentes Medio Tiempo</t>
  </si>
  <si>
    <t>Docentes Tiempo Parcial / Hora Cátedra</t>
  </si>
  <si>
    <t>SALARIO 2021 TC</t>
  </si>
  <si>
    <t>SALARIO 2021 MT</t>
  </si>
  <si>
    <t>Docencia</t>
  </si>
  <si>
    <t>Administrativos</t>
  </si>
  <si>
    <t>Docentes</t>
  </si>
  <si>
    <t>Actividades</t>
  </si>
  <si>
    <t>PRES</t>
  </si>
  <si>
    <t>APRO</t>
  </si>
  <si>
    <t>X</t>
  </si>
  <si>
    <t>ACTIVIDADES</t>
  </si>
  <si>
    <t>DOC-01</t>
  </si>
  <si>
    <t>DOC-02</t>
  </si>
  <si>
    <t>DOC-03</t>
  </si>
  <si>
    <t>DOC-04</t>
  </si>
  <si>
    <t>DOC-05</t>
  </si>
  <si>
    <t>DOC-06</t>
  </si>
  <si>
    <t>DOC-07</t>
  </si>
  <si>
    <t>DOC-08</t>
  </si>
  <si>
    <t>DOC-09</t>
  </si>
  <si>
    <t>DOC-10</t>
  </si>
  <si>
    <t>DOC-11</t>
  </si>
  <si>
    <t>DOC-12</t>
  </si>
  <si>
    <t>DOC-13</t>
  </si>
  <si>
    <t>DOC-14</t>
  </si>
  <si>
    <t>DOC-15</t>
  </si>
  <si>
    <t>DOC-16</t>
  </si>
  <si>
    <t>DOC-17</t>
  </si>
  <si>
    <t>DOC-18</t>
  </si>
  <si>
    <t>DOC-19</t>
  </si>
  <si>
    <t>DOC-20</t>
  </si>
  <si>
    <t>DOC-21</t>
  </si>
  <si>
    <t>DOC-22</t>
  </si>
  <si>
    <t>DOC-23</t>
  </si>
  <si>
    <t>DOC-24</t>
  </si>
  <si>
    <t>I-COD</t>
  </si>
  <si>
    <t>INV-09</t>
  </si>
  <si>
    <t>EXT-11</t>
  </si>
  <si>
    <t>EXT-12</t>
  </si>
  <si>
    <t>EXT-13</t>
  </si>
  <si>
    <t>EXT-14</t>
  </si>
  <si>
    <t>EXT-15</t>
  </si>
  <si>
    <t>EXT-16</t>
  </si>
  <si>
    <t>EXT-17</t>
  </si>
  <si>
    <t>EXT-18</t>
  </si>
  <si>
    <t>EXT-19</t>
  </si>
  <si>
    <t>EXT-20</t>
  </si>
  <si>
    <t>EXT-21</t>
  </si>
  <si>
    <t>EXT-22</t>
  </si>
  <si>
    <t>EXT-23</t>
  </si>
  <si>
    <t>EXT-24</t>
  </si>
  <si>
    <t>EXT-25</t>
  </si>
  <si>
    <t>EXT-26</t>
  </si>
  <si>
    <t>EXT-27</t>
  </si>
  <si>
    <t>EXT-28</t>
  </si>
  <si>
    <t>EXT-42</t>
  </si>
  <si>
    <t>EXT-43</t>
  </si>
  <si>
    <t>POSGRADOS / COMUNICACIÓN PARA EL DESARROLLO TERRITORIAL</t>
  </si>
  <si>
    <t>POSGRADOS / DERECHO CONSTITUCIONAL</t>
  </si>
  <si>
    <t>VICERECTORIA ADMINISTRATIVA Y FINANCIERA</t>
  </si>
  <si>
    <t>CALIDAD INSTITUCIONAL</t>
  </si>
  <si>
    <t>LABORATORIOS</t>
  </si>
  <si>
    <t>CASTRO DOMINGUEZ GLORIA PATRICIA</t>
  </si>
  <si>
    <t>COBO POTOSI YISEL</t>
  </si>
  <si>
    <t>GAVIRIA ARMERO SONIA DEL CONSUELO</t>
  </si>
  <si>
    <t>GOMEZ DURAN DIANA CAROLINA</t>
  </si>
  <si>
    <t>IBARRA SOTELO MARYEM ROCIO</t>
  </si>
  <si>
    <t>MINA ZAPE CARLOS FERNANDO</t>
  </si>
  <si>
    <t>QUINTERO ROJAS ANGELA MARIA</t>
  </si>
  <si>
    <t>URBANO GALLEGO ANDREA CECILIA</t>
  </si>
  <si>
    <t>ZULUAGA CARDENAS CARLOS ARTURO</t>
  </si>
  <si>
    <t>Nombres</t>
  </si>
  <si>
    <t>AUXILIAR DE CAMPO</t>
  </si>
  <si>
    <t>COORDINADOR DE PROYECTOS</t>
  </si>
  <si>
    <t>DIRECTOR DE POSTGRADOS</t>
  </si>
  <si>
    <t>DOCENTE</t>
  </si>
  <si>
    <t>DOCENTE COORDINADOR TRABAJOS DE GRADO TIEMPO COMPLETO</t>
  </si>
  <si>
    <t>DURAN ENRIQUEZ CARLOS ANDRES</t>
  </si>
  <si>
    <t>FORERO OVALLE VILMA ISABEL</t>
  </si>
  <si>
    <t>Pocentaje</t>
  </si>
  <si>
    <t>Secuencia</t>
  </si>
  <si>
    <t>Avance</t>
  </si>
  <si>
    <t>Angulo</t>
  </si>
  <si>
    <t>Datos</t>
  </si>
  <si>
    <t>Y</t>
  </si>
  <si>
    <t>Inicio</t>
  </si>
  <si>
    <t>Fin</t>
  </si>
  <si>
    <t>Máximo 8 Horas</t>
  </si>
  <si>
    <t>Valor semanal</t>
  </si>
  <si>
    <t>TIPO</t>
  </si>
  <si>
    <t>POSGRADOS / GERENCIA SOCIAL</t>
  </si>
  <si>
    <t>PMI</t>
  </si>
  <si>
    <t>Nombre del colaborador</t>
  </si>
  <si>
    <t>DOCENTE TIEMPO COMPLETO</t>
  </si>
  <si>
    <t>COORDINADOR ACADEMICO</t>
  </si>
  <si>
    <t>COORDINADOR SERVICIOS DE SALUD</t>
  </si>
  <si>
    <t>AUXILIAR DE LABORATORIO</t>
  </si>
  <si>
    <t>COORDINADOR DE MEDIOS EDUCATIVOS</t>
  </si>
  <si>
    <t>PROFESIONAL DE APOYO OPCIONES DE GRADO</t>
  </si>
  <si>
    <t>PROFESIONAL</t>
  </si>
  <si>
    <t>PROFESIONAL VIRTUALIZACION REDES</t>
  </si>
  <si>
    <t>COORDINADOR REGISTRO ACADEMICO</t>
  </si>
  <si>
    <t>PROFESIONAL CONTRATOS Y CERTIFICACIONES</t>
  </si>
  <si>
    <t>PROFESIONAL SEGURIDAD SOCIAL</t>
  </si>
  <si>
    <t>DOCENTE MEDIO TIEMPO</t>
  </si>
  <si>
    <t>COMMUNITY MANAGER</t>
  </si>
  <si>
    <t>DISEÑADOR GRAFICO</t>
  </si>
  <si>
    <t>COORDINADOR GESTION DOCUMENTAL</t>
  </si>
  <si>
    <t>COORDINADOR GESTION CURRICULAR</t>
  </si>
  <si>
    <t>CAMAROGRAFO AUDIOVISUALES</t>
  </si>
  <si>
    <t>PROFESIONAL DISEÑADOR</t>
  </si>
  <si>
    <t>COORDINADOR ADMISIONES</t>
  </si>
  <si>
    <t>SUPERNUMERARIO</t>
  </si>
  <si>
    <t>AUXILIAR DE INVESTIGACION</t>
  </si>
  <si>
    <t>AUXILIAR DE MANTENIMIENTO</t>
  </si>
  <si>
    <t>AUXILIAR DE SOPORTE</t>
  </si>
  <si>
    <t>CONDUCTOR</t>
  </si>
  <si>
    <t>PROFESIONAL BIENESTAR INSTITUCIONAL</t>
  </si>
  <si>
    <t>AUXILIAR DE ENFERMERIA</t>
  </si>
  <si>
    <t>PROFESIONAL DE NOMINA</t>
  </si>
  <si>
    <t>COORDINADOR CULTURA Y DEPORTES</t>
  </si>
  <si>
    <t>DIRECTOR GESTION SISTEMAS DE INFORMACION</t>
  </si>
  <si>
    <t>DISEÑADOR MULTIMEDIA</t>
  </si>
  <si>
    <t>DESARROLLADOR</t>
  </si>
  <si>
    <t>ASESOR</t>
  </si>
  <si>
    <t>ANALISTA DE SISTEMAS</t>
  </si>
  <si>
    <t>COORDINADOR DE EMPRENDIMIENTO</t>
  </si>
  <si>
    <t>PROFESIONAL SELECCION Y CAPACITACION</t>
  </si>
  <si>
    <t>COORDINADOR PERMANENCIA</t>
  </si>
  <si>
    <t>AUXILIAR DE MANTENIMIENTO TI</t>
  </si>
  <si>
    <t>DIRECTOR CONTROL INTERNO</t>
  </si>
  <si>
    <t>COORDINADOR - LOGISTICA, COMPRAS Y ALMACEN</t>
  </si>
  <si>
    <t>SALARIO 2022</t>
  </si>
  <si>
    <t>TRASLADO</t>
  </si>
  <si>
    <t>VALVERDE ROJAS ERICA ANDREA</t>
  </si>
  <si>
    <t xml:space="preserve">PRADO QUINTERO JUAN MANUEL </t>
  </si>
  <si>
    <t>AGUILAR BURBANO ANDRES FELIPE</t>
  </si>
  <si>
    <t>MOSQUERA SANCHEZ LUIS EMIRO</t>
  </si>
  <si>
    <t>ZUÑIGA MUÑOZ YADY VANESSA</t>
  </si>
  <si>
    <t>PMC</t>
  </si>
  <si>
    <t>PMP</t>
  </si>
  <si>
    <t>PGR</t>
  </si>
  <si>
    <t>EST</t>
  </si>
  <si>
    <t>Tipo</t>
  </si>
  <si>
    <t>DM</t>
  </si>
  <si>
    <t>DOCENTE CON CARGA ADMINISTRATIVA</t>
  </si>
  <si>
    <t>ODONTOLOGO</t>
  </si>
  <si>
    <t>MEDICO</t>
  </si>
  <si>
    <t>WEBMASTER</t>
  </si>
  <si>
    <t>PERIODISTA</t>
  </si>
  <si>
    <t>LOZANO NIÑO SERGIO</t>
  </si>
  <si>
    <t>PASAJE BURBANO FABIAN FERNANDO</t>
  </si>
  <si>
    <t>MONTOYA BONILLA BIBIANA PATRICIA</t>
  </si>
  <si>
    <t>BETANCOURT LOPEZ JOSE GREGORIO</t>
  </si>
  <si>
    <t>JOAQUI ESCOBAR PAOLA ANDREA</t>
  </si>
  <si>
    <t>RONCANCIO ANDREA CAICEDO</t>
  </si>
  <si>
    <t>CONDA FERNANDEZ BIBIANA</t>
  </si>
  <si>
    <t>HURTADO MARIA FERNANDA</t>
  </si>
  <si>
    <t>RIASCOS CLAUDIA</t>
  </si>
  <si>
    <t>DIRECTOR DE EXTENCIÓN Y PROYECCIÓN SOCIAL</t>
  </si>
  <si>
    <t>DIRECTOR DE INVESTIGACIÓN</t>
  </si>
  <si>
    <t>DIRECTOR GESTION HUMANA</t>
  </si>
  <si>
    <t>DIRECTOR ORII</t>
  </si>
  <si>
    <t>DIRECTOR SEDE ALVARO ULCUE CHOCUE</t>
  </si>
  <si>
    <t>DIRECTOR TECNOLOGÍAS DE LA INFORMACIÓN</t>
  </si>
  <si>
    <t>COM-10</t>
  </si>
  <si>
    <t>COM-11</t>
  </si>
  <si>
    <t>COM-12</t>
  </si>
  <si>
    <t>COM-13</t>
  </si>
  <si>
    <t>COM-14</t>
  </si>
  <si>
    <t>COM-15</t>
  </si>
  <si>
    <t>COM-16</t>
  </si>
  <si>
    <t>COM-17</t>
  </si>
  <si>
    <t>COM-18</t>
  </si>
  <si>
    <t>COM-19</t>
  </si>
  <si>
    <t>COM-20</t>
  </si>
  <si>
    <t>COM-21</t>
  </si>
  <si>
    <t>COM-22</t>
  </si>
  <si>
    <t>COM-23</t>
  </si>
  <si>
    <t>COM-24</t>
  </si>
  <si>
    <t>COM-25</t>
  </si>
  <si>
    <t>COM-26</t>
  </si>
  <si>
    <t>COM-27</t>
  </si>
  <si>
    <t>COM-28</t>
  </si>
  <si>
    <t>MERCADEO - ADMISIONES</t>
  </si>
  <si>
    <t>BIENESTAR INSTITUCIONAL</t>
  </si>
  <si>
    <t>SISTEMA DE GESTION DE SST</t>
  </si>
  <si>
    <t>ORDOÑEZ RUIZ LUZ ANGELA</t>
  </si>
  <si>
    <t xml:space="preserve">CARABALI CORTES WILFREDO </t>
  </si>
  <si>
    <t>VELANDIA DÍAZ DIANA ISABEL</t>
  </si>
  <si>
    <t>MACROPROYECTO</t>
  </si>
  <si>
    <t>METAS PROYECTO</t>
  </si>
  <si>
    <t>ENTREGABLE - EVIDENCIA</t>
  </si>
  <si>
    <t>PROYECTOS</t>
  </si>
  <si>
    <t>2. SISTEMA INTERNO DE ASEGURAMIENTO DE LA CALIDAD</t>
  </si>
  <si>
    <t>3. ACOMPAÑAMIENTO Y ÉXITO ESTUDIANTIL</t>
  </si>
  <si>
    <t>4. NUEVOS ESCENARIOS DE APRENDIZAJE Y RECURSOS INSTITUCIONALES</t>
  </si>
  <si>
    <t>5. ECOSISTEMA DE INNOVACIÓN</t>
  </si>
  <si>
    <t>6. RELACIONAMIENTO CON EL MEDIO EXTERNO</t>
  </si>
  <si>
    <t>7. DESARROLLO Y GESTIÓN ORGANIZACIONAL</t>
  </si>
  <si>
    <t>1. APROPIACIÓN: IDENTIDAD INSTITUCIONAL</t>
  </si>
  <si>
    <t>METAS</t>
  </si>
  <si>
    <t xml:space="preserve">1. Intervenciones a estudiantes y docentes en sensibilizaciones en temáticas institucionales. </t>
  </si>
  <si>
    <t>1. Actualización del Proyecto Educativo Institucional</t>
  </si>
  <si>
    <t>1. Evaluación de los resultados de aprendizaje (Evaluación de las rubricas de enseñanza)</t>
  </si>
  <si>
    <t>1. Implementar instrumentos de comunicación y divulgación, con el fin de promover un novedoso acercamiento hacia la comunidad educativa,</t>
  </si>
  <si>
    <t>1. Actualizar de manera permanente los contenidos en medios de comunicación
institucional en línea, tales como portal web y perfiles de redes sociales
institucionales para brindar a la ciudadanía información oportuna, veraz y
confiable.</t>
  </si>
  <si>
    <t>1. Difundir la información institucional a los diferentes grupos objetivos y públicos
de interés sobre la gestión a través de acciones de comunicación externa, con el
fin de propiciar el flujo adecuado y el acceso a la información.</t>
  </si>
  <si>
    <t>1. Generar impacto social mendiante la creación del boletin institucional.</t>
  </si>
  <si>
    <t>1. Garantizar el despliegue oportuno a las diferentes audiencias y estamentos
universitarios, de los planes, proyectos, iniciativas y actividades puestas en
marcha en el marco de los eventos que se realicen internos y externos.</t>
  </si>
  <si>
    <t>1. Establecer mecanismos de acción en materia de comunicación que permita
responder a los diferentes retos institucionales.</t>
  </si>
  <si>
    <t xml:space="preserve">1. Construir y gestionar las relaciones internas y externas de la Universidad
en procura de mejorar el prestigio institucional. </t>
  </si>
  <si>
    <t>1. Visibilizar la Universidad a nivel local, nacional e internacional a través de los medios masivos de comunicación y manejo estratégico de comunicación pública.</t>
  </si>
  <si>
    <t xml:space="preserve">1. Posicionar la imagen institucional de la Universidad  con el fin de generar
un uso apropiado de su manual de identidad. </t>
  </si>
  <si>
    <t>1. Seguimiento y control de los lineamientos institucionales y Formato Unico de Gestión.</t>
  </si>
  <si>
    <t>1. Construcción de una guía metodológica para la creación, seguimiento y actualización de las políticas institucionales.</t>
  </si>
  <si>
    <t>1. Revisión y consolidación de Informes de Gestión</t>
  </si>
  <si>
    <t>1. Revisión y ajuste de indicadores que permitan medir, monitorear y hacer seguimiento a los proyectos y programas institucionales.</t>
  </si>
  <si>
    <t>1. Gobierno Institucional y Rendición de Cuentas Institucional</t>
  </si>
  <si>
    <t>1. Construcción del Plan de Desarrollo Institucional PDI</t>
  </si>
  <si>
    <t>1. Universidad Verde, Inteligente e Inclusiva: Programas y proyectos  fomenten el cuidado del medio ambiente, la apropiación de la tecnología y el respeto por la diversidad y la inclusión.</t>
  </si>
  <si>
    <t>1. Creación, revisión y actualización de políticas institucionales.</t>
  </si>
  <si>
    <t>1. Construir un Plan Estratégico de Comunicación y Relacionamiento adecuado que
permita establecer un contacto permanente y consecutivo con los grupos de
interés.</t>
  </si>
  <si>
    <t>2. Renovación de registros calificados de pregrado</t>
  </si>
  <si>
    <t>2. Ampliación de oferta académica pregrados</t>
  </si>
  <si>
    <t>2. Renovación de registros calificados de posgrado</t>
  </si>
  <si>
    <t>2. Ampliación de oferta académica posgrados</t>
  </si>
  <si>
    <t xml:space="preserve">2. Acreditación de Alta Calidad
Acreditación Institucional
</t>
  </si>
  <si>
    <t>2. Revisar los documentos de condiciones iniciales, emitir concepto y acompañar al coordinador de autoevaluación de los programas Académicos.</t>
  </si>
  <si>
    <t>2. Seguimiento de los planes de mejoramiento tanto de programas académicos de pregrado como de posgrado.</t>
  </si>
  <si>
    <t>2. Armonización y/o transición del SGC ISO 9001:2015 a la ISO 21001:2019 "Sistemas para organizaciones educativas" (Migración a ente certificador ICONTEC)</t>
  </si>
  <si>
    <t>2. Establecer mediciones en un Sistema de Gestión de la Calidad. 
Satisfacción del cliente, medida a través de encuestas.</t>
  </si>
  <si>
    <t>2. Lograr servicios de alta calidad y mantener la satisfacción de los estudiantes y partes interesadas</t>
  </si>
  <si>
    <t>2. Establecer y revisar los indicadores de calidad. (Clasificarlos: impacto, eficiencia y efectividad)</t>
  </si>
  <si>
    <t>2. Informe con el resultado del logro de los objetivos de calidad</t>
  </si>
  <si>
    <t>2. Autoevaluación: 
Revisión de la identidad institucional
Evaluación de cada una de las áreas de gestión
Establecimiento de las fortalezas y oportunidades de mejoramiento</t>
  </si>
  <si>
    <t>2. Elaboración del plan de mejoramiento:
Formulación de objetivos
Formulación de metas
Definición de indicadores
Definición de actividades y de sus responsables
Elaboración del cronograma de actividades
Definición de los recursos necesarios para la ejecución del plan de mejoramiento
Divulgación del plan de mejoramiento a la comunidad educativa</t>
  </si>
  <si>
    <t xml:space="preserve">2. Seguimiento y evaluación:
Revisión del cumplimiento de los objetivos y metas del plan de mejoramiento
Evaluación del plan de mejoramiento
</t>
  </si>
  <si>
    <t>2. Procesos de autoevaluación: de orden académico (fases Renovaciones RC)  y de orden administrativo. (Auditoria Interna)</t>
  </si>
  <si>
    <t>2. Crear una arquitectura de información que dé soporte a las metas de la Institución.</t>
  </si>
  <si>
    <t>2. Comunicación de los resultados de la autoevaluación y la evaluación del plan de mejoramiento.</t>
  </si>
  <si>
    <t>3. Política relacionada con el acceso justo a la educación superior.</t>
  </si>
  <si>
    <t>3. Establecer un Modelo de selección donde se identifiquen criterios incluyentes y equitativos.</t>
  </si>
  <si>
    <t>3. Presentar un esquema que integre lineamientos, estrategias y acciones dirigidas a mejorar la capacidad institucional y controlar el acceso de estudiantes.</t>
  </si>
  <si>
    <t>3. Reconocer las capacidades en el estudiante, y fomentar su convivencia con el entorno en congruencia con una personalidad reflexiva, crítica, sensible, creativa y, responsable, tocando las dimensiones que como sujeto social.</t>
  </si>
  <si>
    <t>3. Proyectar la formación de estudiantes con enfoque de
sostenibilidad y comprensión de distintas
formas de expresión y cultura.</t>
  </si>
  <si>
    <t>3. Establecer un Modelo Educativo Integral y Flexible que permita al estudiante conocer, hacer, ser, sentir, convivir.</t>
  </si>
  <si>
    <t>3. Proponer ejercicios de doble titulación entre los programas de pregrado</t>
  </si>
  <si>
    <t>3. Autosostenibilidad: Implementar el plan de mercadeo para captar  mayor volumen de estudiantes.</t>
  </si>
  <si>
    <t xml:space="preserve">3. Diseñar una propuesta de valor que permita Identificar y definir las ventajas de la propuesta educativa FUP y el enfoque en el diferencial de la institución. </t>
  </si>
  <si>
    <t>3. Definir campañas de preinscripción con beneficios.</t>
  </si>
  <si>
    <t>3. Establecer canales de contacto eficientes.</t>
  </si>
  <si>
    <t>3. Posicionamiento institucional a través del marketing educativo y la creación de valor sostenible alineando el propósito institucional a la generación de beneficios para estudiantes.</t>
  </si>
  <si>
    <t xml:space="preserve">3. Fomentar las estrategias de impacto del pensamiento crítico </t>
  </si>
  <si>
    <t>3. Fortalecimiento del desempeño pruebas Saber pro, a través de estrategias académicas y culturales.</t>
  </si>
  <si>
    <t>3. Establecer la Escuela de Lectoescritura como un espacio que brinde apoyos en asignaturas como lectoescritura sino también asesorías en procesos lectores y escritos, capacitaciones Pruebas Saber PRO, Club.</t>
  </si>
  <si>
    <t>3. Fortalecimiento de las competencias de estudiantes y docentes en habilidades blandas y comunicación asertiva.</t>
  </si>
  <si>
    <t>3. Permitir la conjunción de disciplinas a través de la interacción entre facultades y programas a partir de las cuales se generan nuevos perfiles de egreso.</t>
  </si>
  <si>
    <t xml:space="preserve">3. Definir y/o estandarizar en el cuerpo de docente, para asumir las funciones de Docencia, Investigación y Proyección Social </t>
  </si>
  <si>
    <t xml:space="preserve">3. Fortalecimiento segundo idioma en docentes y estudiantes </t>
  </si>
  <si>
    <t>3. Crear espacios también de formación docente desde la parte artística.</t>
  </si>
  <si>
    <t>3. Capacitación y actualización pedagógica de los docentes</t>
  </si>
  <si>
    <t xml:space="preserve">3. Formulación de estrategias activas y participativas que permitan al docente involucrarse y formar parte en el proceso de enseñanza-aprendizaje. El saber hacer, el trabajo colaborativo y cooperativo, </t>
  </si>
  <si>
    <t>3. Rubricas de Evaluación.</t>
  </si>
  <si>
    <t>3. Visitas técnicas y salidas de campo.</t>
  </si>
  <si>
    <t>3. Aumentar el material bibliográfico actual, a través de la compra de nuevos de nuevos ejemplares.</t>
  </si>
  <si>
    <t>3. Fortalecimiento de medios educativos e infraestructura tecnológica como herramienta de las actividades académicas de proyección social e investigación.</t>
  </si>
  <si>
    <t>3. Diseñar software para los sistemas de gestión bibliotecarios, que permita la creación de colecciones digitales e implementación de repositorios.</t>
  </si>
  <si>
    <t xml:space="preserve">3. Acompañamiento académico, salud integral, deporte y recreación, expresiones culturales y artísticas y apoyo a estudiantes con capacidades diversas. </t>
  </si>
  <si>
    <t>3. Gestionar los programas, acciones y servicios de bienestar que contribuyen a la formación integral de la comunidad estudiantil, el mejoramiento de la calidad de vida y la construcción de comunidad</t>
  </si>
  <si>
    <t xml:space="preserve">3. Orientación y Consejería respaldamos al estudiante para el buen suceso de su vida universitaria. </t>
  </si>
  <si>
    <t>3. Ampliación de cobertura con apoyos socioeconómicos (nutrición, conectividad, reliquidación de matrículas), acciones de pastoral universitaria.</t>
  </si>
  <si>
    <t xml:space="preserve">3. Seguimiento de los estudiantes a través del Sistema de Alertas Tempranas. </t>
  </si>
  <si>
    <t>3. Programas orientados a contribuir con el desarrollo de la personalidad y la autoestima por medio de la expresión corporal, la relajación mental y habitos saludables.</t>
  </si>
  <si>
    <t>3. Programas de pausas activas, de alimentación saludable, deportivos, de retos, de acompañamiento médico, psicológico y salud mental, agenda cultural y agenda de cine a través de la virtualidad. </t>
  </si>
  <si>
    <t xml:space="preserve">3. Implementación de estrategias para la Disminución de la deserción y ausentismo de los estudiantes. </t>
  </si>
  <si>
    <t>3. Identificar, mediante la aplicación de Análisis de Datos, los patrones de las causas de deserción y repitencia universitaria, para definir parámetros de detección temprana.</t>
  </si>
  <si>
    <t>3. Fortalecer los  procesos de seguimiento y evaluación a la deserción estudiantil y repitencia.</t>
  </si>
  <si>
    <t>3. Analizar y diseñar el sistema para generar reportes de alerta temprana de
potencial repitencia y deserción académica.</t>
  </si>
  <si>
    <t>3. Diseñar y construir un sistema de información de alerta temprana para prevenir los
fenómenos de deserción y repitencia universitaria originando en factores
académicos.</t>
  </si>
  <si>
    <t>4. Planificación, asignación, seguimiento y control de la gestión y los  recursos asignados a cada área y/o programa.</t>
  </si>
  <si>
    <t>4. Estrategia de marketing segmentado.</t>
  </si>
  <si>
    <t>4. Campaña de preinscripción con beneficios.</t>
  </si>
  <si>
    <t>4. Mecanismos de marketing externo; realización, producción e impresión de material POP.</t>
  </si>
  <si>
    <t>4. Diseñar la propuesta de valor de la Institución.</t>
  </si>
  <si>
    <t>4. Página web optimizada y creación de contenido interactivo.</t>
  </si>
  <si>
    <t>4. Construicción de  branding de la Universidad  e inbound marketing.</t>
  </si>
  <si>
    <t>4. Estrategias comerciales de posicionamiento y fidelización.</t>
  </si>
  <si>
    <t>4. Plan Estratégico de Mercadeo</t>
  </si>
  <si>
    <t xml:space="preserve">4. Informes presupuestales y contables con la periodicidad
semestral  y redefinir políticas de asignación y uso de recursos. </t>
  </si>
  <si>
    <t>4. Verificar constantemente el punto de equilibrio en cuanto al número de estudiantes y así saber si se equiparan los ingresos con los gastos,</t>
  </si>
  <si>
    <t>4. Diversificar las fuentes de ingreso del programa en pro de su estabilidad y desarrollo financiero y misional.</t>
  </si>
  <si>
    <t>4. Contar con un plan de gestión de residuos sólidos.</t>
  </si>
  <si>
    <t>4. Plan Estratégico de Seguridad Vial Implementado.</t>
  </si>
  <si>
    <t>4. Contar con permisos ambientales necesarios para la planta física, asegurando parte de la Responsabilidad Social Universitaria.</t>
  </si>
  <si>
    <t>4. Espacios de acuerdo a la normatividad y procedimientos adecuados para la gestión del archivo físico.</t>
  </si>
  <si>
    <t>4. Generar convenios Interinstitucionales que permiten el aprovechamiento de recursos y espacios disponibles directamente dentro de la Institución con otras IES.</t>
  </si>
  <si>
    <t>4. Ecosistema de conocimiento en evolución  con el uso de plataformas virtuales que e permitan generar nuevos conocimientos.</t>
  </si>
  <si>
    <t>4. Uso de herramientas TICs y entornos educativos para aplicar el aprendizaje colaborativo.</t>
  </si>
  <si>
    <t>4. Licencias de software, programas, dominios y otras herraminetas que fortalezcan el aprendizaje mediado por las TICs</t>
  </si>
  <si>
    <t>4. Transformación del modelo educativo basado en el uso de las TIC.</t>
  </si>
  <si>
    <t>4. Creación de la Unidad de correspondencia</t>
  </si>
  <si>
    <t>4. Posicionar el CEDE al nivel regional como una incubadora de empresas.</t>
  </si>
  <si>
    <t xml:space="preserve">4. Observatorio de empleabilidad y emprendimiento  (Secre. de la mujer - Observatorio de asuntos de genero) </t>
  </si>
  <si>
    <t>4. Consolidar el consultorio de emprendimiento e innovación social</t>
  </si>
  <si>
    <t>4. Centro de desarrollo, gestión, ejecución e interventoría de proyectos ( Spin OFF)</t>
  </si>
  <si>
    <t>4. Consultorio ambiental y de proyectos.</t>
  </si>
  <si>
    <t>4. Consultorio Contable, Financiero y  Fiscal (Unidad articuladora de  los laboratorios del programa NAF-PBV, como modelo de negocio y espacio de desarrollo de las prácticas de formación)</t>
  </si>
  <si>
    <t>4. Nuevos espacios para el aprendizaje, el descubrimiento y la creación artística y cultural.</t>
  </si>
  <si>
    <t>4. Renovación Infraestructura de Servidores</t>
  </si>
  <si>
    <t>4. Implementación del sistema de Backus y restauración</t>
  </si>
  <si>
    <t>4. Mejoramiento de la conectividad de las sedes</t>
  </si>
  <si>
    <t>4. Definir el Plan Estratégico de Tecnología</t>
  </si>
  <si>
    <t>4. Sistema de información de Bibliotecas para consulta fisica y virtual.
Repositorios, catalogos, bases de datos y libros electrónicos.</t>
  </si>
  <si>
    <t>5. Capacitar en todos los niveles sobre el proceso y los procedimientos de la investigación.</t>
  </si>
  <si>
    <t xml:space="preserve">5. Publicacion de productos derivados de procesos del SIDI, cartillas, memorias, boletines </t>
  </si>
  <si>
    <t>5. Participación en eventos científicos de impacto nacional e Internacional.</t>
  </si>
  <si>
    <t>5. Comunicar y Divulgar procesos de investigación que generen inpacto a la comunidad académica.</t>
  </si>
  <si>
    <t>5. Movilidades nacionales/internacionales  de investigación a semilleros (intercambios, pasantias)</t>
  </si>
  <si>
    <t>5. Socialización de de los linemientos para la hoja de ruta de la investigacion formativa en la FUP.</t>
  </si>
  <si>
    <t>5. Convocatorias y proceso de evaluación interna y externa de proyectos. (I+D - UEES - SEMILLEROS INVESTIGADORES)</t>
  </si>
  <si>
    <t xml:space="preserve">5. Participación de estudiantes pertenencientes a los semilleros de investigación, docentes y administrativos </t>
  </si>
  <si>
    <t>5. Crear un procesos de investigación social (grupo de Investigación) liderado desde Extensión y proyección social.</t>
  </si>
  <si>
    <t>5. Mantener la clasificación del grupo de investigación</t>
  </si>
  <si>
    <t xml:space="preserve">5. Fortalecer la investigación a través de la generación de proyectos y productos de investigación </t>
  </si>
  <si>
    <t xml:space="preserve">5. Categorización de los grupos de investigación </t>
  </si>
  <si>
    <t>4. Contar con nuevos espacios de aprendizaje y/o modernizar los ya existentes tanto en infraestructura como en materiales, equipos, laboratorios y bibliografía o bases de datos</t>
  </si>
  <si>
    <t xml:space="preserve">6. Socialización de la Política de egresados y asegurar la  implementación de sus lineamientos. </t>
  </si>
  <si>
    <t>6. Programas, proyectos y servicios para el desarrollo sostenible, inclusivo y mejoramiento de calidad de vida en la región.</t>
  </si>
  <si>
    <t>6. Educación para la paz: Educadores rurales comunitarios.</t>
  </si>
  <si>
    <t>6. Oferta de cursos, diplomados y/o talleres, seminarios y congresos  en ambientes presenciales virtuales para llegar a toda la comunidad.</t>
  </si>
  <si>
    <t>6. Consolidación de laboratorios de paz y promoción de la resiliencia en la zona rural.</t>
  </si>
  <si>
    <t>6. Promoción de la participación de la ciudadanía y en los programas de desarrollo social.</t>
  </si>
  <si>
    <t>6. Seguimiento a egresados: Monitorear y evaluar el quehacer de los egresados que permita procesos de análisis y determinar planes de acción inmediata, a corto o largo plazo.</t>
  </si>
  <si>
    <t>6. Aplicación, seguimineto y analisis de encuestas momento 0,1 y 5</t>
  </si>
  <si>
    <t>6. RED colaborativa de egresados.</t>
  </si>
  <si>
    <t>6. Reconocimiento a los  Egresados  FUP (Día del Egresado)</t>
  </si>
  <si>
    <t>6. Fortalecimiento en habilidades que propenda el aprendizaje del egresado a lo largo de la vida. Educación continua, emprendimiento, empleo.</t>
  </si>
  <si>
    <t>6. Relacionamiento a egresados: Generar acciones que fomenten escenarios que permitan el intercambio de conocimientos, experiencias exitosas, impactos de investigación, redes sociales, entre otros.</t>
  </si>
  <si>
    <t>6. Bolsa de empleo institucional.</t>
  </si>
  <si>
    <t xml:space="preserve">6. Gestionar nuevas ofertas de formación continua para egresados, y profesionales afines a las ciencias contables. </t>
  </si>
  <si>
    <t>6. Detectar las necesidades del sector externo en temas de formación continua, mediante un análisis de mercado</t>
  </si>
  <si>
    <t>6. Seguimiento y evaluación de los procesos de formación (logísticos, administrativos)</t>
  </si>
  <si>
    <t>6. Articular y apoyar las actividades con los diferentes programas académicos para las propuestas de cursos de extensión.</t>
  </si>
  <si>
    <t>6. Programa de Fortalecimiento Empresarial: Asesorías y Consultorías.</t>
  </si>
  <si>
    <t>6. Actualización de base de datos.</t>
  </si>
  <si>
    <t>6. Encuesta a empleadores: conocer el impacto que están generando nuestros egresados.</t>
  </si>
  <si>
    <t>6. Generar un mayor contacto entre el contexto laboral y la academia, debido al vínculo tan cercano que tiene el egresado con la realidad social actual.</t>
  </si>
  <si>
    <t>6. Percepción del Empleador: Medir el nivel de satisfacción con el desempeño del graduado y estudiante en práctica</t>
  </si>
  <si>
    <t xml:space="preserve">6. Proyecto Club ecológico y de lectura </t>
  </si>
  <si>
    <t>6. Potenciar y fortalecer programas institucionales</t>
  </si>
  <si>
    <t>6. Articulación con los Objetivos de Desarrollo Sostenible</t>
  </si>
  <si>
    <t>6. Semana Social</t>
  </si>
  <si>
    <t>6. Integración al ecosistema del emprendimiento regional, nacional e internacional.</t>
  </si>
  <si>
    <t>6. Articulación Universidad- Empresa- Estado para el fortalecimiento de lo público y el desarrollo productivo por medio de convocatorias internas y externas.</t>
  </si>
  <si>
    <t>6. Actividades académicas y culturales de relacionamiento con instituciones regionales, nacionales e internacionales</t>
  </si>
  <si>
    <t>6. Promover la movilidad académica entrante y saliente</t>
  </si>
  <si>
    <t>6. Desplazamiento temporal, en doble vía, de los miembros de la comunidad académica a otra, con un propósito específico de orden docente, investigativo, académico, administrativo o de extensión; acogiéndose a convenios establecidos por la institución.</t>
  </si>
  <si>
    <t>6. Ecosistemas de bilingüismo:  diseño y puesta en marcha de una aplicación digital ramificada para el aprendizaje de inglés.</t>
  </si>
  <si>
    <t>6. Banco de planes de aula alineados al currículo sugerido de inglés.</t>
  </si>
  <si>
    <t>6. Fortalecimiento de las prácticas pedagógicas con programas de bilingüismo.</t>
  </si>
  <si>
    <t>6. Diseños curriculares, contenidos, y asignaturas que promuevan el desarrollo de competencias interculturales.</t>
  </si>
  <si>
    <t>7. Socializar el programa de estímulos y destacar los procesos educativos, investigativos, artísticos y culturales, cuyo rasgo distintivo es la excelencia y su contribución a la comunidad académica.</t>
  </si>
  <si>
    <t>7. Asignación de responsabilidades y roles dispuestos en los manuales de funciones y según la estructura organizacional.</t>
  </si>
  <si>
    <t>7. Establecer el Plan Anual de Formación y Capacitación con los diferentes programas que permitan garantizar la actualización de  competencias y capacidades de los trabajadores.</t>
  </si>
  <si>
    <t>7. Implementar un Sistema de Gestión Documental</t>
  </si>
  <si>
    <t>7. Diseño del Sistema Integral de Información SIIFUP</t>
  </si>
  <si>
    <t>7. Diseño Sistema de Egresados</t>
  </si>
  <si>
    <t>7. Desarrollar soluciones tecnológicas asociadas al Sistema de Información de Registro estudiantil (SIRES).</t>
  </si>
  <si>
    <t>7. Diseñar una herramienta para la gestión de información y la comunicación interna, que permita mejorar y agilizar la dinámica organizacional.</t>
  </si>
  <si>
    <t>7. Implementación de actividades de la pastoral educativa como eje transversal para la formación integral.</t>
  </si>
  <si>
    <t>7. Establecer programas de promocion y prevencion de enfermedades, estilos de vida saludable</t>
  </si>
  <si>
    <t>7. Propiciar relaciones laborales bajo conceptos de amabilidad, cordialidad,
amistad y respeto.</t>
  </si>
  <si>
    <t>7. Aplicar los  mecanismos de reclutamiento y selección, contratación, formación integral - desarrollo, evaluación y desvinculación del personal.</t>
  </si>
  <si>
    <t xml:space="preserve">7. Identificar los peligros, evaluar y valorar los riesgos estableciendo la intervención para mitigar la probabilidad de ocurrencia y minimizar la potencialización del peligro </t>
  </si>
  <si>
    <t>7. Propender por el trabajo en equipo entre los colaboradores y la
comunicación constante que permite el logro de resultados, introducir
cambios, facilitar transiciones o cambios fundamentales.</t>
  </si>
  <si>
    <t>7. Responsabilidad social y corporativa en la inclusión de todos los
colaboradores y la participación de la comunidad sin ningún precepto de
discriminación, cumpliendo con las exigencias legales y logrando el bien
común.</t>
  </si>
  <si>
    <t>7. Implementar la evaluación 360 grados:
-Mide el rendimiento de los empleados.
-Evaluar las competencias.
-Diseñar planes de formación.
-Planes de carrera y sucesión.</t>
  </si>
  <si>
    <t>7. Identificación y caracterizar las necesidades de capacitación e incluirlas en el Plan Anual de Formación y Capacitación.</t>
  </si>
  <si>
    <t>7. Promocionar un clima laboral positivo que genera la confianza necesaria para mejorar la productividad de los colaboradores y para que destaquen en sus tareas. Por tanto, se debe facilitar un ambiente de trabajo cómodo, positivo y motivante.</t>
  </si>
  <si>
    <t>7. Actividades de promoción, información de las normas y reglamentos de seguridad y salud en el trabajo dentro de la Institución.</t>
  </si>
  <si>
    <t xml:space="preserve">7. Estrategias para promover la participación y el compromiso de los estudiantes, docentes y administrativos. </t>
  </si>
  <si>
    <t>7. Planificar una selección y contratación y una asignación eficaz del cuerpo docente.</t>
  </si>
  <si>
    <t>7. Promover y divulgar al cuerpo profesoral del Estatuto, a través de todos los canales
de comunicación a disposición de la institución de los programas académicos y
dependencias académicas y administrativas.</t>
  </si>
  <si>
    <t>7. Evaluación semestral del número, la dedicación, el nivel de formación y la experiencia de los profesores para la asignación y definición de la labor académica.</t>
  </si>
  <si>
    <t>7. Coordinar acciones en la formación de los docentes, de modo que sus prácticas y actividades pedagógicas incidan en el desarrollo de competencias de los estudiantes.</t>
  </si>
  <si>
    <t>7. Establecer líneas de acción para posibilitar que se provea un espacio de articulación entre el Proyecto Educativo Institucional y el proyecto de vida docente.</t>
  </si>
  <si>
    <t xml:space="preserve">7. Estímulos económicos a la producción intelectual docente y reconocimientos. </t>
  </si>
  <si>
    <t>7. Establecer criterios para la asignación de reconocimientos a docentes por sus aportes en el campo de la investigación, la generación de nuevos productos, el aporte en la excelencia educativa y la solución de problemáticas de tipo social.</t>
  </si>
  <si>
    <t>7. La apreciación de la docencia por parte de los estudiantes
La autoevaluación del profesor
La valoración por parte del jefe inmediato.
Trazar planes de mejora</t>
  </si>
  <si>
    <t>TIPO RECURSOS</t>
  </si>
  <si>
    <t>Fisicos</t>
  </si>
  <si>
    <t>Financieros</t>
  </si>
  <si>
    <t>Tecnológicos</t>
  </si>
  <si>
    <t>Humanos</t>
  </si>
  <si>
    <t xml:space="preserve">EN CONSTRUCCIÓN </t>
  </si>
  <si>
    <t>fup*</t>
  </si>
  <si>
    <t>7. Alistamiento y soporte de matriculas, inscripciones, elecciones,.</t>
  </si>
  <si>
    <t>7. Consolidación base de datos de graduados.</t>
  </si>
  <si>
    <t xml:space="preserve">7. Desarrollo del módulo de Educación Continua
</t>
  </si>
  <si>
    <t>7. Desarrollo del módulo para el Sistema de Gestión de Calidad</t>
  </si>
  <si>
    <t xml:space="preserve">7. Desarrollo del módulo de Registro Académico
</t>
  </si>
  <si>
    <t xml:space="preserve">Labor docente y asignación de coordinaciones y progyectos del programa según los perfiles de los docentes y funciones sustantivas </t>
  </si>
  <si>
    <t xml:space="preserve">Seguimiento y control de la labor docente y asignaciones realizadas frente a las funciones sustantivas y proyectos transversales del programa </t>
  </si>
  <si>
    <t>Capacitaciones e inclusión de material bibliográfico en los microcurrículos de las asignaturas del programa</t>
  </si>
  <si>
    <t xml:space="preserve">Fomentar en los docentes la capacitación en un segundo idioma.
Incluir en los algunos de los microcurrículos del programa textos en un segundo idioma. </t>
  </si>
  <si>
    <t xml:space="preserve">Participación de docentes en actividades artísticas y de cultura. </t>
  </si>
  <si>
    <t>Capacitaciones en torno a la pedagogía, metodología y técnicas para el quehacer docente</t>
  </si>
  <si>
    <t>Fomentar en los docentes la asistencia a capacitaciones y actualización en pedagogía para la mejora en las prácticas o métodos de enseñanza</t>
  </si>
  <si>
    <t xml:space="preserve">Gestionar y coordinar visitas técnicas a diferentes medios y organizaciones de la comunicación social, el periodismo y afines para el aprendizaje real en el campo de trabajo </t>
  </si>
  <si>
    <t xml:space="preserve">Organización y proceso de compra de material bibliográfico para el programa. </t>
  </si>
  <si>
    <t>Número de bases de datos, revistas digitales o repositorios institucionales, evaluadas, revisadas y/o actualizadas</t>
  </si>
  <si>
    <t xml:space="preserve">Cursos cortos y asesorías frente a la preparación de las pruebas Saber PRO. </t>
  </si>
  <si>
    <t>Informe de atención y acompañamiento a aquellos estudiantes que se han identificado con posibles causas de deserción o bajo rendimiento</t>
  </si>
  <si>
    <t xml:space="preserve">Número de estudiantes participando de actividades de cultura, artes y otros escenarios de expresión y crecimiento personal. 
</t>
  </si>
  <si>
    <t xml:space="preserve">En conjunto con Bienestar Universitario estructurar un plan o participar del institucional, frente a las actividades propuestas en torno a la expresión y cultura. 
Jornadas de formación integral, lideradas por Bienestar Institucional que permitan evidenciar el resultado de la meta. </t>
  </si>
  <si>
    <t xml:space="preserve">Fomentar en los docentes la asistencia a capacitaciones y actualización en pedagogía para la mejora en las prácticas o métodos de enseñanza en articulación con la Escuela de Desarrollo Profesoral. </t>
  </si>
  <si>
    <t xml:space="preserve">Informe de las salidas académicas que soporte a través de imágenes y compromisos (de ser posible) la participación docente y de estudiantes. </t>
  </si>
  <si>
    <t xml:space="preserve">Listado de referencias bibliográficas adquiridas que garanticen que el material de apoyo sea suficientes y que de cumplimiento a las temáticas consignadas en los microcurriculos del programa. </t>
  </si>
  <si>
    <t xml:space="preserve">Revisión y adquisión de medios educativos e infraestructura tecnológica que garantice el aprendizaje y las prácticas como resultado de los consignado en los contenidos curriculares. </t>
  </si>
  <si>
    <t xml:space="preserve">Análisis de los resultados de los simulacros y pruebas Saber PRO derivado de esta labor se establece un cronograma de trabajo en el marco de la presentación de las pruebas Saber PRO tanto en competencias generales como específicas y con mayor énfasis en aquellas áreas que se deben reforzar. </t>
  </si>
  <si>
    <t>En conjunto con Bienestar Universitario realizar el acompañamiento a aquellos estudiantes que presentan alertas frente a deserción, bajo rendiiento entre otras, y que deben ser remitidos al área de psicología, escuela de lectoescritura u otras dependencias según su especificidad.</t>
  </si>
  <si>
    <t xml:space="preserve">Informe de atención y acompañamiento a aquellos estudiantes que se han identificado con posibles causas de deserción o bajo rendimiento seguimiento realizado desde el programa académico. </t>
  </si>
  <si>
    <t xml:space="preserve">En conjunto con Bienestar Universitario realizar el acompañamiento a aquellos estudiantes que presentan alertas frente a deserción, bajo rendiiento entre otras, y que deben ser remitidos al área de psicología, escuela de lectoescritura u otras dependencias según su especificidad. </t>
  </si>
  <si>
    <t xml:space="preserve">En conjunto con Bienestar Universitario realizar el acompañamiento a aquellos estudiantes que presentan alertas frente a deserción, bajo rendiiento entre otras, y que deben ser remitidos al área de psicología, escuela de lectoescritura u otras dependencias según su especificidad, generando estrategias que fortalezcan el acompañamiento a la población que presente situaciones particulares.  </t>
  </si>
  <si>
    <t>Informe de atención y acompañamiento a aquellos estudiantes que se han identificado con posibles causas de deserción o bajo rendimiento.</t>
  </si>
  <si>
    <t>Seguimiento y control de la labor docente y asignaciones realizadas frente a las funciones sustantivas y proyectos transversales del programa.</t>
  </si>
  <si>
    <r>
      <t xml:space="preserve">Fortalecer actividades que permitan generar espacios entre los docentes, para el desarrollo artística y cultural articulado con las estrategias de Bienestar Universitario. 
</t>
    </r>
    <r>
      <rPr>
        <sz val="9"/>
        <color rgb="FFFF0000"/>
        <rFont val="Tahoma"/>
        <family val="2"/>
      </rPr>
      <t/>
    </r>
  </si>
  <si>
    <t xml:space="preserve">4. Gestión de eventos organizacionales, académicos, culturales, deportivos </t>
  </si>
  <si>
    <t>SEGUIMIENTO</t>
  </si>
  <si>
    <t xml:space="preserve">Observaciones </t>
  </si>
  <si>
    <t>indicador</t>
  </si>
  <si>
    <t>ADEMAGRO VIRTAL</t>
  </si>
  <si>
    <t>DOCENCIA</t>
  </si>
  <si>
    <t>Documento con analisis de resultados
Actas de asistencia</t>
  </si>
  <si>
    <t>Análisis de los resultados de Pruebas SaberPro programas virtuales
Talleres extra curriculares
Capacitación docente del alcance de las pruebas y elaboración de cuestionarios afines a la metodología de las pruebas saber pro.</t>
  </si>
  <si>
    <t>Curso de ingles virtualizado</t>
  </si>
  <si>
    <t>Diseño y Virtualización diplomado/seminario de  ingles (120h)</t>
  </si>
  <si>
    <t>Actas de asistencia 
Memorias</t>
  </si>
  <si>
    <t xml:space="preserve">Capacitación en didactica y pedagogia virtual </t>
  </si>
  <si>
    <t>Rubricas de evaluación</t>
  </si>
  <si>
    <t>Elaboración de rubricas de evaluación de las asignaturas de los programas virtuales</t>
  </si>
  <si>
    <t>INV-01</t>
  </si>
  <si>
    <t>INVESTIGACIÓN</t>
  </si>
  <si>
    <t>CANTIDAD</t>
  </si>
  <si>
    <t>EXT-01</t>
  </si>
  <si>
    <t xml:space="preserve">Actas (Registro) de asistencia </t>
  </si>
  <si>
    <t>Socialización de los servicios de bienestar para los estudiantes virtuales.
Establecer un canal virtual para la atención de estudiantes virtuales.</t>
  </si>
  <si>
    <t>EXT-02</t>
  </si>
  <si>
    <t xml:space="preserve">Informe y actas de seguimiento </t>
  </si>
  <si>
    <t xml:space="preserve">Identificación de estudiantes ausentes y posibles causas
Acompañamiento académico a estudiantes que presentan dificultades en su desarrollo academico </t>
  </si>
  <si>
    <t>EXT-03</t>
  </si>
  <si>
    <t>EXT-04</t>
  </si>
  <si>
    <t>COM-01</t>
  </si>
  <si>
    <t>COM-02</t>
  </si>
  <si>
    <t>COM-03</t>
  </si>
  <si>
    <t>COM-04</t>
  </si>
  <si>
    <t>Medio de comunicación alterno</t>
  </si>
  <si>
    <t>Establecer un medio de comunicación alterno al correo institucional y plataforma UNIVIDA para la atención a la comunidad academica (programas virtuales)</t>
  </si>
  <si>
    <t>COMPLETARIOS</t>
  </si>
  <si>
    <t>Informe de resultados de pruebas saber Pro, Informe de Analsis de resultados de los simulacros y las pruebas, Plan de Mejora.</t>
  </si>
  <si>
    <t>Discución en comité sobre resultados y elementos a mejorar 1. Convocatoria para inscripciones</t>
  </si>
  <si>
    <t>2. participacion en el simulacro</t>
  </si>
  <si>
    <t>3. realizacion del simulacro</t>
  </si>
  <si>
    <t>4. presentación de la prueba</t>
  </si>
  <si>
    <t>5. Informe con analisi de resultados tanto del simulacro como de la prueba</t>
  </si>
  <si>
    <t>6. Elaboración plan de mejora</t>
  </si>
  <si>
    <t>Certificado</t>
  </si>
  <si>
    <t xml:space="preserve">Participacion de curso de ingles para docentes y directivos.
</t>
  </si>
  <si>
    <t>Microcurriculo</t>
  </si>
  <si>
    <t>Incluir en el microcurriculo de almenos una materia por semestre una actividad, lectura o taller en segundo idioma</t>
  </si>
  <si>
    <t>Informe de la visita técnica o salidas de campo, Microcurriculo que evdencie el resultado de aprendizage a partir de la salida tecnica</t>
  </si>
  <si>
    <t>Planeación de la visita técnica</t>
  </si>
  <si>
    <t>Convocatoria a estudiantes de la visita técnica</t>
  </si>
  <si>
    <t>Ejecuciónd de la visita</t>
  </si>
  <si>
    <t>Orden de compra del material bibliográfico</t>
  </si>
  <si>
    <t>Identificar necesidades de material bibliográfico requerido en comité curricular</t>
  </si>
  <si>
    <t>Cotizar el material con el acompañamiento de la persona encargada de la biblioteca.</t>
  </si>
  <si>
    <t>Informe de seguimiento a estudiantes identificados a traves de alertas tempranas y plan de mejora para los mismos.</t>
  </si>
  <si>
    <t>Revisar información de sistemas de alertas tempranas para estudiantes, en discusión en comité curricular, identificando las estrategias a utilizarse con dichos estudisntes en compañia de Bienestar institucional.</t>
  </si>
  <si>
    <t xml:space="preserve">Diseño y ejecución de plan </t>
  </si>
  <si>
    <t>ADMINISTRACIÓN DE EMPRESAS</t>
  </si>
  <si>
    <t>INV-04</t>
  </si>
  <si>
    <t>EXT-06</t>
  </si>
  <si>
    <t>EXT-07</t>
  </si>
  <si>
    <t>EXT-08</t>
  </si>
  <si>
    <t>EXT-09</t>
  </si>
  <si>
    <t>EXT-10</t>
  </si>
  <si>
    <t>COM-05</t>
  </si>
  <si>
    <t>COM-06</t>
  </si>
  <si>
    <t>INFORMES Y LISTADOS DE ASISTENCIA A CURSOS INTRODUCTORIOS Y DE REFUERZO.</t>
  </si>
  <si>
    <t>Realizar cursos introductorios en competencias básicas y en los principales ejes disciplinares del programa para estudiantes de primer semestre. Ofertar cursos y talleres de refuerzo obligatorios para estudiantes en bajo rendimiento; asi como en el uso de herramientas ofimaticas nivel básico e intermedio.</t>
  </si>
  <si>
    <t>COM-07</t>
  </si>
  <si>
    <t>Proceso Misional 
____________
Complementario</t>
  </si>
  <si>
    <t>Documento interno con la caracterización, actas y listado de asistencia en la construcción de este.</t>
  </si>
  <si>
    <t>Talleres, seminarios y/o cursos.</t>
  </si>
  <si>
    <t>Documento y listado de asistencia en la construcción de este.</t>
  </si>
  <si>
    <t>Estrategias derivadas de la construcción del diagnostico donde incluye la caracterización de estudiante del programa de arquitectura FUP.</t>
  </si>
  <si>
    <t>Talleres, seminarios y/o cursos, actas, correos y asistencias.</t>
  </si>
  <si>
    <t>2 pruebas simulacros e informe de resultados, actas y listado de asistencia en la construcción de este.</t>
  </si>
  <si>
    <t xml:space="preserve">Talleres en conjunto y/o simulacro pruebas saber desde la lectura y el pensamiento crítico.
Análisis de resultados tanto de simulacros como de las pruebas Saber Pro.                                                                Estructuración de mecanismos para el Plan de Mejora.                                                                                        </t>
  </si>
  <si>
    <t>4 Talleres en alianza con programa de comunicaciones (escuela de lectoescritura) y con Bienestar Universitario, para el fortalecimiento al estudiante y el docente en estos aspectos.</t>
  </si>
  <si>
    <t>Documento final como apoyo al programa, actas y listado de asistencia en la construcción de este.</t>
  </si>
  <si>
    <t>Capacitación en aprendizajes y pedagogías en la arquitectura, articulado con la escuela de desarrollo profesional.</t>
  </si>
  <si>
    <t>Rúbrica de evaluación</t>
  </si>
  <si>
    <t>Diseño y estructura de la rúbrica del Programa. De esa manera, poder estructurar un documento en consolidación de la meta requerida como parte del proceso de formación.</t>
  </si>
  <si>
    <t>Informe final de asignatura con experiencia de aula, información necesaria en compilación para mejoramiento de estructuras pedagógicas y desarrollo de los talleres de arquitectura en la FUP. Además que evidencie la importancia en la labor docente por la pertinencia del reconocimiento de los antecedentes y referentes.</t>
  </si>
  <si>
    <t>Visitas de los talleres de arquitectura a diferentes espacios de aprendizaje arquitectónico, para visualizar y comprender los diferentes funcionamientos según el contexto.</t>
  </si>
  <si>
    <t>ARQUITECTURA POPAYÁN</t>
  </si>
  <si>
    <t>Herramientas tecnológicas y de construcción.</t>
  </si>
  <si>
    <t>Fortalecimiento de Fab Lab, consultorio arquitectónico y laboratorio de construcción, desde estos espacios propender por el desarrollo del pensamiento diverso (tecnologías) del estudiante y el docente. Además, potencializar en la región en alianza con Ingeniería Industrial  la prestación del servicio del Fab Lab con otras instituciones gubernamentales, privadas y demás.</t>
  </si>
  <si>
    <t>Material bibliográfico</t>
  </si>
  <si>
    <t>Actualización fisica y digital de la biblioteca.</t>
  </si>
  <si>
    <t xml:space="preserve">Número de estudiantes participando de actividades de cultura, artes y otros escenarios de expresión y crecimiento personal. </t>
  </si>
  <si>
    <t xml:space="preserve">En conjunto con Bienestar Universitario estructurar un plan o participar del institucional, frente a las actividades propuestas en torno a la expresión y cultura. </t>
  </si>
  <si>
    <t xml:space="preserve">Articularnos con el plan de trabajo de bienestar institucional frente a las actividades artísticas y de cultura ofertadas para los docentes de la institución y del programa </t>
  </si>
  <si>
    <t xml:space="preserve">Informe de las salidas académicas que soporte a través de imágenes y compromisos (de ser posible) la participación docente y de estudiantes </t>
  </si>
  <si>
    <t xml:space="preserve">Listado de referencias bibliográficas adquiridas </t>
  </si>
  <si>
    <t xml:space="preserve">Revisión y adquisión de medios educativos e infraestructura tecnológica que soporte las funciones sustantivas del programa académico </t>
  </si>
  <si>
    <t xml:space="preserve">Cronograma de trabajo en el marcode la presentación de las pruebas Saber PRO tanto en competencias generales como específicas. </t>
  </si>
  <si>
    <t xml:space="preserve">En conjunto con Bienestar Universitario realizar el acompañamiento a aquellos estudiantes que presentan alertas frente a deserción, bajo rendiiento entre otras, y que deben ser remitidos al área de psicología, escuela de lectoescritura u otras dependencias según su especificidad </t>
  </si>
  <si>
    <t>COMUNICACIÓN SOCIAL (VIRTUAL)</t>
  </si>
  <si>
    <t>COMUNICACIÓN SOCIAL (PRESENCIAL)</t>
  </si>
  <si>
    <t>INFORME TÉCNICO DE LA APLICACIÓN DEL SIMULACRO - ANALISIS DE RESULTADOS TANTO DE SIMULACROS COMO DE LAS PRUEBAS SABER PRO - ESTRUCTUTRACIÓN DE MECANISMOS PARA EL PLAN DE MEJORA</t>
  </si>
  <si>
    <t xml:space="preserve">Aplicar una prueba semestral, tipo SaberPro en los semestres 3 -5 y 8. Diseñada  según  las competencias genéricas y específicas que se miden en el campo de la contaduría, economía, administración y afines. 
</t>
  </si>
  <si>
    <t>INFORME TÉCNICO Y EVIDENCIA AUDIOVISUAL DE LAS ACTIVIDADES Y SALIDAS DE CAMPO
DOCUMENTO QUE EVIDENCIE LA EFECTIVIDAD DEL TRABAJO DE CAMPO ARTICULADO CON LA LABOR ACADEMICA.</t>
  </si>
  <si>
    <t>Realizar al menos 10 visitas  técnicas y salidas de campo en organizaciones empresariales, asociaciones campesinas y comunitarias, universidades, centros tecnológicos y de investgación, etc a nivel local, regional, nacional o internacional.</t>
  </si>
  <si>
    <t>INFORME TÉCNICO - TALLERES DE CAPACITACIÓN PEDAGÓGICA EN ESPACIOS INTERINSTITUCIONALES.</t>
  </si>
  <si>
    <t>Desarrollar en articulación con universidades de reconocida trayectoria en la formación de contadores públicos a nivel nacional, al menos un FOCUS GROUP pedagógico presencial por año, donde se puedan reconocer acciones y estrategias de formación exitosas, replicables  en nuestros espacios académicos e institucionales. PARA QUE FACILITEN HERRAMIENTAS AL DOCENTE PARA FORTALECER SUS PROCESOS DE ENSENANZA APRENDIZAJE EVIDENCIADO EN LOS RESULTADOS DE APRENDIZAJE.</t>
  </si>
  <si>
    <t>INFORMES Y EVIDENCIAS AUDIOVISUALES DE LOS TALLERES DE FORMACIÓN Y CAPACITACIÓN  Y/O CERTIFICACIONES EMITIDAS POR CENTROS DE ESTUDIOS  RECONOCIDOS A NIVEL NACIONAL  E INTERNACIONAL.
MICROCURRICULO CON EL COMPONENTE EN UN SEGUNDO IDIOMA.</t>
  </si>
  <si>
    <t xml:space="preserve">Diseñar y ofertar cursos en ingles, nivel básico, intermedio y avanzado, con enfoque técnico especializado en los campos disciplinarios de la contaduría. Especialmente con el fin de ampliar la comprensión de los anglicismos usados  en la economía y las finanzas.
</t>
  </si>
  <si>
    <t>INFORMES Y LISTADO DE ASISTENCIA A LOS CURSOS EN HABILIDADES BLANDAS Y  COMUNICACIONALES. 
DOCUMENTO DONDE EVIDENCIE EL ANALISIS DE LA META.</t>
  </si>
  <si>
    <t xml:space="preserve">Gestionar cursos refuerzo semanales en formación comunicativa, para estudiantes de 7mo, 8vo y 9no semestre. Con el fin de fortalecer sus capacidades de relacionamiento con el entorno económico y organizacional, dada su proximidad e inicio de sus prácticas, consultorias, pasantías y e investigaciones de campo. 
</t>
  </si>
  <si>
    <t>CONTADURÍA PÚBLICA</t>
  </si>
  <si>
    <t>INFORME TÉCNICO Y EVIDENCIA AUDIOVISUAL DE LAS ACTIVIDADES DEL CLUB FINANCIERO</t>
  </si>
  <si>
    <t xml:space="preserve">Crear y formalizar el Club Financiero - FUP. Un equipo de trabajo docente-estudiantil que se encargaran de diseñar, promocionar y visibilizar actividades continuas de educación financiera, desde los recursos y medios del punto de bolsa de valores. </t>
  </si>
  <si>
    <t>COM-08</t>
  </si>
  <si>
    <t>COM-09</t>
  </si>
  <si>
    <t xml:space="preserve">Capacitaciones para la comunidad educativa con el propósito de fortalecer las habiliades blandas y la comunicación acertiva
</t>
  </si>
  <si>
    <t>MICROCURRICULO CON EL COMPONENTE EN UN SEGUNDO IDIOMA.</t>
  </si>
  <si>
    <t xml:space="preserve">Formación Docente en una segunda lengua
Incluir en los algunos de los microcurrículos del programa textos en un segundo idioma. </t>
  </si>
  <si>
    <t xml:space="preserve">Factura de Compra
</t>
  </si>
  <si>
    <t xml:space="preserve">Renovación material bibliográfico
</t>
  </si>
  <si>
    <t>Listas de asistencia, fotografías.</t>
  </si>
  <si>
    <t xml:space="preserve">Realizar 1 taller en pruebas Saber Pro dirigido a docentes.
Realizar 1 taller en pruebas Saber Pro dirigido a estudiantes.
</t>
  </si>
  <si>
    <t xml:space="preserve">Realizar un evento (Seminario, Taller, Simposio) dirigido a docentes sobre: estrategias pedagógicas, resultados de aprendizaje, inclusión y diversidad y herramientas TIC. 
</t>
  </si>
  <si>
    <t xml:space="preserve">Realizar un evento (Seminario, Taller, Simposio) dirigido a estudiantes sobre: habilidades blandas y comunicación asertiva.
</t>
  </si>
  <si>
    <t>DERECHO POPAYÁN</t>
  </si>
  <si>
    <t>Listados asistencia, fotografías e informes de gestión</t>
  </si>
  <si>
    <t>Diseño y propuesta en marcha de programa de relacionamiento local, como apuesta al escenario de interacción de espacios académicos con espacios prácticos dirigidos a la comunidad estudiantil</t>
  </si>
  <si>
    <t xml:space="preserve">DERECHO SANTANDER </t>
  </si>
  <si>
    <t>INGENIERÍA DE SISTEMAS</t>
  </si>
  <si>
    <t xml:space="preserve">Actas de sensibilización,  acta o informe de intervenciones psicologicas,  formatos institucionales, medicion del impacto en elos estudiantes. </t>
  </si>
  <si>
    <t xml:space="preserve">Diseño de estrategia de acompañamiento a los estudaintes proyecto ROCKET, donde se motiva, se autosostiene a través de relacionamiento con sector externo con actividades de impacto social.  Reconocimiento académico, cultural, emprendimiento, investigación de los estudiantes del Programa. Reconocimiento a los estudiantes que cursan la oferta de:
1. Proyecto social TIC del plan de estudios del programa 
2. Refrigerios y brindis para los participantes des diferentes cursos de proyecto social TIC
Este aspecto está considerado en el documento maestro, como desarrollo actividades de servicio social a la comunidad.
</t>
  </si>
  <si>
    <t>Actas, piezas graficas, correos insitucionales</t>
  </si>
  <si>
    <t xml:space="preserve">Capacitación en temas de formación integral estudiantes, egresados y comunidad académica, Semana social y Cultural, articulado con Binestar Insitucional para el fortalecimiento de de la formacion integral del estudiante. 
</t>
  </si>
  <si>
    <t xml:space="preserve">Generar acercamiento con otras instituciones, a través de analisis de doble tirulacion con otras IES de esta manera fortalcer la articulación en aspectos de doble titulación y fortalecimiento de competencias, Movilidades Regional, Nacionales e Internacionales - (Internacionalización)
</t>
  </si>
  <si>
    <t xml:space="preserve">Actas, piezas graficas, correos insitucionales, Informe de Gestión </t>
  </si>
  <si>
    <t xml:space="preserve">Actividades de mercadeo del programa académico para el fortalecimiento del número de estudiantes, Participación de estudiantes de la región en actividades de la semana social (Scratch Day, Maratón del pensamiento computacional) articulado con Bienestar Insitucional para el fortalecimiento de de la formacion integral del estudiante. </t>
  </si>
  <si>
    <t>Actas, listado de asitencia, evidencia fotográfica</t>
  </si>
  <si>
    <t>Encuentro con empresas e instituciones con el fin de fortalecer vinculos desde los trabajos de grado, practicas empresariales y proyectos esternos e internos.</t>
  </si>
  <si>
    <t>Actas, listado de asitencia, evidencia fotográfica, estrategia de seguimineto del egresado.</t>
  </si>
  <si>
    <t xml:space="preserve">Participacion en eventos nacionales e internacionales como estrategia académicas y participación en eventos como pensamiento computacional, análisis crítico, habilidades matemático. Asi mismo articularse con el sector externo y egresados en el medio a traves de estrategias para identificar el aporte del egresado en la solucion de problemas. 
</t>
  </si>
  <si>
    <t xml:space="preserve">Actas, listado de asitencia, evidencia fotográfica, Informe de Gestión 
Informe de resultados de simulacro y pruebas saber pro.
Plan de mejora
</t>
  </si>
  <si>
    <t xml:space="preserve">Actas, listado de asitencia, evidencia fotográfica, documento análisis de las estrategias de capacitación y talleres de competencias lectoescritoras. 
</t>
  </si>
  <si>
    <t>Actas, listado de asitencia, evidencia fotográfica, diseño de una estretgia para medir el impacto de las conferencias y capacitaciones, a traves de una herramienta o prueba del area correspondiente.</t>
  </si>
  <si>
    <t>Actividades de articulación con capacitaciones y talleres para los estudiantes, egresados y docentes de 1 a 9 semestre en habilidades blandas e inteligencia emocional. Articulado con la oficina de Bienestar Institucional.</t>
  </si>
  <si>
    <t>Actas, listado de asitencia, evidencia fotográfica.  Documento PEP donde se describa la estrategia y  medición del impacto de la articulación, a través de una herramienta o prueba del area correspondiente. Y Actualiacion de los perfiles de egreso a traves d ela dinamica de la estrategia.</t>
  </si>
  <si>
    <t xml:space="preserve">Actas, listado de asitencia, evidencia fotográfica, Documento maestro, Documento PEP, donde se describen los perfiles en las areas misionales.
</t>
  </si>
  <si>
    <t>Actas, listado de asitencia, evidencia fotográfica, documento PEP donde se articula con el documento LYCRA e identificación a través de los planes de mejora de la medición de RA los aspectos a mejorar como rubricas o actualización de contenidos y estrategias pedagógicas.</t>
  </si>
  <si>
    <t>Actas, Inventario del material bibliografico</t>
  </si>
  <si>
    <t>Revisión de las necesidades del programa académico de acuerdo a los resultados de aprendizaje del programa académica y perfil del egreso, en cuanto a necesidades Medios educativos e infraestructura tecnológica, Fortalecimiento de herramientas tecnológicas (Cursos en línea, Capacitaciones, Talleres)</t>
  </si>
  <si>
    <t xml:space="preserve">Actas, listado de asitencia, evidencia fotográfica, Informe de Gestión </t>
  </si>
  <si>
    <t>Acompañamiento y formación integral para estudiantes, docentes y egresados, Intervención Practicantes de Psicología, Bienestar Institucional</t>
  </si>
  <si>
    <t>Capacitaciones y formación integral para estudiantes, docentes y egresados</t>
  </si>
  <si>
    <t xml:space="preserve">Actas, listado de asitencia, Remisión a bienestar formato institucional </t>
  </si>
  <si>
    <t xml:space="preserve">Identificación de las necesidades de los estudiantes, docentes, egresados, brindando información del proceso </t>
  </si>
  <si>
    <t xml:space="preserve">Acta, resolución </t>
  </si>
  <si>
    <t xml:space="preserve">Apoyo a estudiantes del programa académico mediante aliados estratégicos, Becas a estudiantes destacados del programa. </t>
  </si>
  <si>
    <t>Actas, listado de estudiantes, remisión a bienestar formato institucional</t>
  </si>
  <si>
    <t>Identificación de los estudiantes en situación de riesgo académico y posible deserción, acompañamiento con estrategias del programa, como lo es asesorías en los temas específicos, remisión psicológica, etc.</t>
  </si>
  <si>
    <t>Diseño de estrategias académicas y de acompañamiento desde el programa como eventos internos, regionales, nacionales e internacionales.  Consecución de recursos para apoyo de becas estudiantes.</t>
  </si>
  <si>
    <t>Acta de Reunión, Mesas de Trabajo</t>
  </si>
  <si>
    <t>Análisis de la información del programa en las causas de deserción y repotencia y acompañamiento.</t>
  </si>
  <si>
    <t>Actas, listado de asitencia, evidencia fotográfica, Informe de Gestión donde se evidencie la efectividad del trabajo de campo articulado con la labor académica, documento PEP con estrategias articuladas al documento LYCRA</t>
  </si>
  <si>
    <t xml:space="preserve">Movilidad académica Locales, regionales, nacionales e internacionales, con enfoque Tecnológico. Encuentro de prácticas empresariales:
</t>
  </si>
  <si>
    <t xml:space="preserve">Actas, listado de asistencia, evidencia fotográfica, Informe de Gestión </t>
  </si>
  <si>
    <t xml:space="preserve">Identificación de las problemáticas, Seguimiento a estudiantes, vinculación de estudiantes a estrategias del programa </t>
  </si>
  <si>
    <t>Informe de gestión, Remisión a bienestar institucional</t>
  </si>
  <si>
    <t xml:space="preserve">Identificación de las problemáticas, Seguimiento a estudiantes, vinculación de estudiantes a estrategias del programa y bienestar institucional </t>
  </si>
  <si>
    <t>Formatos de visitas técnicas, listados de asistencia, formatos de viáticos</t>
  </si>
  <si>
    <t>Realización de al menos 5 prácticas empresariales por semestre con estudiantes de los diferentes semestres para fortalecer su conocimiento teorico práctico.
Solicitud de viáticos para los docentes.</t>
  </si>
  <si>
    <t>INGENIERÍA INDUSTRIAL POPAYÁN</t>
  </si>
  <si>
    <t xml:space="preserve">listado de aistencia - informe vista </t>
  </si>
  <si>
    <t>Visita empresarial con alumnos de primer semestre (empresa local)</t>
  </si>
  <si>
    <t>vista empresarial con alumnos de primer semestre (empresa nacional)</t>
  </si>
  <si>
    <t>Convenios, actas de reunión, registros fotográficos, propuesta de doble titulación.</t>
  </si>
  <si>
    <t>Convenios, actas de reunión, registros fotográficos.</t>
  </si>
  <si>
    <t>Formular estrategias de mercadeo a través de visitas a colegios de la ciudad o colegios rurales del departamente. 
Participación en ferias empresariales, traslado de personal docente y administrativo para promción del programa académico.</t>
  </si>
  <si>
    <t>Actas de reunión, convenios, registros fotográficos.</t>
  </si>
  <si>
    <t>Sencibilización de estudiantes de últimos grados de bachiller con instituciones que aportan mayos numero de sus egresados en el progrma de ingeniería Industrial según el resultados de la caracterización.</t>
  </si>
  <si>
    <t>Registro de simulacros, listsdos de asistencia, actas de reunión, solicitud de viáticos.</t>
  </si>
  <si>
    <t>Fortalecer la estrategias en función de mejorar los resultados de los estudiantes en las pruebas de estado.
Articulación de buenas prácticas que hayan realizado otros programas académicos (Arquitectura) frente al análisis del desempeño en resultados Saber PRO.
Análisis de la información histórica y estadística.
Buscar IES pares para realizar mesas de tabajo en función de articulación de estrategias (ACOFI)</t>
  </si>
  <si>
    <t>Solicitud de viáticos, listados de asistencia y actas de reunión.</t>
  </si>
  <si>
    <t>Estandarización de estregias, procesos, guías y demás con el programa de Sede Santander de Q. con los docentes de los programas académicos.
Consolidación de comunidad de docentes que contribuyan al fortalecimiento de las funciones sustantivas y soportes de la cualificación docente y la distribución de labores de los programas de la facultad.</t>
  </si>
  <si>
    <t xml:space="preserve">Solicitar la actualización de material bibliográficos según los contenidos curriculares del programa académico.
Cotización y compra de textos </t>
  </si>
  <si>
    <t>Actas de asistencia, actas de reunión de comité curriular, registros fotográficos.</t>
  </si>
  <si>
    <t>Aplicar estrategias en articulación con Bienestar Universitarios para prevenier el riesgo de ausentismo estudiantil.
Realizar mesas de trabajo con estudiantes.
Generar estrategias de comunicación con los docentes para detectar casos especiales con sus estudiantes.</t>
  </si>
  <si>
    <t>Realizar estrategias con el cuerpo docente y planta administrativa del programa académico para generar y articular estrategias de contactabilidad de estudiantes desertores y ausentes.
Encuentros presenciales o viertuales para determinar causas y posibles causas de insersión estudiantil.</t>
  </si>
  <si>
    <t>Fortalecer o contruir estrategias conjunatas con Bienestar para evaluar la deserción y repintencia, los cuales son indicadores del proceso de docencia y permiten realizar estudios que generen actividades en pro de estos indicadores.
Realizar mesas de traajo, capacitaciones, analisis de resultados.
Socializar las estrategias y los análisis para la articulación con los programa en AP. Santander de Q.</t>
  </si>
  <si>
    <t>Actas de reunión, listados de asistencia, registro fotográfico</t>
  </si>
  <si>
    <t>Certificados finalización de cursos, listados de asistencia</t>
  </si>
  <si>
    <t>Brindar a los docentes del programa la accesibilidad a potenciar una segunda lengua a través de los cursos ofertados por la EDP</t>
  </si>
  <si>
    <t>Ofertar por parte de los programas y el área de bienestar del campus Álvaro Ulcué Chocué, espacios para el fortalecimiento de competencias en lo referido, a través de talleres o cursos.</t>
  </si>
  <si>
    <t>Ofertas cursos de actualización de docencia universitaria y otros cursos mas de la competencia.</t>
  </si>
  <si>
    <t>INGENIERÍA INDUSTRIAL SANTANDER</t>
  </si>
  <si>
    <t>Listados de asistencia, registro fotográfico</t>
  </si>
  <si>
    <t>Generar estrategias de mercadeo en el área rural del municipio, a fin de llegar a toda la población</t>
  </si>
  <si>
    <t>Generar estrategias de corto, mediano y largo plazo, que asegure el aprendizaje, la calidad y el alcance de competencias desde un horizonte de Resultados del Aprendizaje.</t>
  </si>
  <si>
    <t>Realizar visitas técnicas a los laboratorios del programa en las sedes san josé y los robles</t>
  </si>
  <si>
    <t>Formato de cotización y factura de compra</t>
  </si>
  <si>
    <t>Realizar cotizaciónes sobre la adquiscion de material bibliografico físico y/o digital.</t>
  </si>
  <si>
    <t xml:space="preserve">Realizar la compra de material bibliografico para el fortalecimiento académico del programa. </t>
  </si>
  <si>
    <t xml:space="preserve">Número de Libros comprados para el centro de Consulta Pedagógico Artístico y Cultural de la Facultad de Educación San Camilo.
</t>
  </si>
  <si>
    <t xml:space="preserve">Factura de Compra de Material Bibliográfico o formato de legalización de anticipos de material bibliográfico acorde a las áreas de formación.
</t>
  </si>
  <si>
    <t>Compra de Material Bibliográfico en Educación Arte y Cultura acorde a las necesidades de las áreas de formación.</t>
  </si>
  <si>
    <t>Numero de docentes patrocinados por la FUP para estudios Posgraduales.</t>
  </si>
  <si>
    <t>Actas de espacios de capacitación y 
 encuesta que describa el impacto y la evaluación de las capacitaciones.</t>
  </si>
  <si>
    <t>Socialización del Plan de Beneficios Institucional, en Articulación con la Escuela de desarrollo profesoral</t>
  </si>
  <si>
    <t>LICENCIATURA POPAYÁN</t>
  </si>
  <si>
    <t>Visualización del Micrositio del programa en la Página institucional.</t>
  </si>
  <si>
    <t>Micrositio del programa de LEAC</t>
  </si>
  <si>
    <t>Apoyo y acompañamiento en la divulgación de la información en nichos de Mercado y espacios publicitarios de interés en Educación, Arte y Cultura.</t>
  </si>
  <si>
    <t>Listados de estudiantes asistentes a las capacitaciones de formación integral</t>
  </si>
  <si>
    <t>Capacitaciones en manejo del tiempo, técnicas de estudio, manejo de las emociones, comunicación acertiva entre otras en atención a las necesidades del estudiante  del programa de LEAC.</t>
  </si>
  <si>
    <t>Numero de estudiantes Leac capacitados por la institucion en saber pro o número de Estudiantes que presentaron el simulacro</t>
  </si>
  <si>
    <t>Listados de estudiantes Leac capacitados por la institucion en saber pro o número de Estudiantes que presentaron el simulacro</t>
  </si>
  <si>
    <t>Presentación de simulacros y otras estrategias para fortalecer los resultados en las pruebas saber pro.</t>
  </si>
  <si>
    <t xml:space="preserve">Actas, fotos e informes de gestión.   </t>
  </si>
  <si>
    <t xml:space="preserve">Actas, examen tipo Saber Pro e informes de gestión.   </t>
  </si>
  <si>
    <t xml:space="preserve">
Socialización del Estatuto Profesoral y lineamientos institucionales. </t>
  </si>
  <si>
    <t xml:space="preserve">Inventario e informe de gestión. </t>
  </si>
  <si>
    <t xml:space="preserve">Adquisición, mantenimiento y reposición de vestuarios típicos para danza y parafernalia para teatro. </t>
  </si>
  <si>
    <t xml:space="preserve">Celebración día del maestro, actividad académica y de rconocimiento para los futuros licenciados. </t>
  </si>
  <si>
    <t>LICENCIATURA SANTANDER</t>
  </si>
  <si>
    <t xml:space="preserve">Plan de trabajo, actas  e informe de gestión </t>
  </si>
  <si>
    <t>Seminario/ foro de cualificación de estudiantes.</t>
  </si>
  <si>
    <t>Recursos bibliográficos.</t>
  </si>
  <si>
    <t>Proceso de selección de psicologia</t>
  </si>
  <si>
    <t xml:space="preserve">Crear el comité de selección para pasicologia/ establecer el procedimiento de selección para los proximos 8 años </t>
  </si>
  <si>
    <t xml:space="preserve">Documento de analisis de las necesidades y capacidades blandas de los estudiantes contratsando lo enseñable y lo educable </t>
  </si>
  <si>
    <t xml:space="preserve">
Documento base trasversal a la formacion disciplinar  con elemnetos de expresion , diversidad y cultura </t>
  </si>
  <si>
    <t xml:space="preserve">
Jornadas de formación integral, lideradas por Bienestar Institucional que permitan evidenciar el cumlimiento de la meta </t>
  </si>
  <si>
    <t xml:space="preserve">PEI, Acorde a requisitos de decreto 1330 </t>
  </si>
  <si>
    <t>Revision y ajuste del PEI</t>
  </si>
  <si>
    <t xml:space="preserve">Analisis factoria de Saber 11, Simulacro Institucional y Saber pro anual </t>
  </si>
  <si>
    <t xml:space="preserve">evaluacion exhaustiva y multinivel  del analisis para generar un plan de mejoramiento continuo </t>
  </si>
  <si>
    <t xml:space="preserve">Docuemnto con evidencias de meta de fortalecimiento </t>
  </si>
  <si>
    <t xml:space="preserve"> 2 capacitaciones en articulacion con Bienestar Institucional </t>
  </si>
  <si>
    <t>Documento plan de capcitacion en artistica para docentes integrado al PEP del programa</t>
  </si>
  <si>
    <t>Fortalecer actividades que permitan generar espacios entre los docentes para el desarrollo artistico y cultural articulado con las estrategias de bienestar institucional.</t>
  </si>
  <si>
    <t xml:space="preserve">Propuesta de Necesidades de Capacitacion para Docentes </t>
  </si>
  <si>
    <t xml:space="preserve">Apoyo/Gestuion en Articulacion con la escuela de desarrollo Profesoral 
</t>
  </si>
  <si>
    <t xml:space="preserve">Documento que evidencia  la efectividad del trabajo de campo  articulado con la naturaleza de la Asignatura y la Labor académica </t>
  </si>
  <si>
    <t xml:space="preserve">Implementar las practicas externas en las aisgnaturas de naturaleza teorico practica como forma de estructurar resultados de aprendizaje </t>
  </si>
  <si>
    <t xml:space="preserve">Garantizar que el material bibliografico sea sufuciente y necesario para dar cumplimiento a las tematicas del microcurriculo.
</t>
  </si>
  <si>
    <t xml:space="preserve">Evaluacion de material existente y  estudio de actualizacion </t>
  </si>
  <si>
    <t>licencia</t>
  </si>
  <si>
    <t xml:space="preserve">Adquisicion licencia atlas ti para investigacion y formacion de estadistica en pregrado </t>
  </si>
  <si>
    <t>Acorde a las metas de bienestar</t>
  </si>
  <si>
    <t>Apoyo/Gestión , coordinacion con Bienestar</t>
  </si>
  <si>
    <t>Generar estrategias de permanencia , conocimiento y adaptacion al programa . ( permanencia: habotos de estudio acorde a al programa y manejo de trabajo independiente. Conocimiento: treforzar la capacidad e lectura critica, herramientas de busqueda en bases de datos. Adaptacion:  medios ediucativos institucionales y del programa, presentacion de docentes de todas las areas , plan de conocimiento de la ciudad y los campus univeristarios, socializar portafolio de bienestar )</t>
  </si>
  <si>
    <t>Apoyo/Gestión , coordiancion con Bienestar</t>
  </si>
  <si>
    <t>PSICOLOGIA POPAYÁN</t>
  </si>
  <si>
    <t xml:space="preserve">Proceso de selección documentado y on line  y aprobado por resolucion rectoral con criterio sde inclusion y equidad </t>
  </si>
  <si>
    <t xml:space="preserve">Crear comité de admisiones y selección para el pregrado de psicologia, ruta de acceso , inscripcion y selecion para personas con discapacidad y desventaja cultural / compra de pruebas de aptitudes on   line </t>
  </si>
  <si>
    <t xml:space="preserve">Pc de escritorio de nuevo </t>
  </si>
  <si>
    <t xml:space="preserve">Gestionar solicitud ante GTI  el cambio del equipo  de computo del profesional de  apoyo a practicas </t>
  </si>
  <si>
    <t xml:space="preserve">Documento de compromiso en buenas practicas  profesionales / ceremonia </t>
  </si>
  <si>
    <t xml:space="preserve">ceremonia de entrega de pines a los estudiantes de 9 semestre que salen a practica </t>
  </si>
  <si>
    <t>Actas, Listado de asistencia</t>
  </si>
  <si>
    <t>Formulario de inscripción,Revisión de documentos del ICFES, Resultados de entrevista, pruebas psicotécnicas</t>
  </si>
  <si>
    <t>Aplicación de pruebas, análisis de resultados de pruebas, entrevista a los acudientes y al estudiante. Retroalimentación de resultados a docentes.</t>
  </si>
  <si>
    <t>Listados de Asistencia</t>
  </si>
  <si>
    <t>Propiciar  la participación de estudiantes en actividades que fomenten la convivencia.</t>
  </si>
  <si>
    <t>Proyectos de emprendimiento</t>
  </si>
  <si>
    <t xml:space="preserve">Desarrollar cultura de emprendimiento </t>
  </si>
  <si>
    <t>Actas, listado de asistencia, fotos</t>
  </si>
  <si>
    <t xml:space="preserve">Reporte a Bienestar estudiantil- actividades realizadas en la asignatura que promuevan </t>
  </si>
  <si>
    <t>Inscritos de docentes y estudiantes del programa de Psicología</t>
  </si>
  <si>
    <t>Reuniones de trabajo en equipo Popayán -Santander, desplazamiento a Popayán ( víaticos)</t>
  </si>
  <si>
    <t>Actas, listado de asistencia, fotos, reuniones de equipo de trabajo-Formatos de salidas</t>
  </si>
  <si>
    <t>Viajes, salidas pedagógicas</t>
  </si>
  <si>
    <t xml:space="preserve">Seguimiento de consulta </t>
  </si>
  <si>
    <t>Seguimiento de consulta</t>
  </si>
  <si>
    <t>Inicio de Contrucción de la cámara de Gesell con capacidad para 50 personas ( Decreto 1330)</t>
  </si>
  <si>
    <t>fotos de construcción</t>
  </si>
  <si>
    <t>Reporte del SIRES</t>
  </si>
  <si>
    <t xml:space="preserve">Seguimiento académico, trabajo en equipo y articulado  con  Bienestar. Identificar Alertas tempranas del programa mediante reportes de reuniones con docentes. Generar estrategias para disminuir la deserción.
</t>
  </si>
  <si>
    <t>Seguimiento de Bienestar</t>
  </si>
  <si>
    <t>Cada docente realizará acompañamiento a los estudiantes que lo requieran en su asignatura.</t>
  </si>
  <si>
    <t>Trabajo articulado docentes- Bienestar</t>
  </si>
  <si>
    <t>Favorecer estrategias de aprendizaje mediante reuniones periodicas de comité curricular .</t>
  </si>
  <si>
    <t>PSICOLOGIA SANTANDER</t>
  </si>
  <si>
    <t>50% de los egresados del programa y el otro 50% población en general</t>
  </si>
  <si>
    <t xml:space="preserve">Certificación, registros de asistencia y evidencias audiovisuales. </t>
  </si>
  <si>
    <t>Contacto al capacitador, reuniones para acuerdos,realización de publicidad del evento, Diplomado en pruebas psicológicas ( realización de 5 encuentros)</t>
  </si>
  <si>
    <t>50% de los estuidantes de distintos semestres</t>
  </si>
  <si>
    <t>Divulgación, listados de asistencia, correos, acta de reuniones y consolidación de proyectos</t>
  </si>
  <si>
    <t>Convocatorias,reuniones, talleres de orientación y Capacitación en la formulación de proyectos</t>
  </si>
  <si>
    <t>50% de la población infantil de Instituciones Educativas
del municipio de Santader de Quilichao</t>
  </si>
  <si>
    <t>Listados de asistencia, resgitro fotográfico y consentimiento informado</t>
  </si>
  <si>
    <t>Talleres desde la lúdica</t>
  </si>
  <si>
    <t xml:space="preserve">Computador e impresora </t>
  </si>
  <si>
    <t>Listados de asistencia de clase, fotografías, videos</t>
  </si>
  <si>
    <t xml:space="preserve">Clases de Neuroanatomía, Neuropsicología. </t>
  </si>
  <si>
    <t>Renovar la compra de Biblioteca virtual</t>
  </si>
  <si>
    <t>Inducción a estudiantes y docentes de material bibliográfico, Incluir material en los microcurrículos</t>
  </si>
  <si>
    <t xml:space="preserve">Acta de reunión </t>
  </si>
  <si>
    <t xml:space="preserve">Participación en el establecimiento del modelo de selección de acuerdo a la naturaleza del programa. </t>
  </si>
  <si>
    <t xml:space="preserve">Formato de salida técnica, fotos, Informe y/o documento que evidencia la efectividad del trabajo de Campo articulado con la labor académica. </t>
  </si>
  <si>
    <t>Realizar salidas de campo con los estudiantes desde las materias teórico práticas y documentar</t>
  </si>
  <si>
    <t xml:space="preserve">Solicitud de compras garantizando que el material bibliográfico sea suficiente y necesario para dar cumplimiento a las temáticas de los microcurrículos y recibo 
</t>
  </si>
  <si>
    <t xml:space="preserve">Realizar compras de actualización de material bibliográfico </t>
  </si>
  <si>
    <t xml:space="preserve">Formato de remisión Bienestar </t>
  </si>
  <si>
    <t xml:space="preserve">Realizar remisión de estudiantes a Bienestar cuando se detecte situaciones que afecte su desempeño académico. </t>
  </si>
  <si>
    <t xml:space="preserve">Listados de asistencia y actas de reunión </t>
  </si>
  <si>
    <t xml:space="preserve">Aticulación del programa académico para la participación de estudiantes en actividades de los  programas de Bienestar. </t>
  </si>
  <si>
    <t xml:space="preserve">Apoyo en la implementación de estrategias Bienestar y generar una estrategia desde el programa académico </t>
  </si>
  <si>
    <t>TRABAJO SOCIAL POPAYÁN</t>
  </si>
  <si>
    <t xml:space="preserve">Listado de asistencia y fotos </t>
  </si>
  <si>
    <t xml:space="preserve">Realizar una ceremonia a los estudiantes que pasan a la práctica formativa </t>
  </si>
  <si>
    <t>Listado de asistencia, fotos e informe de impacto de las prácticas</t>
  </si>
  <si>
    <t xml:space="preserve">Sustentación de resultados de proyectos de los estudiantes que finalizan las prácticas formativas </t>
  </si>
  <si>
    <t>N° de Actividades programadas</t>
  </si>
  <si>
    <t>PROCESO MISIONAL</t>
  </si>
  <si>
    <t>METAS DEL PLAN DE DESARROLLO</t>
  </si>
  <si>
    <t>IMPACTO</t>
  </si>
  <si>
    <t>FORMACIÓN</t>
  </si>
  <si>
    <t>GESTIÓN</t>
  </si>
  <si>
    <t>Diagnosticar los diferentes aspectos del estudiante que ingresa al programa, entendiendo las debilidades y fortalezas, en comprensión del contexto y de los posibles resultados para su formación en arquitectura.
Realizar análisis continuo con el sector externo para verificar la concordancia de la meta propuesta con el sector Institucional.</t>
  </si>
  <si>
    <t>Realizar espacios educación continua con las diferentes instituciones en convenio y/o instituciones que puedan ser fortaleza interinstitucional.
Jornadas de formación integral, lideradas por Bienestar Institucional que permitan evidenciar el resultado de la meta.</t>
  </si>
  <si>
    <t>Talleres en articulación con ingeniería de sistemas en la construcción de pensamientos diversos.
Generar una estrategia con el entorno que permita evidenciar el aporte de egresado en la solución de problemáticas.</t>
  </si>
  <si>
    <t>Talleres, seminarios y/o cursos, actas, correos, asistencias y documento que evidencia el análisis de la meta.</t>
  </si>
  <si>
    <t>A partir del diagnóstico realizado para los docentes del programa en el año 2022, formular la pertinencia de ellos en cada aspecto. Y con ello consolidar la comunidad de docentes para que contribuyan en el fortalecimiento de las funciones sustantivas, soportes de la cualificación docente y la distribución de labores del programa.</t>
  </si>
  <si>
    <t>Actas de asistencia, análisis de impacto
DOCUMENTO DONDE EVIDENCIE EL ANALISIS DE LA META.</t>
  </si>
  <si>
    <t xml:space="preserve">Actas, Mesas de Trabajo, Informe de Gestión 
1 documento PROPUESTA de doble titulacion para el programa </t>
  </si>
  <si>
    <t>Articulación en trabajos de grado y electivas profesionales con el fin de aumentar las opciones a cursar y generar una articulación por facultad e IES a nivel nacional, regional o internacional.  Realizacion de encuentros interdisciplinares del conocimiento entre los estudiantes y docentes de los programas de la Facultad</t>
  </si>
  <si>
    <t xml:space="preserve">Ejercicio de análisis de pertinencia de acuerdo al área disciplinar 
Consolidación de comunidad de docentes que contribuyan al fortalecimiento de las funciones sustantivas y soportes de la cualificación docente y la distribución de las funciones en el quehacer del programa. </t>
  </si>
  <si>
    <t>Actas, listado de asitencia, Microcurriculos con articulos cientificos producto del proceso investigativo, bibliografía en segundo idioma y  
microcurrículo con al menos un contenido en segundo idioma.</t>
  </si>
  <si>
    <t>Estrategia de fortalcimiento de competencias en un segundo idioma a traves de procesos de investigacion, movilidades (instancias cortas y largas) en IES afines al area. Revision de microcurriculos para el fortalecimiento de un segundo idioma, articulado con la escuela de desarrollo profesoral.</t>
  </si>
  <si>
    <t>Actas, listado de asitencia, evidencia fotográfica, Informe de Gestión 
Documento análisis de la efectividad d ela capacitacion a traves de un insitrumento que mide o evidencie el resultado esperado</t>
  </si>
  <si>
    <t>Capacitación en formación pedagógica para docentes en temas específicos del área disciplinar, articulado con la escuela de desarrollo profesoral.</t>
  </si>
  <si>
    <t xml:space="preserve">Actas, listado de asitencia, documento PEP donde se describen las estrategias activas y participativas </t>
  </si>
  <si>
    <t>Diseño de proyectos para involucrar al docente en actividades que fortalezcan la enseñanza- aprendizaje.  Proyectos de aula que faciliten herramientas al docente para fortalecer sus procesos de enseñanza aprendizaje evidenciado en los resultados de aprendizaje.</t>
  </si>
  <si>
    <t>Capacitación y revisión de las rubricas de evaluación de acuerdo a los resultados de aprendizaje, planes de mejoramiento e impacto del perfil de egreso. Consolidar un documento que permita dar alcance a la meta</t>
  </si>
  <si>
    <t>Revisión de las necesidades del programa académico de acuerdo a los resultados de aprendizaje del programa académica y perfil del egreso, en cuanto a necesidades en bases de datos y revisión bibliográfica, garantizando que el material bibliográfico sea suficiente y necesario para dar cumplimiento a las temáticas del micro currículo.</t>
  </si>
  <si>
    <t>Análisis de la pertinancia de la doble titulación.
Internacionalización del curriculo con otras IES que posean programas de Ingeniería Industrial o similares.</t>
  </si>
  <si>
    <t>Listados de asistencia, actas de reunión, cursos certificados, documento de la propuesta</t>
  </si>
  <si>
    <t>Realización de cursos cortos como estrategias en pro del fortalecimento en estas competencias blandas dirigido a estudiantes y docentes.
Realización de cursos de habilidades blandas con estudiantes de práctica de los programas psicología y trabajo social.
Articulación con la EDP</t>
  </si>
  <si>
    <t>Solicitud de viáticos, listados de asistencia y actas de reunión, certificados, etc.
Microcurrículos con al menos un módulo en segundo idioma.</t>
  </si>
  <si>
    <t>Listados de asistencia, actas de reunión, cursos certificados.
Documento que Describa las necesidades propias de autodesarrollo de los docentes y administrativos relacionado con el saber hacer, (El desarrollo) -  Crecimiento personal y profesional, de acuerdo a su qué hacer (Micros - labor administrativa)</t>
  </si>
  <si>
    <t xml:space="preserve">Descubrir las necesidades  propias de autodesarrollo de los docentes y administrativos relacionado con el saber hacer, (El desarrollo) - Crecimiento personal y profesional, de acuerdo a su qué hacer (Micros - labor administrativa)
Capacitación articulada con la EDP
</t>
  </si>
  <si>
    <t>Formatos de solicitud de marterial bibliográfico, correos electrónicos.
Se garantizará que el material bibliográfico sea suficiente y necesario para dar cumplimiento a las temáticas de los microcurrículos.</t>
  </si>
  <si>
    <t>TRABAJO SOCIAL SANTANDER</t>
  </si>
  <si>
    <t xml:space="preserve">Actas de reunion, fotografias, informe de gestion </t>
  </si>
  <si>
    <t>Curso de actualizacion en lineamietos del sistema de aseguramiento de la calidad en la educacion superior, considerando lineamientos emanados en el decreto 1330</t>
  </si>
  <si>
    <t xml:space="preserve">Seminario - Taller: Aspostando al diseño y fomento de la produccion intelectual </t>
  </si>
  <si>
    <t>Diseño y puesta en marcha de programa de relacionamiento local, como escenario de interaccion academico y espacios practicos dirigidos a la comunidad estudiantil.</t>
  </si>
  <si>
    <t xml:space="preserve">Curso de fortalecimiento curricular e integracion de segnda lengua </t>
  </si>
  <si>
    <t xml:space="preserve">Elaboracion y puesta en marcha de propuesta de ZOU (zonas de orientacion universitaria) </t>
  </si>
  <si>
    <t xml:space="preserve">Numero de estudiantes participantes en semillero de investigacion </t>
  </si>
  <si>
    <t>Acta de evento e informe</t>
  </si>
  <si>
    <t>Seminario socialización proyectos de Investigación</t>
  </si>
  <si>
    <t>Proyecto: Curar al curador, (estrategias integrales para el cuidado de la salud mental)</t>
  </si>
  <si>
    <t xml:space="preserve">Seminarios permanentes en Trabajo Social </t>
  </si>
  <si>
    <t xml:space="preserve"> 
Realizar análisis continuo con el sector externo para verificar la concordancia de de la meta propuesta con la misión institucional.
Generar una estrategia que permita dar alcance a la medición de la meta.
</t>
  </si>
  <si>
    <t>REVISAR</t>
  </si>
  <si>
    <t>TIPO DE IMPACTO</t>
  </si>
  <si>
    <t>Programa / Area / Proceso</t>
  </si>
  <si>
    <t>FAC INGENIERÍAS Y ARQUITECTURA</t>
  </si>
  <si>
    <t>Diagnostico situacional de los programas - INFORME TECNICO</t>
  </si>
  <si>
    <t>Realizacion del Estudio tecnico de soporte-ETS -implementacion de al menos (1) proyecto piloto por programa</t>
  </si>
  <si>
    <t xml:space="preserve">Documento de medicion y soporte de indicadores de Efectividad de los encuentros realizados +Listados de asistencia y participacion, actas de reuniones, registros fotograficos y formatos de entregables.
</t>
  </si>
  <si>
    <t>Realizacion de (2) Encuentros interdisciplinares del conocimiento entre los estudiantes y docentes de los programas de la Facultad</t>
  </si>
  <si>
    <t>Apropiacion de la Mision y Vision institucional: Base de datos de perfiles docentes de la Facultad y  % de docentes en asignacion de las  funciones misionales de los programas</t>
  </si>
  <si>
    <r>
      <t xml:space="preserve">Documento de medicion y soporte de efectividad del trabajo de campo en articulacion con la labor academica y docente+TRABAJO DE CAMPO: Listados de asistencia y participacion, actas de reuniones, registros fotograficos y formatos de entregables
</t>
    </r>
    <r>
      <rPr>
        <b/>
        <sz val="9"/>
        <color rgb="FFFF0000"/>
        <rFont val="Tahoma"/>
        <family val="2"/>
      </rPr>
      <t/>
    </r>
  </si>
  <si>
    <t xml:space="preserve">Alineacion de las salidas de campo con los planes de estudio y microcurriculos en procura del cumplimiento de los resultados de aprendizaje. Realizacion de (4) visitas tecnicas y formativas de los programas adscrtios a la Facultad.
</t>
  </si>
  <si>
    <t>Documentos de Convenio y alianzas interinstitucionales debidamente constituidos con IES o instituciones publicas y/o privadas afines.</t>
  </si>
  <si>
    <t>Gestion de convenios (2) interinstitucionales para el aprovechamiento de recursos humanos y financieros</t>
  </si>
  <si>
    <t>Listados de asistencia y participacion, actas de reuniones, registros fotograficos y formatos de entregables.</t>
  </si>
  <si>
    <t>Realizacion de (1) proyecto piloto de lectoescritura y lectura critica - SABER PRO- CATEDRA FUP</t>
  </si>
  <si>
    <t>FAC AGRARIAS Y AMBIENTALES</t>
  </si>
  <si>
    <t>Informe de gestión</t>
  </si>
  <si>
    <t>Porcentaje de estudiantes de la facultad que participan en actividades de formación integral</t>
  </si>
  <si>
    <t xml:space="preserve">Capítulo de formación integral en informe de procesos académicos </t>
  </si>
  <si>
    <t xml:space="preserve">Jornadas de formación integral, lideradas por Bienestar Institucional </t>
  </si>
  <si>
    <t>1 documento de estudio doble titulación entre programas de la Facultad</t>
  </si>
  <si>
    <t>Elaborar estudio doble titulación entre programas de la Facultad</t>
  </si>
  <si>
    <t>1 documento que recopile la implementación e impacto de las estrategias de mercadeo</t>
  </si>
  <si>
    <t>Implementar estrategias del plan de mercadeo</t>
  </si>
  <si>
    <t xml:space="preserve">ADEMAGRO </t>
  </si>
  <si>
    <t xml:space="preserve">Informe gestion </t>
  </si>
  <si>
    <t>% de estudiantes del programa que participan en actividades de formacion integral</t>
  </si>
  <si>
    <t xml:space="preserve">Capitulo  de formacion integral en informe de procesos academicos </t>
  </si>
  <si>
    <t xml:space="preserve">Jornadas de formacion integral, lideradas por Bienestar Institucional </t>
  </si>
  <si>
    <t xml:space="preserve">1 documento de estimulo de doble titulacion para el programa </t>
  </si>
  <si>
    <t>Elaborar un estudio de doble titulacion del programa</t>
  </si>
  <si>
    <t>1 documento que recopile la implementacion de las estrategias de mercado</t>
  </si>
  <si>
    <t>Implemetar estrategia de plan de mercadeo / movilidad-talleres con comunidad rural</t>
  </si>
  <si>
    <t xml:space="preserve">Numero de talleres para fortalecimiento en pruebas saber pro. 
</t>
  </si>
  <si>
    <t>Informe gestion (Capitulo en estrategias procesos academicos 
SEGUMIENTO A RESULTADOS DE SIMULACRO Y PRUEBAS SABER PRO CON EL FIN DE ANALIZAR LOS MISMO Y TOMAR ACCIONES DE MEJORA.</t>
  </si>
  <si>
    <t xml:space="preserve">  Talleres y simulacro</t>
  </si>
  <si>
    <t xml:space="preserve">Generar al menos dos jornadas de fortalecimiuento de habilidades blandas y comunicación asertiva entre    docentes </t>
  </si>
  <si>
    <t>Fotos, listas de asistencia
DOCUMENTO DONDE EVIDENCIE EL ANALISIS DE LA META.</t>
  </si>
  <si>
    <t>Talleres/ experiencias significativas, ARTICULADAS CON EL ÁREA DE BINIESTAR I.PARA GARANTIZAR EL CUMPLIMIENTO DE LA META</t>
  </si>
  <si>
    <t xml:space="preserve">Numero de Docentes Capacitados </t>
  </si>
  <si>
    <t xml:space="preserve">Informe estrategias activas y participativas </t>
  </si>
  <si>
    <t>Talleres  y capacitaciones 
QUE FACILITEN HERRAMIENTAS AL DOCENTE PARA FORTALECER SUS PROCESOS DE ENSENANZA APRENDIZAJE EVIDENCIADO EN LOS RESULTADOS DE APRENDIZAJE.</t>
  </si>
  <si>
    <t>Realizar almenos 5  Visitas técnicas o salidas de campo.</t>
  </si>
  <si>
    <t xml:space="preserve">Listas de asistencia -fotografias-Talleres DOCUMENTO QUE EVIDENCIE LA EFECTIVIDAD DEL TRABAJO DE CAMPO ARTICULADO CON LA LABOR ACADEMICA.
</t>
  </si>
  <si>
    <t xml:space="preserve">Contactar a las empresas, definicion de fecha, contratar transporte, pago de cupo, </t>
  </si>
  <si>
    <t>Jornadas motivacion para participar en procesos académico, salud integral, deporte y recreación, expresiones culturales y artísticas y apoyo a estudiantes con capacidades diversas. 
AL MENOS UNA ACTIVIDAD QUE INTEGRE LOS COMPONENTES DE BINESTAR DENTRO DE LAS ACTIVIDADES DEL PROGRAMA.</t>
  </si>
  <si>
    <t>Listas de asistencia -fotografias-</t>
  </si>
  <si>
    <t>Talleres y actas  listado de asistencia / estrategia ¨´Sin Parar"</t>
  </si>
  <si>
    <t>Jornadas motivacion para participar en procesos académico, salud integral, deporte y recreación, expresiones culturales y artísticas y apoyo a estudiantes con capacidades diversas. 
AL MENOS UNA ESTRATEGIA DISEÑANA E IMPLEMENTADA.</t>
  </si>
  <si>
    <t xml:space="preserve">Capitulo  en informe de procesos academicos </t>
  </si>
  <si>
    <t xml:space="preserve">Numero de estudiantes con acompañamiento y orientacion </t>
  </si>
  <si>
    <t xml:space="preserve">Informe de permanrencia y graduacion </t>
  </si>
  <si>
    <t>Tutoria y asesoria trabajos de grado</t>
  </si>
  <si>
    <t>FAC CIENCIAS SOCIALES Y HUMANAS</t>
  </si>
  <si>
    <t xml:space="preserve">Acta de reunión, estrategia e informe. </t>
  </si>
  <si>
    <t xml:space="preserve">Acta de reunión, informe </t>
  </si>
  <si>
    <t>Acta de reunión y documento propuesta</t>
  </si>
  <si>
    <t xml:space="preserve">Aportar en el ejercicio de propuestas de doble titulación entre los programas de pregrado
</t>
  </si>
  <si>
    <t xml:space="preserve">Acta de reunión, estrategia </t>
  </si>
  <si>
    <t xml:space="preserve">Acta de reunión, análisis de resultados de pruebas Saber Pro y Simulacros, acciones de mejora frente a los resultados 
</t>
  </si>
  <si>
    <t xml:space="preserve">Integrar en la facultad las estrategias académicas y culturales para el fortalecimeinto de las prebas saber pro. Realizar análisis de los resultados de simulacros y Pruebas Saber Pro, para detectar falencias del proceso y generar mejoramiento continuo y medición. 
</t>
  </si>
  <si>
    <t>Acta de reunión - listados de asistencia - evalución del impacto</t>
  </si>
  <si>
    <t xml:space="preserve">Realizar talleres y cursos enfocados en el fortalecimeinto de competencias de los estudiantes y docentes en habilidades blandas y comunicación asertiva articulado con las actividades de Bienestar Institucional. </t>
  </si>
  <si>
    <t xml:space="preserve">Apoyo en la realización y construcción de malla curricular institucional y el aporte de los contenidos de las electivas sociohumanísticas para generar la flexibilidad de currículos.  </t>
  </si>
  <si>
    <t xml:space="preserve">Acta de reunión y listado de asistencia - evaluación del impacto </t>
  </si>
  <si>
    <t xml:space="preserve">Realizar actividades que permitan generar espacios para fortalecer en los docentes el desarrollo artíctico y cultural articulado con las estrategias de Bienestar Institucional. </t>
  </si>
  <si>
    <t xml:space="preserve">Acta de reunión y listado de asistencia y evaluación del impacto </t>
  </si>
  <si>
    <t>Capacitar y formar a los docentes en actualización pedagogía enfocada en la creatividad alineado con la Escuela de Desarrollo Profesoral</t>
  </si>
  <si>
    <t xml:space="preserve">Acta de reunión y fotos, certificados participación </t>
  </si>
  <si>
    <t>Apoyar la creación de lineamientos en investigación formativa (mallas curriculares, estrategias pedagógicas)</t>
  </si>
  <si>
    <t>FAC EDUCACIÓN</t>
  </si>
  <si>
    <t xml:space="preserve">Una capacitación en el semestre </t>
  </si>
  <si>
    <t>Listados de Asistencia y Registro Fotográfico</t>
  </si>
  <si>
    <t>Capacitacion con Abrasoc  con el fin de generar una cultura de recuperación de Materiales y formación en cuidado del medio ambiente.</t>
  </si>
  <si>
    <t>FAC FACEA</t>
  </si>
  <si>
    <t>Documento con revisión curricular</t>
  </si>
  <si>
    <t xml:space="preserve">Revisión curricular y propuesta para la oferta de programas con doble titulación </t>
  </si>
  <si>
    <t>Listado de asistencia.
Documentoque evidencie el seguimiento y evolución en los resultados de las pruebas Saber Pro.</t>
  </si>
  <si>
    <t>Talleres extracurriculares de asistencia obligatoria.
Garantizar la participación de los estudiantes en simulacros de pruebas Saber Pro.</t>
  </si>
  <si>
    <t xml:space="preserve">Acta de reunión.
Documento o producto donde se evidencie la articulación entre facultades y/o programas, y el aporte multidisciplinario en la labor academica. </t>
  </si>
  <si>
    <t>Articulación con la diferentes facultades para realizar proyectos de investigación en conjunto,  promover movilidades académicas y participación en las diferentes actividades académicas y culturales de la facultad.</t>
  </si>
  <si>
    <t>Listado de asistencia
Certificaciones</t>
  </si>
  <si>
    <t>Curso de Ingles para docentes y directivos de la facultad.
Virtualización de curso de ingles en la Plataforma UNIVIDA.</t>
  </si>
  <si>
    <t>Sala de computo
Herramientas Tecnologicas</t>
  </si>
  <si>
    <t>Sala de computo en la Sede Samuel Silverio o Sala móvil.
Gestión y uso de herramientas tecnológicas que garanticen las prácticas como resultado de lo consignado en los contenidos curriculares.</t>
  </si>
  <si>
    <t>ESP DATA ANALYTICS</t>
  </si>
  <si>
    <t>Contratación docentes de tiempo completo</t>
  </si>
  <si>
    <t xml:space="preserve">Convocatoria docentes tiempo completo, los cuales apoyen en labores de investigación y proyección social.
</t>
  </si>
  <si>
    <t>Microcurriculos actualizados de acuerdo a las competencias y resultados de aprendizaje</t>
  </si>
  <si>
    <t xml:space="preserve">Mesas de trabajo con vice académica y gestión curricular y aseguramiento de la calidad para la Revisión de contenidos de cada materia y verificación del alcance de acuerdo al área de conocimiento.
• Realización de la matriz de competencias
• Realización de la matriz de resultados de aprendizaje
• Diseño del sistema de evaluación.
• Refrigerios y alimentos para las sesiones de trabajo
</t>
  </si>
  <si>
    <t xml:space="preserve">
• ACTA DE REUNIONES 
• INFORMES TECNICOS 
• EVIDENCIA FOTOGRÁFICA
• CONSTANCIA EN LA PARTICIPACIÓN DE EVENTOS
</t>
  </si>
  <si>
    <t>Gestión de movilidad</t>
  </si>
  <si>
    <t>Actividades de apoyo mercadeo y actas de reunión- fotografías</t>
  </si>
  <si>
    <t xml:space="preserve">Acompañamiento a las actividades de apoyo a mercadeo y comunicaciones. Fortalecimiento y divulgación de los proyectos que resultan del vínculo con el sector productivo, empresarial, star - up y spin-off con las empresas de la región  y de los proyectos de la especialización:
• Visitas a empresas
• Open House de posgrados
• Organización de eventos 
• Desayunos/almuerzos empresariales.
• Invitación a participantes del sector productivo, empresarial y a  la comunidad académica.
</t>
  </si>
  <si>
    <t>XXXXXX Número de bases de datos, revistas digitales o repositorios institucionales, evaluadas, revisadas y/o actualizadas</t>
  </si>
  <si>
    <t>Salones adecuados con medios educativos</t>
  </si>
  <si>
    <t xml:space="preserve">Solicitud y adecuación </t>
  </si>
  <si>
    <t>ESP DERECHO PROCESAL</t>
  </si>
  <si>
    <t>ESP DERECHO CONSTITUCIONAL</t>
  </si>
  <si>
    <t>Contratación Docentes Tiempo Completo.</t>
  </si>
  <si>
    <t>Convocatoria de docentes</t>
  </si>
  <si>
    <t>Microcurriculos</t>
  </si>
  <si>
    <t>Mesas de trabajo con Viceacadémica, gestión curricular y aseguramiento de la calidad</t>
  </si>
  <si>
    <t>Activiades de apoyo a mercadeo Actas de reunión</t>
  </si>
  <si>
    <t>Reuniones con área de mercadeo y comunicaciones</t>
  </si>
  <si>
    <t>Medios Educativos - Salones adecuados con medios educativos para Postgrados</t>
  </si>
  <si>
    <t>ESP GERENCIA SOCIAL</t>
  </si>
  <si>
    <t>Acta de reunion -  parametros de convocatoria</t>
  </si>
  <si>
    <t>Convocatoria docente</t>
  </si>
  <si>
    <t xml:space="preserve">Actas de reunion </t>
  </si>
  <si>
    <t>Reuniones con el area de mercado y comunicaciones, actividades de mercadeo y medios</t>
  </si>
  <si>
    <t xml:space="preserve">Salones para posgrados sede samuel silverio </t>
  </si>
  <si>
    <t xml:space="preserve">Solicitud y  adecuacion de salones para posgrados Sede Samuel Silverio </t>
  </si>
  <si>
    <t>Listados de asistencia e informes de la actividad</t>
  </si>
  <si>
    <t>Socializacion y programacion de actividades del area de bienestar a los estudiantes de la especialización</t>
  </si>
  <si>
    <t>ESP GERENCIA DEL TALENTO HUMANO</t>
  </si>
  <si>
    <t xml:space="preserve">solicitud y  adecuacion de salones para posgrados sede samuel silverio </t>
  </si>
  <si>
    <t>ESP PSICOLOGIA SOCIAL COMUNITARIA</t>
  </si>
  <si>
    <t>Actividades de apoyo a mercadeo. Actas de reunión</t>
  </si>
  <si>
    <t>Reuniones con el área de mercadeo y comunicaciones</t>
  </si>
  <si>
    <t>Solicitar mejoramiento de los recursos de infraestructura física y adecuación de espacios</t>
  </si>
  <si>
    <t>Mesas de trabajo con Vicerrectoría Académica, gestión curricular y aseguramiento de la calidad</t>
  </si>
  <si>
    <t>ESP EDUCATIVA</t>
  </si>
  <si>
    <t>Formato de actividad académica / Microcurriculo</t>
  </si>
  <si>
    <t xml:space="preserve">Desplazamientos aereos y terrestres; hospedaje y alimentación de Docentes de cátedra de la especialización en Psicología Educativa. </t>
  </si>
  <si>
    <t>3. Fortalecer los mecanismos de participación de  la comunidad universitaria para la promoción de la formación integral y la vida saludable en la institución</t>
  </si>
  <si>
    <t xml:space="preserve">% de avance del documento </t>
  </si>
  <si>
    <t>Documento</t>
  </si>
  <si>
    <t>Diseñar una escuela de liderazgo estudiantil que permita consolidar su proyecto de vida desde un enfoque estratégico</t>
  </si>
  <si>
    <t>Caracterizar al menos el 50% la comunidad universitaria frente a la percepción de los servicios de Bienestar.</t>
  </si>
  <si>
    <t xml:space="preserve">Caracterizar los  gustos, intereses, expectativas y percepción de la comunidad universitaria frente a los servicios de bienestar. </t>
  </si>
  <si>
    <t xml:space="preserve">Al menos el 30% de la comunidad académica participando en las actividades de Recreación y Deporte </t>
  </si>
  <si>
    <t xml:space="preserve">fotografias y listas de asistencia </t>
  </si>
  <si>
    <t>Ejecutar acciones desde Recreación y Deporte   respondan a los objetivos y lineamientos de las políticas institucionales.</t>
  </si>
  <si>
    <t xml:space="preserve">Al menos el 30% de la comunidad académica participando en las actividades de Arte y cultura </t>
  </si>
  <si>
    <t>Ejecutar acciones desde Arte y Cultura   respondan a los objetivos y lineamientos de las políticas institucionales.</t>
  </si>
  <si>
    <t xml:space="preserve">Al menos el 30% de la comunidad académica participando en las actividades de Salud Integral </t>
  </si>
  <si>
    <t>Ejecutar acciones desde Salud Integral (Programa FUP+ SALUDABLE )respondan a los objetivos y lineamientos de las políticas institucionales.</t>
  </si>
  <si>
    <t xml:space="preserve">Al menos el 30% de la comunidad académica participando en las actividades de Desarrollo Humano </t>
  </si>
  <si>
    <t>Ejecutar acciones desde Desarrollo Humano que respondan a los objetivos y lineamientos de las políticas institucionales.</t>
  </si>
  <si>
    <t>Al menos el 30% de la comunidad académica participando en las actividades de la Pastoral Universitaria</t>
  </si>
  <si>
    <t>Ejecutar acciones desde la Pastoral Universitaria que respondan a los objetivos y lineamientos de las políticas institucionales.</t>
  </si>
  <si>
    <t>Al menos el 30% de la comunidad académica participando en las actividades de Promoción Socioeconómica</t>
  </si>
  <si>
    <t>Ejecutar acciones desde la Promoción Socioeconómica  que respondan a los objetivos y lineamientos de las políticas institucionales.</t>
  </si>
  <si>
    <t xml:space="preserve">Al menos un (1) espacio de bienestar por sede que que aporte al sano esparcimiento y adecuado manejo del tiempo libre </t>
  </si>
  <si>
    <t>Espacios de bienestar</t>
  </si>
  <si>
    <t xml:space="preserve">Establecer espacios físicos de bienestar que aporten al sano esparcimiento y adecuado manejo del tiempo libre </t>
  </si>
  <si>
    <t xml:space="preserve">Implementación de acciones que fortalezcan el sentido de pertenencia y conocimiento de filosofias institucionales. </t>
  </si>
  <si>
    <t xml:space="preserve">Realizar acciones que fortalezcan el sentido de pertenencia y conocimiento institucional. </t>
  </si>
  <si>
    <t>Al menos una campaña por semestre de socialización de los servicios de Bienestar a la comunidad universitaria.</t>
  </si>
  <si>
    <t>Campañas de socialización de los servicios de Bienestar a la comunidad universitaria. (Bandeó, portafolios impresos)</t>
  </si>
  <si>
    <t>3. Promover estrategias que promuevan la permanencia y la graduación Estudiantil.</t>
  </si>
  <si>
    <t xml:space="preserve">% de avance  de las faces del proyecto desarrolladas  </t>
  </si>
  <si>
    <t>software implementado</t>
  </si>
  <si>
    <t xml:space="preserve"> Desarrollar e implementar del software  de Permanencia y graduación estudiantil </t>
  </si>
  <si>
    <t xml:space="preserve">Alcanzar un valor de de calificación entre 60 y 74 correspondiente a un cumplimiento medio, de acuerdo a los requerimientos establecidos en la Guía de Permanencia y Graduación del MEN </t>
  </si>
  <si>
    <t>Autoevaluacion de acuerdo a la guia de Permanancia y Graduacion del MEN</t>
  </si>
  <si>
    <t>Realizar el proceso de evaluación de la gestión de la permanencia y graduación estudiantil en la institución.</t>
  </si>
  <si>
    <t>30 % de población atendida en el programa de Permanencia y Graduación continúan sus estudios en el periodo inmediatamente posterior</t>
  </si>
  <si>
    <t xml:space="preserve">% de avance del diagnostico   de  necesidades educativas especiales </t>
  </si>
  <si>
    <t xml:space="preserve">Realizar un estudio  Diagnostico de  necesidades educativas especiales en estudiantes de la Fundación Universitaria  de Popayán   </t>
  </si>
  <si>
    <t xml:space="preserve">Al menos una (1) actividad al semestre en articulacion con cada programa academico para evitar el ausentismo </t>
  </si>
  <si>
    <t>actas, fotografias y listados de asistencia</t>
  </si>
  <si>
    <t>Articular acciones con los programas académicos para evitar el ausentismo estudiantil</t>
  </si>
  <si>
    <t>Al menos el 30% de la comunidad académica participando en las actividades de Permanencia y Graduación (Programa Quédate)</t>
  </si>
  <si>
    <t>fotografias y listados de asistencia</t>
  </si>
  <si>
    <t>Ejecutar acciones desde la Permanencia y Graduación (Programa Quédate)  que respondan a los objetivos y lineamientos de las políticas institucionales.</t>
  </si>
  <si>
    <t>BIENESTAR POPAYÁN</t>
  </si>
  <si>
    <t>Diseñar e una escuela de liderazgo estudiantil que permita consolidar su proyecto de vida desde un enfoque estratégico</t>
  </si>
  <si>
    <t>BIENESTAR SANTANDER</t>
  </si>
  <si>
    <t>Desarrollo de (2) espacios de consolidacion de la comunidad docente de la Facultad para el fortalecimiento y apropiacion de las funciones sustantivas de los programas.</t>
  </si>
  <si>
    <t xml:space="preserve">Informe de gestión
1 documento de estudio doble titulación entre programas de la Facultad
</t>
  </si>
  <si>
    <t xml:space="preserve">Apoyo en la realización y construcción de malla curricular institucional y el aporte de los contenidos de las electivas sociohumanísticas. Realizar analísis continuo con el sector externo para verificar la concordancia de la meta propuesta con la misión institucional. Generar una estrategia que permita dar alcance a la medición de la meta. 
</t>
  </si>
  <si>
    <t xml:space="preserve">Articular los programas de bienestar formativo con el apoyo del área de Bienestar.
Apoyo en la realización y construcción de malla curricular institucional y el aporte de los contenidos con este enfoque. </t>
  </si>
  <si>
    <t>Apoyo y aportes en la consturcción del modelo educativo integral y flexible 
Revisar y proponer ajustes del PEI</t>
  </si>
  <si>
    <t xml:space="preserve">Aportar en el ejercicio del fomento de estrategias de impacto del pensamiento crítico. 
Generar una estrategia con el entorno que permita evidenciar el aporte del egresado en la solución de problemátivcas </t>
  </si>
  <si>
    <t xml:space="preserve">Crear y conovocar un espacio (concurso) para la participación efectiva de docentes y estudiantes que quieran socializar las estrategias activas y participativas que han sido exitosas en el proceso de enseñanza - aprendizaje. </t>
  </si>
  <si>
    <t xml:space="preserve">Estrategias académicas para el desarrollo de habilidades y competencias desde 1 a 9 semestre en cuanto a las pruebas saber pro 1.        Realización de pruebas internas pilotos articuladas con el sector empresarial y egresados, con el objetivo de identificar la situación del estudiante por áreas de conocimiento y competencias.
Análisis de resultados tanto de simulacros como de las pruebas saber pro.
Estructuración de mecanismos para el plan de mejora.
</t>
  </si>
  <si>
    <t xml:space="preserve">Actividades de articulación con capacitaciones y talleres para los estudiantes de 1 a 9 semestre en habilidades lector escritoras y redacción científica, articulados con la escuela de desarrollo profesoral.
</t>
  </si>
  <si>
    <t>Afianzar los conocimientos y estrategias a través de cursos, insentivos y realización de mesas de trabajo con los docentes para fortalecer sus conocimientos en un segundo idioma.
Articulación con la EDP</t>
  </si>
  <si>
    <t>Actividades dirigidas a docentes de capacitación en refuerzo de competencias genéricas (lectura crítica y razonamiento cuantitativo ) para la presentación de la prueba Saber pro.</t>
  </si>
  <si>
    <t>Actividades dirigidas a estudiantes de capacitación en refuerzo de competencias genéricas (lectura crítica y razonamiento cuantitativo ) para la presentación de la prueba Saber pro. Autogestión y Escuela de desarrollo profesoral)</t>
  </si>
  <si>
    <t>%</t>
  </si>
  <si>
    <t>ESCUELA DE DESARROLLO PROFESORAL (EDP)</t>
  </si>
  <si>
    <t>Número de Docentes a quienes se les socializó la cartilla instructiva Saber Pro</t>
  </si>
  <si>
    <t>Cartilla instructiva Saber Pro FUP</t>
  </si>
  <si>
    <t>Cartilla instructiva Saber Pro FUP y diseños de estrategias publicitarias Saber Pro</t>
  </si>
  <si>
    <t>Número de estudiantes quienes presentaron el simulacro Saber Pro</t>
  </si>
  <si>
    <t>Listas en excel de inscritos y resultados de la prueba</t>
  </si>
  <si>
    <t>Simulacros Saber Pro FUP</t>
  </si>
  <si>
    <t>Número de docentes quienes culminaron los cursos de capacitación pedagógica.</t>
  </si>
  <si>
    <t>Capacitaciones pedagógicas de Docentes FUP</t>
  </si>
  <si>
    <t>Atender a los espacios de Capacitación y actualización pedagógica propuestos desde la institución para su respectiva socialización con los docentes FUP</t>
  </si>
  <si>
    <t>Número de Docentes quienes realizaron la capacitación en cuanto a  temas de inclusión especialmente  en escritura Braille y herramientas tiflológicas.</t>
  </si>
  <si>
    <t>Capacitaciones en estrategias pedagógicas para la enseñanza a estudiantes invidentes o con baja visión</t>
  </si>
  <si>
    <t>Apoyo en capacitaciones en temas de inclusión especialmente  en escritura Braille y herramientas tiflológicas en el marco de las Necesidades Educativas Especiales.</t>
  </si>
  <si>
    <t>ESCUELA DE IDIOMAS (INFORMUS)</t>
  </si>
  <si>
    <t>convocatorias, actas</t>
  </si>
  <si>
    <t>Participación de los docentes en convocatorias a nivel institucional de capacitaciones y actualizaciones</t>
  </si>
  <si>
    <t>reporte de canal de contactos egresados</t>
  </si>
  <si>
    <t xml:space="preserve">establecer diferentes líneas de contacto con los clientes (e-mail marketing, whatsApp bisnes, pagina web) en articulación comunicaciones y mercadeo,para lo cual se requiere un equipo celular que cuente con minutos, con el fin de realizar las diferentes actividades de telemercadeo, seguimiento y envío de información a egresados. </t>
  </si>
  <si>
    <t>Reporte de canal de contacto</t>
  </si>
  <si>
    <t xml:space="preserve">Establecer diferentes líneas de contacto con los clientes (e-mail marketing, WhatsApp busines, pagina web) en articulación comunicaciones y mercadeo, para lo cual se requiere un equipo celular que cuente con minutos, con el fin de realizar las diferentes actividades de telemercadeo y envío de información. </t>
  </si>
  <si>
    <t xml:space="preserve">Campaña digital - Realizar talleres para el fomento de la convivencia, valores, desarrollo de habilidades reflexivas y críticas. </t>
  </si>
  <si>
    <t>Talleres para fortalecimiento de habilidades blandas y comunición asertiva.</t>
  </si>
  <si>
    <t>Capacitación estrategias enseñanza y aprendizaje</t>
  </si>
  <si>
    <t xml:space="preserve">Seguimiento a estudiantes - Talleres de refuerzo - Campañas de promoción de la salud y prevención de la enfermedad - atención psicosocial, educativa, en salud. </t>
  </si>
  <si>
    <t>SEDE NORTE FUP</t>
  </si>
  <si>
    <t>Número de bases de datos digitales</t>
  </si>
  <si>
    <t>Acceso a base de datos</t>
  </si>
  <si>
    <t>Adquisición de base de datos digitales</t>
  </si>
  <si>
    <t>Política de Admisiones actualizada - Acuerdo 013 del 9 de septiembre de 2019</t>
  </si>
  <si>
    <t>° Realizar actualización de Politica de Admisiones para aprobación del Consejo Superior.                                             ° Socializar Política de Admisiones actualizada con comunidad académica.</t>
  </si>
  <si>
    <t xml:space="preserve">Actas de comité de Admisiones y documento </t>
  </si>
  <si>
    <t>° Sesionar comité de Admisiones para definir grupos de trabajo con Decanos y Directores de Programa para definir modelos especificos de selección.</t>
  </si>
  <si>
    <t xml:space="preserve">Acta de Presentación de Plan de Mercadeo semestral a Rectoría - VAF - VRA, cronograma de actividades del Plan de Mercadeo 2023,  Listados de asistencia institucional </t>
  </si>
  <si>
    <t>° Realizar Plan de Mercadeo semestral.                            ° Realizar socialización con los programas académicos para que apoyen y acompañen en las diferentes actividades.</t>
  </si>
  <si>
    <t>Actas de realización de ejercicio con cada programas, documento con buyer persona, mapa de propuesta de valor y mapa de empatía.</t>
  </si>
  <si>
    <t>° Realizar desing thinking con cada uno de los Directores de Programa, Director de EFTDH, Director de INFORMUS, Directora de Egresados.                       ° Retroalimentar a los Directores con los resultados obtenidos del ejercicio para su uso e implementación de estratégias de cada programa.                                                  ° Entregar al área de Comunicaciones los resultados para poder tener pautas focalizadas por cada programa en redes sociales.</t>
  </si>
  <si>
    <t>Convenios Intermunicipales y Convenios de Cooperación interinstitucionales, Solicitud de viáticos de viaje, cartas de intensión de convenio.</t>
  </si>
  <si>
    <t xml:space="preserve">° Aumentar el número de convenios interinstitucionales en cada una de las sedes.             
° Realizar visitas a municipios Nariño, Cauca, Valle y Huila para gestión de proyectos que deriven en convenios de fortalecimiento del acceso a la educación para los jóvenes de la región. </t>
  </si>
  <si>
    <t>Factura de pago anual por servicio de CRM - Informes semestrales de actividades en el CRM.</t>
  </si>
  <si>
    <t>° Contratar una empresa que preste el servicio de CRM durante un año, el valor promedio es de 100 USD por mes.</t>
  </si>
  <si>
    <t>Solicitud de viaticos para viaje, cartas de solicitud de visitas, correos electronicos, solicitud de viáticos, formato FO-ME-001 cumplido de comisión, facturas de participación en EDUKA.</t>
  </si>
  <si>
    <t>° Relacionamiento con la comunidad hacia la búsqueda de nuevos estudiantes.                                          ° Visitas a colegios en otros municipios.                               ° Participación en ferias educativas.                                   ° Participación en eventos estratégicos de Feria educativa EDUKA                                                                            ° Realización de Ferias Financieras ° Participación en Popayán Ciudad Libro 2023.</t>
  </si>
  <si>
    <t>MERCADEO Y ADMISIONES</t>
  </si>
  <si>
    <t>Listado de personal capacitado por cohorte, resultados de cada curso</t>
  </si>
  <si>
    <t>PlanesTIC</t>
  </si>
  <si>
    <t>Contenido educativo, microcurriculo, resultados cada curso</t>
  </si>
  <si>
    <t>Apoyo a los procesos formativos institucionales mediado a través de las TIC.</t>
  </si>
  <si>
    <t>Documento de política educativa virtual y a Distamcia</t>
  </si>
  <si>
    <t>Mejora del modelo metodológico de educación virtual y a distancia.</t>
  </si>
  <si>
    <t xml:space="preserve">Documento de parametrización del módulo de machine learning aplicado a las plataformas de e-learning y b-learning </t>
  </si>
  <si>
    <t>Parametrización LMS para alertas tempranas de deserción</t>
  </si>
  <si>
    <t>Parámetros de configuración del LMS UNIVIDA configurado, Listado de licencias y cuentas de usuario</t>
  </si>
  <si>
    <t>Servicio LMS UNIVIDA marca blanca para universidades corporativas.</t>
  </si>
  <si>
    <t>Syllabus de cada curso, implementación de curso dentro del LMS</t>
  </si>
  <si>
    <t>Construcción de contenidos formativos organizacionales.</t>
  </si>
  <si>
    <t xml:space="preserve">Cronograma de oferta, cursos iniciados, número de estudiantes inscritos, resultados finales </t>
  </si>
  <si>
    <t>Oferta de cursos masivos abiertos online MOOC</t>
  </si>
  <si>
    <t xml:space="preserve">Resultados en Excel de las pruebas aplicadas </t>
  </si>
  <si>
    <t>Prueba de diagnóstico estudiantil.</t>
  </si>
  <si>
    <t xml:space="preserve">Resultados en Excel de la prueba aplicada </t>
  </si>
  <si>
    <t xml:space="preserve">Apoyo tecnológico para la aplicación de simulacro de pruebas SaberPro </t>
  </si>
  <si>
    <t>PEI ajustado</t>
  </si>
  <si>
    <t>Revisar los ajustes a los que haya lugar en PEI, que incluyan metas</t>
  </si>
  <si>
    <t>Documento estrategia</t>
  </si>
  <si>
    <t>Diseño e implementación de una estrategia para mejoramiento de los resultados en pruebas saber pro</t>
  </si>
  <si>
    <t>Plantilla proyecciones</t>
  </si>
  <si>
    <t>Estandarización de los criterios (Perfil Institucional)  para selección docente de acuerdo con las directrices del MEN. Continuar con ajustes periódico de la labor académica que permee las funciones sustantivas.</t>
  </si>
  <si>
    <t>Documento con reforrmulación de estrategias EDP</t>
  </si>
  <si>
    <t>Reformulación de las estrtegias desde la Escuela de Desarrollo Profesoral. Reformulación del plan estratégico de capacitaciones</t>
  </si>
  <si>
    <t>Reformulación de las estrtegias derde la Escuela de Desarreollo Profesoral. Reformulación del plan estratégico de capacitaciones</t>
  </si>
  <si>
    <t>Ajuste SIRES</t>
  </si>
  <si>
    <t>Diseñar e implementar desde el SIRES mecanismos que faciliten la trazabilidad de los R.A. así como evidenciar curvas de aprendizaje</t>
  </si>
  <si>
    <t>Documento protocolo de visita</t>
  </si>
  <si>
    <t>Formular y/o estandarizar protocolos de visita alineados al cumplimiento de los objetivos del programa que generen impacto positivo.</t>
  </si>
  <si>
    <t>Requerimientos proyectados</t>
  </si>
  <si>
    <t>Análisis de proyección de nuevos programas académicos para articular las necesidades con las áreas correspondientes.</t>
  </si>
  <si>
    <t>VICERRECTORÍA ACADEMICA</t>
  </si>
  <si>
    <t>FECHA PREVISTA DE EVALUACIÓN Y SEGUIMIENTO</t>
  </si>
  <si>
    <t>CANTIDAD ESPERADA PARA 2023</t>
  </si>
  <si>
    <t>% de cumplimiento</t>
  </si>
  <si>
    <t>Evidencia</t>
  </si>
  <si>
    <t>Del 6 al 17 de Junio</t>
  </si>
  <si>
    <t>Del 2 al 14 de Octubre</t>
  </si>
  <si>
    <t>Del 13 al 25 de Noviembre</t>
  </si>
  <si>
    <t>Del 3 al 15 de abril de 2023</t>
  </si>
  <si>
    <r>
      <t xml:space="preserve">Al menos el 30% de la comunidad académica participando en las actividades de </t>
    </r>
    <r>
      <rPr>
        <b/>
        <sz val="11"/>
        <rFont val="Times New Roman"/>
        <family val="1"/>
      </rPr>
      <t xml:space="preserve">Recreación y Deporte </t>
    </r>
  </si>
  <si>
    <r>
      <t xml:space="preserve">Al menos el 30% de la comunidad académica participando en las actividades de </t>
    </r>
    <r>
      <rPr>
        <b/>
        <sz val="11"/>
        <rFont val="Times New Roman"/>
        <family val="1"/>
      </rPr>
      <t xml:space="preserve">Arte y cultura </t>
    </r>
  </si>
  <si>
    <r>
      <t xml:space="preserve">Al menos el 30% de la comunidad académica participando en las actividades de </t>
    </r>
    <r>
      <rPr>
        <b/>
        <sz val="11"/>
        <rFont val="Times New Roman"/>
        <family val="1"/>
      </rPr>
      <t xml:space="preserve">Salud Integral </t>
    </r>
  </si>
  <si>
    <r>
      <t xml:space="preserve">Al menos el 30% de la comunidad académica participando en las actividades de </t>
    </r>
    <r>
      <rPr>
        <b/>
        <sz val="11"/>
        <rFont val="Times New Roman"/>
        <family val="1"/>
      </rPr>
      <t xml:space="preserve">Desarrollo Humano </t>
    </r>
  </si>
  <si>
    <r>
      <t xml:space="preserve">Al menos el 30% de la comunidad académica participando en las actividades de la </t>
    </r>
    <r>
      <rPr>
        <b/>
        <sz val="11"/>
        <rFont val="Times New Roman"/>
        <family val="1"/>
      </rPr>
      <t>Pastoral Universitaria</t>
    </r>
  </si>
  <si>
    <r>
      <t xml:space="preserve">Al menos el 30% de la comunidad académica participando en las actividades de </t>
    </r>
    <r>
      <rPr>
        <b/>
        <sz val="11"/>
        <rFont val="Times New Roman"/>
        <family val="1"/>
      </rPr>
      <t>Promoción Socioeconómica</t>
    </r>
  </si>
  <si>
    <r>
      <t xml:space="preserve">Al menos el 30% de la comunidad académica participando en las actividades de </t>
    </r>
    <r>
      <rPr>
        <b/>
        <sz val="11"/>
        <rFont val="Times New Roman"/>
        <family val="1"/>
      </rPr>
      <t xml:space="preserve">Permanencia y Graduación </t>
    </r>
    <r>
      <rPr>
        <sz val="11"/>
        <rFont val="Times New Roman"/>
        <family val="1"/>
      </rPr>
      <t>(Programa Quédate)</t>
    </r>
  </si>
  <si>
    <t xml:space="preserve">Un documento Aprobado </t>
  </si>
  <si>
    <r>
      <t xml:space="preserve">Al menos el 30% de la comunidad académica por semestre participando en las actividades de </t>
    </r>
    <r>
      <rPr>
        <b/>
        <sz val="11"/>
        <rFont val="Times New Roman"/>
        <family val="1"/>
      </rPr>
      <t xml:space="preserve">Arte y cultura </t>
    </r>
  </si>
  <si>
    <r>
      <t xml:space="preserve">Al menos el 30% de la comunidad académica por semestre participando en las actividades de </t>
    </r>
    <r>
      <rPr>
        <b/>
        <sz val="11"/>
        <rFont val="Times New Roman"/>
        <family val="1"/>
      </rPr>
      <t xml:space="preserve">Salud Integral </t>
    </r>
  </si>
  <si>
    <r>
      <t xml:space="preserve">Al menos el 30% de la comunidad académica por semestre participando en las actividades de </t>
    </r>
    <r>
      <rPr>
        <b/>
        <sz val="11"/>
        <rFont val="Times New Roman"/>
        <family val="1"/>
      </rPr>
      <t xml:space="preserve">Desarrollo Humano </t>
    </r>
  </si>
  <si>
    <r>
      <t xml:space="preserve">Al menos el 30% de la comunidad académica por semestre participando en las actividades de la </t>
    </r>
    <r>
      <rPr>
        <b/>
        <sz val="11"/>
        <rFont val="Times New Roman"/>
        <family val="1"/>
      </rPr>
      <t>Pastoral Universitaria</t>
    </r>
  </si>
  <si>
    <r>
      <t xml:space="preserve">Al menos el 30% de la comunidad académica por semestre participando en las actividades de </t>
    </r>
    <r>
      <rPr>
        <b/>
        <sz val="11"/>
        <rFont val="Times New Roman"/>
        <family val="1"/>
      </rPr>
      <t>Promoción Socioeconómica</t>
    </r>
  </si>
  <si>
    <t xml:space="preserve">Unl diagnostico   de  necesidades educativas especiales </t>
  </si>
  <si>
    <t>34.%</t>
  </si>
  <si>
    <t xml:space="preserve">Las evidencias reposan en fisico (fotos, listados de asistencia) </t>
  </si>
  <si>
    <t xml:space="preserve"> El presupuesto no fue aprobado en el POA</t>
  </si>
  <si>
    <t>https://fupedu-my.sharepoint.com/:w:/g/personal/bienestar_fup_edu_co/Ebez0QCGlQJGrUyi2JJ-niMBHP3H0eXAu8THDK1PhpNsfA?e=J1eYtB</t>
  </si>
  <si>
    <t>https://fupedu-my.sharepoint.com/:w:/g/personal/bienestar_fup_edu_co/EZKDVUUEPi5EohcqjdtShd8Bid6PpVN4c3fz9acOoZd3Og?e=5aB2qh</t>
  </si>
  <si>
    <t>Las evidencias reposan en fisico (fotos, listados de asistencia) y en digital (formularios digitales de inscripcion)
https://fupedu-my.sharepoint.com/:w:/g/personal/bienestar_fup_edu_co/EZKDVUUEPi5EohcqjdtShd8Bid6PpVN4c3fz9acOoZd3Og?e=5aB2qh</t>
  </si>
  <si>
    <t xml:space="preserve">Las evidencias reposan en fisico (fotos, listados de asistencia) y en digital (formularios digitales de inscripcion)
https://fupedu-my.sharepoint.com/:w:/g/personal/bienestar_fup_edu_co/EVaZpLhaCr9LjDnXwsaAzO8B_CkuOH-buMwSWDRE4C8xJw?e=NHjA0I
</t>
  </si>
  <si>
    <t>https://fupedu-my.sharepoint.com/:w:/g/personal/bienestar_fup_edu_co/EXVpKlQPJV9Pm7jCTNRcWRgBL3A37X6U-xs9-03xcNqPPQ?e=eeMhn8</t>
  </si>
  <si>
    <t xml:space="preserve">Al menos dos (2)  acciones por semestre que fortalezcan el sentido de pertenencia y conocimiento institucional. </t>
  </si>
  <si>
    <t>Se programa otra campaña para el mes de mayo.</t>
  </si>
  <si>
    <t>42.3%</t>
  </si>
  <si>
    <t>https://fupedu-my.sharepoint.com/:w:/g/personal/bienestar_fup_edu_co/EdUF9eh-Oo1IvK60HEQJ9-YBSBZOAEGWT7d9SKk0GZn99Q?e=p9XERJ</t>
  </si>
  <si>
    <t xml:space="preserve">Documento en construcción se proyecta presentar el primer borrador en junio a la Vicerrectoría Académica para aprobación </t>
  </si>
  <si>
    <t>En construcción del documento guía para la Caracterizar los  gustos, intereses, expectativas y percepción de la comunidad universitaria frente a los servicios de bienestar.
La aplicación del instrumento se proyecta realizarla entre septiembre del presente año para tener en cuenta los resultados en la planeación del 2024</t>
  </si>
  <si>
    <r>
      <t xml:space="preserve">Número de estudiantes Total para el primer período del 2023 Popayán 5.156
Total de población equivalente al 30%  1.547
Participación a 15 de abril </t>
    </r>
    <r>
      <rPr>
        <b/>
        <sz val="11"/>
        <rFont val="Times New Roman"/>
        <family val="1"/>
      </rPr>
      <t>1.054</t>
    </r>
    <r>
      <rPr>
        <sz val="11"/>
        <rFont val="Times New Roman"/>
        <family val="1"/>
      </rPr>
      <t xml:space="preserve">
</t>
    </r>
  </si>
  <si>
    <r>
      <t xml:space="preserve">Número de estudiantes Total para el primer periodo del 2023 Popayán 5.156
Total de población equivalente al 30%  1.547
Participación a 15 de abril </t>
    </r>
    <r>
      <rPr>
        <b/>
        <sz val="11"/>
        <rFont val="Times New Roman"/>
        <family val="1"/>
      </rPr>
      <t>2.351</t>
    </r>
    <r>
      <rPr>
        <sz val="11"/>
        <rFont val="Times New Roman"/>
        <family val="1"/>
      </rPr>
      <t xml:space="preserve">
</t>
    </r>
  </si>
  <si>
    <r>
      <t xml:space="preserve">Número de estudiantes Total para el primer periodo del 2023 Popayán 5.156
Total de población equivalente al 30%  1.547
Participación a 15 de abril </t>
    </r>
    <r>
      <rPr>
        <b/>
        <sz val="11"/>
        <rFont val="Times New Roman"/>
        <family val="1"/>
      </rPr>
      <t>1.052</t>
    </r>
    <r>
      <rPr>
        <sz val="11"/>
        <rFont val="Times New Roman"/>
        <family val="1"/>
      </rPr>
      <t xml:space="preserve">
</t>
    </r>
  </si>
  <si>
    <r>
      <t xml:space="preserve">Número de estudiantes Total para el primer periodo del 2023 Popayán 5.156
Total de población equivalente al 30%  1.547
Participación a 15 de abril </t>
    </r>
    <r>
      <rPr>
        <b/>
        <sz val="11"/>
        <rFont val="Times New Roman"/>
        <family val="1"/>
      </rPr>
      <t>2.011</t>
    </r>
    <r>
      <rPr>
        <sz val="11"/>
        <rFont val="Times New Roman"/>
        <family val="1"/>
      </rPr>
      <t xml:space="preserve">
</t>
    </r>
  </si>
  <si>
    <t>No se cuenta con capellán para el desarrollo de actividades.</t>
  </si>
  <si>
    <r>
      <t xml:space="preserve">Número de estudiantes Total para el primer periodo del 2023 Popayán 5.156
Total de población equivalente al 30%  1.547
Participación a 15 de abril </t>
    </r>
    <r>
      <rPr>
        <b/>
        <sz val="11"/>
        <rFont val="Times New Roman"/>
        <family val="1"/>
      </rPr>
      <t>928</t>
    </r>
    <r>
      <rPr>
        <sz val="11"/>
        <rFont val="Times New Roman"/>
        <family val="1"/>
      </rPr>
      <t xml:space="preserve">
</t>
    </r>
  </si>
  <si>
    <t xml:space="preserve">Claustro San José ZOU y Domo.
Claustro San Camilo Zona de Bienestar.
</t>
  </si>
  <si>
    <t>1. 6/02/2023 Socialización de los servicios de bienestar  en el marco de la inducción de estudiantes de primer semestre 
2. 8/02/2023 Socialización de Portafolio de servicios</t>
  </si>
  <si>
    <t>Esta medición se realiza una vez al año de acuerdo a la guía de permanencia y graduación para Instituciones de Educación Superior del Ministerio.
Se tiene proyectado realizarla a finales de noviembre cuando se hayan ejecutado todas las actividades de permanencia.</t>
  </si>
  <si>
    <t>La primera  medición se realiza en el mes de septiembre y la segunda en febrero del 2024.</t>
  </si>
  <si>
    <t xml:space="preserve">Se realiza la recolección de datos con la identificación de los acasos de cada programa </t>
  </si>
  <si>
    <t>Queda pendiente para el mes de mayo trabajar acciones con la Licenciatura en Educción Artística e Ingeniería Agroecológica.</t>
  </si>
  <si>
    <r>
      <t xml:space="preserve">Número de estudiantes Total para el primer periodo del 2023 Popayán 5.156
Total de población equivalente al 30%  1.547
Participación a 15 de abril </t>
    </r>
    <r>
      <rPr>
        <b/>
        <sz val="11"/>
        <rFont val="Times New Roman"/>
        <family val="1"/>
      </rPr>
      <t>3.274</t>
    </r>
    <r>
      <rPr>
        <sz val="11"/>
        <rFont val="Times New Roman"/>
        <family val="1"/>
      </rPr>
      <t xml:space="preserve">
</t>
    </r>
  </si>
  <si>
    <r>
      <t xml:space="preserve">Número de estudiantes Total para el primer período del 2023 Popayán 5.156
Total de población equivalente al 30%  1.547
Participación a 17 de junio </t>
    </r>
    <r>
      <rPr>
        <b/>
        <sz val="11"/>
        <rFont val="Times New Roman"/>
        <family val="1"/>
      </rPr>
      <t>2.102</t>
    </r>
    <r>
      <rPr>
        <sz val="11"/>
        <rFont val="Times New Roman"/>
        <family val="1"/>
      </rPr>
      <t xml:space="preserve">
</t>
    </r>
    <r>
      <rPr>
        <b/>
        <sz val="11"/>
        <color theme="8" tint="-0.499984740745262"/>
        <rFont val="Times New Roman"/>
        <family val="1"/>
      </rPr>
      <t>Para el primer periodo del 2023 se obtuvo 40.76%  de participación de la comunidad institucional en actividades de Recreación y Deporte</t>
    </r>
  </si>
  <si>
    <r>
      <t xml:space="preserve">Número de estudiantes Total para el primer período del 2023 Popayán 5.156
Total de población equivalente al 30%  1.547
Participación a 17 de junio </t>
    </r>
    <r>
      <rPr>
        <b/>
        <sz val="11"/>
        <rFont val="Times New Roman"/>
        <family val="1"/>
      </rPr>
      <t xml:space="preserve">2.961
</t>
    </r>
    <r>
      <rPr>
        <b/>
        <sz val="11"/>
        <color theme="8" tint="-0.499984740745262"/>
        <rFont val="Times New Roman"/>
        <family val="1"/>
      </rPr>
      <t>Para el primer periodo del 2023 se obtuvo el 57.4% de participación la comunidad institucional en actividades de Arte y Cultura.</t>
    </r>
  </si>
  <si>
    <r>
      <t xml:space="preserve">Número de estudiantes Total para el primer período del 2023 Popayán 5.156
Total de población equivalente al 30%  1.547
Participación a 17 de junio </t>
    </r>
    <r>
      <rPr>
        <b/>
        <sz val="11"/>
        <rFont val="Times New Roman"/>
        <family val="1"/>
      </rPr>
      <t xml:space="preserve">3.584
</t>
    </r>
    <r>
      <rPr>
        <b/>
        <sz val="11"/>
        <color theme="8" tint="-0.499984740745262"/>
        <rFont val="Times New Roman"/>
        <family val="1"/>
      </rPr>
      <t>Para el primer periodo del 2023 se obtuvo  el 69.51% de participación de la comunidad institucional en actividades de Salud Integral.</t>
    </r>
    <r>
      <rPr>
        <b/>
        <sz val="11"/>
        <rFont val="Times New Roman"/>
        <family val="1"/>
      </rPr>
      <t xml:space="preserve">
</t>
    </r>
  </si>
  <si>
    <r>
      <t xml:space="preserve">Número de estudiantes Total para el primer período del 2023 Popayán 5.156
Total de población equivalente al 30%  1.547
Participación a 17 de junio </t>
    </r>
    <r>
      <rPr>
        <b/>
        <sz val="11"/>
        <rFont val="Times New Roman"/>
        <family val="1"/>
      </rPr>
      <t>3.013</t>
    </r>
    <r>
      <rPr>
        <sz val="11"/>
        <rFont val="Times New Roman"/>
        <family val="1"/>
      </rPr>
      <t xml:space="preserve">
</t>
    </r>
    <r>
      <rPr>
        <sz val="11"/>
        <color theme="8" tint="-0.499984740745262"/>
        <rFont val="Times New Roman"/>
        <family val="1"/>
      </rPr>
      <t>P</t>
    </r>
    <r>
      <rPr>
        <b/>
        <sz val="11"/>
        <color theme="8" tint="-0.499984740745262"/>
        <rFont val="Times New Roman"/>
        <family val="1"/>
      </rPr>
      <t>ara el primer periodo del 2023 se obtuvo el 58.43% de participacion de la comunidad institucional en actividades de Desarrollo Humano</t>
    </r>
  </si>
  <si>
    <r>
      <t xml:space="preserve">Número de estudiantes Total para el primer período del 2023 Popayán 5.156
Total de población equivalente al 30%  1.547
Participación a 17 de junio </t>
    </r>
    <r>
      <rPr>
        <b/>
        <sz val="11"/>
        <rFont val="Times New Roman"/>
        <family val="1"/>
      </rPr>
      <t>2.282</t>
    </r>
    <r>
      <rPr>
        <sz val="11"/>
        <rFont val="Times New Roman"/>
        <family val="1"/>
      </rPr>
      <t xml:space="preserve">
</t>
    </r>
    <r>
      <rPr>
        <b/>
        <sz val="11"/>
        <color theme="8" tint="-0.499984740745262"/>
        <rFont val="Times New Roman"/>
        <family val="1"/>
      </rPr>
      <t>Para el primer periodo del 2023 se obtuvo el 44.25% de participación de la comunidad institucional en actividades de Promoción Socioeconómica.</t>
    </r>
  </si>
  <si>
    <r>
      <t xml:space="preserve">Número de estudiantes Total para el primer período del 2023 Popayán 5.156
Total de población equivalente al 30%  1.547
Participación a 17 de junio </t>
    </r>
    <r>
      <rPr>
        <b/>
        <sz val="11"/>
        <rFont val="Times New Roman"/>
        <family val="1"/>
      </rPr>
      <t xml:space="preserve">5156
</t>
    </r>
    <r>
      <rPr>
        <b/>
        <sz val="11"/>
        <color theme="8" tint="-0.499984740745262"/>
        <rFont val="Times New Roman"/>
        <family val="1"/>
      </rPr>
      <t>Para el primer periodo del 2023 se obtuvo el 100% de participación de la comunidad institucional en actividades de Permanencia y Graduación</t>
    </r>
  </si>
  <si>
    <t xml:space="preserve"> 1.Campaña por redes sociales cuida los espacios de la U en redes Sociales.
2.Campaña por redes sociales de valores y principios institucionales. Sopa de letras.
3.Campaña de Identificarte Porta tu Carné -publicado en el micrositio de Bienestar</t>
  </si>
  <si>
    <r>
      <t xml:space="preserve">Las evidencias reposan en fisico (fotos, listados de asistencia) y en digital (formularios digitales de inscripción) en el archivo de Bienestar.
Además se cuenta con el informe de gestión del area link:
</t>
    </r>
    <r>
      <rPr>
        <b/>
        <sz val="9"/>
        <rFont val="Times New Roman"/>
        <family val="1"/>
      </rPr>
      <t xml:space="preserve">
https://fupedu-my.sharepoint.com/:w:/g/personal/bienestar_fup_edu_co/Ecpa1Z34flJHvtdyV1TS7hQBQENI_g2Lz2w79gbCsZM1jA?e=wUdvge
</t>
    </r>
    <r>
      <rPr>
        <sz val="9"/>
        <rFont val="Times New Roman"/>
        <family val="1"/>
      </rPr>
      <t>Reporte  de las actividades y participación de actividades de bienestar Santander por componente de acuedo al reporte relizado  al SNIES.Link</t>
    </r>
    <r>
      <rPr>
        <b/>
        <sz val="9"/>
        <rFont val="Times New Roman"/>
        <family val="1"/>
      </rPr>
      <t xml:space="preserve">
</t>
    </r>
    <r>
      <rPr>
        <sz val="9"/>
        <rFont val="Times New Roman"/>
        <family val="1"/>
      </rPr>
      <t xml:space="preserve">
</t>
    </r>
    <r>
      <rPr>
        <b/>
        <sz val="9"/>
        <rFont val="Times New Roman"/>
        <family val="1"/>
      </rPr>
      <t>https://fupedu-my.sharepoint.com/:x:/g/personal/bienestar_fup_edu_co/EaHO_jWkdehDqlJsleO0R1IBN2KZI6gyhx-Vu6Mran-yaw?e=f58GKP</t>
    </r>
    <r>
      <rPr>
        <sz val="9"/>
        <rFont val="Times New Roman"/>
        <family val="1"/>
      </rPr>
      <t xml:space="preserve">
</t>
    </r>
  </si>
  <si>
    <r>
      <t xml:space="preserve">Las evidencias reposan en fisico (fotos, listados de asistencia) y en digital (formularios digitales de inscripción) en el archivo de Bienestar.
Además se cuenta con el informe de gestión del area link:
</t>
    </r>
    <r>
      <rPr>
        <b/>
        <sz val="9"/>
        <rFont val="Times New Roman"/>
        <family val="1"/>
      </rPr>
      <t xml:space="preserve">
hhttps://fupedu-my.sharepoint.com/:w:/g/personal/bienestar_fup_edu_co/EYk3RpmHufdOt6z8KQTtURIBqwrOeFRe1q-1arr14PGHsg?e=Jgk6xS
</t>
    </r>
    <r>
      <rPr>
        <sz val="9"/>
        <rFont val="Times New Roman"/>
        <family val="1"/>
      </rPr>
      <t>Reporte  de las actividades y participación de actividades de bienestar Santander por componente de acuedo al reporte relizado  al SNIES.Link</t>
    </r>
    <r>
      <rPr>
        <b/>
        <sz val="9"/>
        <rFont val="Times New Roman"/>
        <family val="1"/>
      </rPr>
      <t xml:space="preserve">
</t>
    </r>
    <r>
      <rPr>
        <sz val="9"/>
        <rFont val="Times New Roman"/>
        <family val="1"/>
      </rPr>
      <t xml:space="preserve">
</t>
    </r>
    <r>
      <rPr>
        <b/>
        <sz val="9"/>
        <rFont val="Times New Roman"/>
        <family val="1"/>
      </rPr>
      <t>https://fupedu-my.sharepoint.com/:x:/g/personal/bienestar_fup_edu_co/EaHO_jWkdehDqlJsleO0R1IBN2KZI6gyhx-Vu6Mran-yaw?e=f58GKP</t>
    </r>
    <r>
      <rPr>
        <sz val="9"/>
        <rFont val="Times New Roman"/>
        <family val="1"/>
      </rPr>
      <t xml:space="preserve">
</t>
    </r>
  </si>
  <si>
    <r>
      <t xml:space="preserve">Las evidencias reposan en fisico (fotos, listados de asistencia) y en digital (formularios digitales de inscripción) en el archivo de Bienestar.
Además se cuenta con el informe de gestión del area link:
</t>
    </r>
    <r>
      <rPr>
        <b/>
        <sz val="9"/>
        <rFont val="Times New Roman"/>
        <family val="1"/>
      </rPr>
      <t xml:space="preserve">
https://fupedu-my.sharepoint.com/:w:/g/personal/bienestar_fup_edu_co/EQ0PC5GXhIlBvbhGDHg1_soBVzPUrrD_L9BUhrj93AVuvw?e=NmcywR
</t>
    </r>
    <r>
      <rPr>
        <sz val="9"/>
        <rFont val="Times New Roman"/>
        <family val="1"/>
      </rPr>
      <t>Reporte  de las actividades y participación de actividades de bienestar Santander por componente de acuedo al reporte relizado  al SNIES.Link</t>
    </r>
    <r>
      <rPr>
        <b/>
        <sz val="9"/>
        <rFont val="Times New Roman"/>
        <family val="1"/>
      </rPr>
      <t xml:space="preserve">
</t>
    </r>
    <r>
      <rPr>
        <sz val="9"/>
        <rFont val="Times New Roman"/>
        <family val="1"/>
      </rPr>
      <t xml:space="preserve">
</t>
    </r>
    <r>
      <rPr>
        <b/>
        <sz val="9"/>
        <rFont val="Times New Roman"/>
        <family val="1"/>
      </rPr>
      <t>https://fupedu-my.sharepoint.com/:x:/g/personal/bienestar_fup_edu_co/EaHO_jWkdehDqlJsleO0R1IBN2KZI6gyhx-Vu6Mran-yaw?e=f58GKP</t>
    </r>
    <r>
      <rPr>
        <sz val="9"/>
        <rFont val="Times New Roman"/>
        <family val="1"/>
      </rPr>
      <t xml:space="preserve">
</t>
    </r>
  </si>
  <si>
    <r>
      <t xml:space="preserve">Las evidencias reposan en fisico (fotos, listados de asistencia) y en digital (formularios digitales de inscripción) en el archivo de Bienestar.
Además se cuenta con el informe de gestión del area link:
</t>
    </r>
    <r>
      <rPr>
        <b/>
        <sz val="9"/>
        <rFont val="Times New Roman"/>
        <family val="1"/>
      </rPr>
      <t xml:space="preserve">
https://fupedu-my.sharepoint.com/:w:/g/personal/bienestar_fup_edu_co/EbrApnoJQ0FFiLZ9-eDV4koBa5s8dswmBx5lnSPfvYxkoQ?e=uFQAYp
</t>
    </r>
    <r>
      <rPr>
        <sz val="9"/>
        <rFont val="Times New Roman"/>
        <family val="1"/>
      </rPr>
      <t>Reporte  de las actividades y participación de actividades de bienestar Santander por componente de acuedo al reporte relizado  al SNIES.Link</t>
    </r>
    <r>
      <rPr>
        <b/>
        <sz val="9"/>
        <rFont val="Times New Roman"/>
        <family val="1"/>
      </rPr>
      <t xml:space="preserve">
</t>
    </r>
    <r>
      <rPr>
        <sz val="9"/>
        <rFont val="Times New Roman"/>
        <family val="1"/>
      </rPr>
      <t xml:space="preserve">
</t>
    </r>
    <r>
      <rPr>
        <b/>
        <sz val="9"/>
        <rFont val="Times New Roman"/>
        <family val="1"/>
      </rPr>
      <t>https://fupedu-my.sharepoint.com/:x:/g/personal/bienestar_fup_edu_co/EaHO_jWkdehDqlJsleO0R1IBN2KZI6gyhx-Vu6Mran-yaw?e=f58GKP</t>
    </r>
    <r>
      <rPr>
        <sz val="9"/>
        <rFont val="Times New Roman"/>
        <family val="1"/>
      </rPr>
      <t xml:space="preserve">
</t>
    </r>
  </si>
  <si>
    <t>Se gestiona espacios de bienestar para las sedes de Samuel Silverio, Derecho, Comunicación Social y los Robles con la Vicerrectoria Administrativa y Financiera.</t>
  </si>
  <si>
    <t>https://fupedu-my.sharepoint.com/:w:/g/personal/bienestar_fup_edu_co/EYAqHHc3gMJDpHq1rWFIjJMBDpvdRNd8SfxpyVy4Qis1vw?e=2q0Q34</t>
  </si>
  <si>
    <r>
      <t xml:space="preserve">3. </t>
    </r>
    <r>
      <rPr>
        <b/>
        <sz val="11"/>
        <rFont val="Times New Roman"/>
        <family val="1"/>
      </rPr>
      <t>Del 8 al 11 de mayo</t>
    </r>
    <r>
      <rPr>
        <sz val="11"/>
        <rFont val="Times New Roman"/>
        <family val="1"/>
      </rPr>
      <t xml:space="preserve"> se realiza Campaña "Cultivando el bienestar en la vida universitaria"donde se socialización de los servicios de bienestar  
</t>
    </r>
  </si>
  <si>
    <r>
      <t xml:space="preserve">Reporte  de las actividades y participación  de bienestar Santander por componente de acuedo al reporte relizado  al SNIES (última hoja "socializacion de servicios de bienestar).Link
</t>
    </r>
    <r>
      <rPr>
        <b/>
        <sz val="9"/>
        <rFont val="Times New Roman"/>
        <family val="1"/>
      </rPr>
      <t>https://fupedu-my.sharepoint.com/:x:/g/personal/bienestar_fup_edu_co/EaHO_jWkdehDqlJsleO0R1IBN2KZI6gyhx-Vu6Mran-yaw?e=f58GKP</t>
    </r>
  </si>
  <si>
    <r>
      <t xml:space="preserve">
Identificación de casos desde las direcciones de programa  Bienestar.Link:
</t>
    </r>
    <r>
      <rPr>
        <b/>
        <sz val="9"/>
        <rFont val="Times New Roman"/>
        <family val="1"/>
      </rPr>
      <t>https://fupedu-my.sharepoint.com/:x:/g/personal/bienestar_fup_edu_co/ES6WmfNRD7xFog7DoLU_HLcBVUiVI--7X0Bq0T43bYrmUg?e=rKExny</t>
    </r>
  </si>
  <si>
    <r>
      <t xml:space="preserve">A la fecha se tiene en su totalidad la recocción de datos para realizar el informe a corte del 2023-1 para hacer documento dignostico y  entregarlo en agosto.
</t>
    </r>
    <r>
      <rPr>
        <b/>
        <sz val="11"/>
        <rFont val="Times New Roman"/>
        <family val="1"/>
      </rPr>
      <t>Recoleccion de Datos:</t>
    </r>
    <r>
      <rPr>
        <sz val="11"/>
        <rFont val="Times New Roman"/>
        <family val="1"/>
      </rPr>
      <t xml:space="preserve">
-Identificación desde las direcciones de programa
-Identificación de casos desde Bienestar.
- Medición INES
Se cumple con los requerimientos solicitados por el Ministerio de Educación para realizar la medición del INES a fecha de 12 de junio. El informe de su parte será remitido en la segunda semana de juliodonde se dara un diagnostico del indice de inclución de la FUP respecto a los indicadores del MEN
</t>
    </r>
    <r>
      <rPr>
        <b/>
        <sz val="11"/>
        <rFont val="Times New Roman"/>
        <family val="1"/>
      </rPr>
      <t>Esta actividad se realiza a nivel Institucional en conjunto con Santander</t>
    </r>
  </si>
  <si>
    <r>
      <t xml:space="preserve">Documento en construcción se proyecta presentar el primer borrador en junio a la Vicerrectoría Académica para aprobación 
</t>
    </r>
    <r>
      <rPr>
        <b/>
        <sz val="11"/>
        <rFont val="Times New Roman"/>
        <family val="1"/>
      </rPr>
      <t>Esta actividad se realiza a nivel Institucional en conjunto con Santander</t>
    </r>
  </si>
  <si>
    <t>Se Trabaja con la totalidad de los programas Talleres sobre CRISIS DE CARRERA con el fin de evitar el ausentismo.</t>
  </si>
  <si>
    <t>https://fupedu-my.sharepoint.com/:w:/g/personal/bienestar_fup_edu_co/EWuYSryU8rBEj1uiEy82-TUBZnwiU9TGGZpJyIYmLF_YXw?e=aoovRE</t>
  </si>
  <si>
    <t xml:space="preserve">    https://fupedu-my.sharepoint.com/:w:/g/personal/bienestar_fup_edu_co/ERBXTPqblX1CpLcPfuYPgc0BfrpmEtVsDa1Pt10SxRgktg?e=5V0xiE</t>
  </si>
  <si>
    <r>
      <t xml:space="preserve">Las evidencias reposan en fisico (fotos, listados de asistencia) y en digital (formularios digitales de inscripción) en el archivo de Bienestar.
Además se cuenta con el informe de gestión del area link:
</t>
    </r>
    <r>
      <rPr>
        <b/>
        <sz val="9"/>
        <color theme="1"/>
        <rFont val="Times New Roman"/>
        <family val="1"/>
      </rPr>
      <t xml:space="preserve">
https://fupedu-my.sharepoint.com/:f:/g/personal/bienestar_fup_edu_co/ElAFb-_5U2pHqOeoFhG2dsAB0QgNVFb3-2MeMhxIgZrZHA?e=tx3pJY
</t>
    </r>
    <r>
      <rPr>
        <b/>
        <sz val="9"/>
        <rFont val="Times New Roman"/>
        <family val="1"/>
      </rPr>
      <t xml:space="preserve">
</t>
    </r>
    <r>
      <rPr>
        <sz val="9"/>
        <rFont val="Times New Roman"/>
        <family val="1"/>
      </rPr>
      <t>Reporte  de las actividades y participación de actividades de bienestar Santander por componente de acuedo al reporte relizado  al SNIES.Link</t>
    </r>
    <r>
      <rPr>
        <b/>
        <sz val="9"/>
        <rFont val="Times New Roman"/>
        <family val="1"/>
      </rPr>
      <t xml:space="preserve">
</t>
    </r>
    <r>
      <rPr>
        <sz val="9"/>
        <rFont val="Times New Roman"/>
        <family val="1"/>
      </rPr>
      <t xml:space="preserve">
</t>
    </r>
    <r>
      <rPr>
        <b/>
        <sz val="9"/>
        <rFont val="Times New Roman"/>
        <family val="1"/>
      </rPr>
      <t>https://fupedu-my.sharepoint.com/:x:/g/personal/bienestar_fup_edu_co/EaHO_jWkdehDqlJsleO0R1IBN2KZI6gyhx-Vu6Mran-yaw?e=f58GKP</t>
    </r>
    <r>
      <rPr>
        <sz val="9"/>
        <rFont val="Times New Roman"/>
        <family val="1"/>
      </rPr>
      <t xml:space="preserve">
</t>
    </r>
  </si>
  <si>
    <r>
      <t xml:space="preserve">Las evidencias reposan en fisico (fotos, listados de asistencia) y en digital (formularios digitales de inscripción) en el archivo de Bienestar.
Además se cuenta con el informe de gestión del area link:
</t>
    </r>
    <r>
      <rPr>
        <b/>
        <sz val="9"/>
        <rFont val="Times New Roman"/>
        <family val="1"/>
      </rPr>
      <t xml:space="preserve">
</t>
    </r>
    <r>
      <rPr>
        <b/>
        <sz val="9"/>
        <color theme="1"/>
        <rFont val="Times New Roman"/>
        <family val="1"/>
      </rPr>
      <t>https://fupedu-my.sharepoint.com/:f:/g/personal/bienestar_fup_edu_co/Esm7WS1DHSdNhTLJwY-Fs9EBX4C6SaZLDg3dVvxog-xEJA?e=ORn7hh</t>
    </r>
    <r>
      <rPr>
        <b/>
        <sz val="9"/>
        <color rgb="FFFF0000"/>
        <rFont val="Times New Roman"/>
        <family val="1"/>
      </rPr>
      <t xml:space="preserve">
</t>
    </r>
    <r>
      <rPr>
        <b/>
        <sz val="9"/>
        <rFont val="Times New Roman"/>
        <family val="1"/>
      </rPr>
      <t xml:space="preserve">
</t>
    </r>
    <r>
      <rPr>
        <sz val="9"/>
        <rFont val="Times New Roman"/>
        <family val="1"/>
      </rPr>
      <t>Reporte  de las actividades y participación de actividades de bienestar Santander por componente de acuedo al reporte relizado  al SNIES.Link</t>
    </r>
    <r>
      <rPr>
        <b/>
        <sz val="9"/>
        <rFont val="Times New Roman"/>
        <family val="1"/>
      </rPr>
      <t xml:space="preserve">
</t>
    </r>
    <r>
      <rPr>
        <sz val="9"/>
        <rFont val="Times New Roman"/>
        <family val="1"/>
      </rPr>
      <t xml:space="preserve">
</t>
    </r>
    <r>
      <rPr>
        <b/>
        <sz val="9"/>
        <rFont val="Times New Roman"/>
        <family val="1"/>
      </rPr>
      <t>https://fupedu-my.sharepoint.com/:x:/g/personal/bienestar_fup_edu_co/EaHO_jWkdehDqlJsleO0R1IBN2KZI6gyhx-Vu6Mran-yaw?e=f58GKP</t>
    </r>
    <r>
      <rPr>
        <sz val="9"/>
        <rFont val="Times New Roman"/>
        <family val="1"/>
      </rPr>
      <t xml:space="preserve">
</t>
    </r>
  </si>
  <si>
    <t>https://fupedu-my.sharepoint.com/:w:/g/personal/bienestar_fup_edu_co/EQAazrsDlzZOtPYiy73tkYMBvnkLFlaRpkZOR-5r1RDzXg?e=Z66F1M</t>
  </si>
  <si>
    <r>
      <t xml:space="preserve">Se termina el documento y las preguntas  para la Caracterizar los  gustos, intereses, expectativas y percepción de la comunidad universitaria frente a los servicios de bienestar.
La aplicación del instrumento se proyecta realizarla entre septiembre del presente año para tener en cuenta los resultados en la planeación del 2024
</t>
    </r>
    <r>
      <rPr>
        <b/>
        <sz val="11"/>
        <rFont val="Times New Roman"/>
        <family val="1"/>
      </rPr>
      <t>Esta actividad se realiza a nivel Institucional en conjunto con Santander</t>
    </r>
  </si>
  <si>
    <r>
      <t xml:space="preserve">Número de estudiantes Total para el segundo período del 2023 Popayán 4.991
Total de población equivalente al 30%  1.497
Participación a 14 de Octubre </t>
    </r>
    <r>
      <rPr>
        <b/>
        <sz val="11"/>
        <rFont val="Times New Roman"/>
        <family val="1"/>
      </rPr>
      <t>1.007</t>
    </r>
  </si>
  <si>
    <r>
      <t xml:space="preserve">Número de estudiantes Total para el segundo período del 2023 Popayán 4.991
Total de población equivalente al 30%  1.497
Participación a 14 de Octubre </t>
    </r>
    <r>
      <rPr>
        <b/>
        <sz val="11"/>
        <rFont val="Times New Roman"/>
        <family val="1"/>
      </rPr>
      <t>2.897</t>
    </r>
  </si>
  <si>
    <r>
      <t xml:space="preserve">Número de estudiantes Total para el segundo período del 2023 Popayán 4.991
Total de población equivalente al 30%  1.497
Participación a 14 de Octubre </t>
    </r>
    <r>
      <rPr>
        <b/>
        <sz val="11"/>
        <rFont val="Times New Roman"/>
        <family val="1"/>
      </rPr>
      <t>2.369</t>
    </r>
  </si>
  <si>
    <r>
      <t xml:space="preserve">Número de estudiantes Total para el segundo período del 2023 Popayán 4.991
Total de población equivalente al 30%  1.497
Participación a 14 de Octubre </t>
    </r>
    <r>
      <rPr>
        <b/>
        <sz val="11"/>
        <rFont val="Times New Roman"/>
        <family val="1"/>
      </rPr>
      <t>1.828</t>
    </r>
  </si>
  <si>
    <r>
      <t xml:space="preserve">Número de estudiantes Total para el segundo período del 2023 Popayán 4.991
Total de población equivalente al 30%  1.497
Participación a 14 de Octubre </t>
    </r>
    <r>
      <rPr>
        <b/>
        <sz val="11"/>
        <rFont val="Times New Roman"/>
        <family val="1"/>
      </rPr>
      <t>1.225</t>
    </r>
  </si>
  <si>
    <t>Sede Samuel Silverio,: Zona de descanso con pasto sintetico y mesa de pin pon.
Campus los Robles zona de jugo Mesa de Pin Pon</t>
  </si>
  <si>
    <t>Se Trabaja con la totalidad de los programas Talleres sobre CRISIS DE CARRERA con el fin de evitar el ausentismo</t>
  </si>
  <si>
    <t xml:space="preserve">https://fupedu-my.sharepoint.com/:w:/g/personal/bienestar_fup_edu_co/EV1T5nQez-RKi98Pp5cOTpEBbXgFjemsBSTvVkpZ9dsaLQ?e=rwU2yI  </t>
  </si>
  <si>
    <t xml:space="preserve"> 1.Conociendo mi programa </t>
  </si>
  <si>
    <t>https://fupedu-my.sharepoint.com/:w:/g/personal/bienestar_fup_edu_co/EfrxsC0PwelNnUbaUgBduBkB3kQJZby4_6tfwanmVw-iCQ?e=AV5cd5</t>
  </si>
  <si>
    <r>
      <t xml:space="preserve">Número de estudiantes Total para el segundo período del 2023 Popayán 4.991
Total de población equivalente al 30%  1.497
Participación a 14 de Octubre </t>
    </r>
    <r>
      <rPr>
        <b/>
        <sz val="11"/>
        <rFont val="Times New Roman"/>
        <family val="1"/>
      </rPr>
      <t>3.567</t>
    </r>
  </si>
  <si>
    <t>https://fupedu-my.sharepoint.com/:x:/g/personal/bienestar_fup_edu_co/EYsN3FcyZctNv7DEsN4sUekBerRYg_yWR0gGBYKIsn_VZg?e=7vjgRm</t>
  </si>
  <si>
    <t>En el primer periodo del 2023, se atendieron en el programa de Permanencia y Graduación Estudiantil  350  estudiantes en riesgo de deserción en las diferentes estrategias que se llevaron a cabo de manera individual donde se destacan:
1. Orientación Psicológica Individual en la Zona de Orientación Universitaria
2.  Atenciones Servicios  de  Psicología Clínica  del centro de salud y bienestar Padre Diego Jaramillo
3. Orientación vocacional  como fortalecimiento del proyecto de vida de orientacion vocacional
4. Atención individual a estudiantes que presentan dificultades académicas e individuales y que asisten voluntariamente o por remisión de los docentes
5. Atención individual  a estudiantes por bajo rendimiento académico
6. Atención individual por psicopedagogía a estudiantes que presentan dificultades académicas e individuales.
Teniendo en cuenta lo anterior, de los 350 estudiantes atendidos, se matricularón para el periodo 2023 II, una totalidad de 221, correspondiente a un 63% de la población atendida.
De igual manera es importante resaltar que durante el primer periodo del 2023 desde el  programa de Permanencia y Graduación Estudiantil  Quédate 4234 usuarios entre docentes, administrativos, estudiantes y padres de familia participaron en las actividades relizadas.</t>
  </si>
  <si>
    <t>1. 8/08/2023 Socialización de los servicios de bienestar  en el marco de la inducción de estudiantes de primer semestre 
2. Del 9 al 13 de octubre Campaña Cultivando el Bienestar en la vida Universitaria y Divulgación de los servicios de Bienestar</t>
  </si>
  <si>
    <r>
      <t xml:space="preserve">Número de estudiantes Total para el segundo período del 2023 Popayán 4.991
Total de población equivalente al 30%  1.497
Participación a 14 de Octubre </t>
    </r>
    <r>
      <rPr>
        <b/>
        <sz val="11"/>
        <rFont val="Times New Roman"/>
        <family val="1"/>
      </rPr>
      <t>744</t>
    </r>
  </si>
  <si>
    <r>
      <t xml:space="preserve">Las evidencias reposan en fisico (fotos, listados de asistencia) y en digital (formularios digitales de inscripción) en el archivo de Bienestar.
Además se cuenta con el informe de gestión del area link:
</t>
    </r>
    <r>
      <rPr>
        <b/>
        <sz val="11"/>
        <rFont val="Times New Roman"/>
        <family val="1"/>
      </rPr>
      <t>https://fupedu-my.sharepoint.com/:x:/g/personal/bienestar_fup_edu_co/EUQvJQgs-tpHiopjELIw9qsBaPLtcYPy0lmu1Sdik5pNjQ?e=wOhNAg</t>
    </r>
    <r>
      <rPr>
        <sz val="11"/>
        <rFont val="Times New Roman"/>
        <family val="1"/>
      </rPr>
      <t xml:space="preserve">
</t>
    </r>
  </si>
  <si>
    <r>
      <t xml:space="preserve">Las evidencias reposan en fisico (fotos, listados de asistencia) 
 (última hoja "socializacion de servicios de bienestar).Link
</t>
    </r>
    <r>
      <rPr>
        <b/>
        <sz val="11"/>
        <rFont val="Times New Roman"/>
        <family val="1"/>
      </rPr>
      <t>https://fupedu-my.sharepoint.com/:x:/g/personal/bienestar_fup_edu_co/EUQvJQgs-tpHiopjELIw9qsBaPLtcYPy0lmu1Sdik5pNjQ?e=wOhNAg</t>
    </r>
  </si>
  <si>
    <r>
      <t xml:space="preserve">Documento de Escuela de liderazgo Liderazgo completo.
Se remite por correo a la Vicerrectoria Academica para su aprobación 
</t>
    </r>
    <r>
      <rPr>
        <b/>
        <sz val="11"/>
        <rFont val="Times New Roman"/>
        <family val="1"/>
      </rPr>
      <t xml:space="preserve">
Esta actividad se realiza a nivel Institucional en conjunto con Santander</t>
    </r>
  </si>
  <si>
    <t>https://fupedu-my.sharepoint.com/:w:/g/personal/bienestar_fup_edu_co/EeLpDCQy_RtOh7OBJYmpjkEB1z3KG_wiWj0_Pl-virRnGQ?e=8eNPqe</t>
  </si>
  <si>
    <r>
      <t xml:space="preserve">Teniendo en cuenta que durante el mes de septiembre y octubre se realizaron varias encuestas a los estudiantes (encuesta de autoevaluación y encuesta para construcción de plan de Desarrollo)donde de abordo el tema de   gustos, intereses, expectativas y percepción de la comunidad universitaria frente a los servicios de bienestar, no es objetivo la aplicación del instrumento elaborado desde bienestar.
Se realizará la propuesta a la vicerrectoría académica para que se estudie la posibilidad de que la encuesta se realice el próximo año. En caso de no ser acogida se realiza antes de terminar el semestre.
</t>
    </r>
    <r>
      <rPr>
        <b/>
        <sz val="11"/>
        <rFont val="Times New Roman"/>
        <family val="1"/>
      </rPr>
      <t xml:space="preserve">
Esta actividad se realiza a nivel Institucional en conjunto con Santander</t>
    </r>
  </si>
  <si>
    <r>
      <t xml:space="preserve">A la fecha la coordinación de desarrollo Humano remite documento con specificaciones de las acciones realizadas para el diagnostico de  necesidades educativas especiales, sin embargo no se ha recibido el resultado de la medicion del INES para complementar el informe final.
</t>
    </r>
    <r>
      <rPr>
        <b/>
        <sz val="11"/>
        <rFont val="Times New Roman"/>
        <family val="1"/>
      </rPr>
      <t>Esta actividad se realiza a nivel Institucional en conjunto con Santander</t>
    </r>
  </si>
  <si>
    <t>https://fupedu-my.sharepoint.com/:w:/g/personal/bienestar_fup_edu_co/EYisDXH__zBCuPLFRo9KolEB_rqC00Iyg598g1MWTHQ7bQ?e=oR4B8J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</si>
</sst>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2" formatCode="_-&quot;$&quot;\ * #,##0_-;\-&quot;$&quot;\ * #,##0_-;_-&quot;$&quot;\ * &quot;-&quot;_-;_-@_-"/>
    <numFmt numFmtId="44" formatCode="_-&quot;$&quot;\ * #,##0.00_-;\-&quot;$&quot;\ * #,##0.00_-;_-&quot;$&quot;\ * &quot;-&quot;??_-;_-@_-"/>
    <numFmt numFmtId="164" formatCode="&quot;$&quot;\ #,##0"/>
    <numFmt numFmtId="165" formatCode="_-* #,##0.00\ _$_-;\-* #,##0.00\ _$_-;_-* &quot;-&quot;??\ _$_-;_-@_-"/>
    <numFmt numFmtId="166" formatCode="0.000"/>
  </numFmts>
  <fonts count="48" x14ac:knownFonts="1">
    <font>
      <sz val="11"/>
      <color theme="1"/>
      <name val="Calibri"/>
      <family val="2"/>
      <scheme val="minor"/>
    </font>
    <font>
      <sz val="11"/>
      <color theme="1"/>
      <name val="Calibri"/>
      <family val="2"/>
      <scheme val="minor"/>
    </font>
    <font>
      <sz val="11"/>
      <color theme="1"/>
      <name val="Tahoma"/>
      <family val="2"/>
    </font>
    <font>
      <sz val="10"/>
      <color theme="1"/>
      <name val="Tahoma"/>
      <family val="2"/>
    </font>
    <font>
      <b/>
      <sz val="10"/>
      <color theme="0"/>
      <name val="Tahoma"/>
      <family val="2"/>
    </font>
    <font>
      <b/>
      <sz val="11"/>
      <color theme="1"/>
      <name val="Tahoma"/>
      <family val="2"/>
    </font>
    <font>
      <b/>
      <sz val="10"/>
      <name val="Tahoma"/>
      <family val="2"/>
    </font>
    <font>
      <b/>
      <sz val="10"/>
      <color theme="1"/>
      <name val="Tahoma"/>
      <family val="2"/>
    </font>
    <font>
      <sz val="10"/>
      <color theme="0"/>
      <name val="Tahoma"/>
      <family val="2"/>
    </font>
    <font>
      <sz val="11"/>
      <color theme="0"/>
      <name val="Tahoma"/>
      <family val="2"/>
    </font>
    <font>
      <b/>
      <sz val="11"/>
      <color rgb="FF3F3F3F"/>
      <name val="Calibri"/>
      <family val="2"/>
      <scheme val="minor"/>
    </font>
    <font>
      <sz val="10"/>
      <name val="Tahoma"/>
      <family val="2"/>
    </font>
    <font>
      <sz val="10"/>
      <color rgb="FFFFFF00"/>
      <name val="Tahoma"/>
      <family val="2"/>
    </font>
    <font>
      <b/>
      <sz val="11"/>
      <color theme="0"/>
      <name val="Tahoma"/>
      <family val="2"/>
    </font>
    <font>
      <b/>
      <sz val="12"/>
      <color theme="1"/>
      <name val="Tahoma"/>
      <family val="2"/>
    </font>
    <font>
      <b/>
      <u/>
      <sz val="10"/>
      <color theme="1"/>
      <name val="Tahoma"/>
      <family val="2"/>
    </font>
    <font>
      <b/>
      <sz val="10"/>
      <color rgb="FF0070C0"/>
      <name val="Tahoma"/>
      <family val="2"/>
    </font>
    <font>
      <sz val="9"/>
      <color theme="0"/>
      <name val="Tahoma"/>
      <family val="2"/>
    </font>
    <font>
      <sz val="9"/>
      <color theme="1"/>
      <name val="Tahoma"/>
      <family val="2"/>
    </font>
    <font>
      <b/>
      <sz val="10"/>
      <color theme="4" tint="-0.249977111117893"/>
      <name val="Tahoma"/>
      <family val="2"/>
    </font>
    <font>
      <sz val="10"/>
      <color rgb="FF002060"/>
      <name val="Tahoma"/>
      <family val="2"/>
    </font>
    <font>
      <b/>
      <sz val="14"/>
      <color rgb="FF005790"/>
      <name val="Tahoma"/>
      <family val="2"/>
    </font>
    <font>
      <sz val="11"/>
      <color rgb="FFFFFF00"/>
      <name val="Tahoma"/>
      <family val="2"/>
    </font>
    <font>
      <sz val="10"/>
      <name val="Arial"/>
      <family val="2"/>
    </font>
    <font>
      <sz val="11"/>
      <color theme="0"/>
      <name val="Calibri"/>
      <family val="2"/>
      <scheme val="minor"/>
    </font>
    <font>
      <b/>
      <sz val="10"/>
      <color rgb="FFFFC000"/>
      <name val="Tahoma"/>
      <family val="2"/>
    </font>
    <font>
      <sz val="8"/>
      <color theme="7" tint="0.39997558519241921"/>
      <name val="Tahoma"/>
      <family val="2"/>
    </font>
    <font>
      <sz val="9"/>
      <color theme="7" tint="0.39997558519241921"/>
      <name val="Tahoma"/>
      <family val="2"/>
    </font>
    <font>
      <b/>
      <sz val="8"/>
      <color theme="7" tint="0.39997558519241921"/>
      <name val="Tahoma"/>
      <family val="2"/>
    </font>
    <font>
      <sz val="9"/>
      <color rgb="FFFF0000"/>
      <name val="Tahoma"/>
      <family val="2"/>
    </font>
    <font>
      <sz val="11"/>
      <color theme="1"/>
      <name val="Calibri"/>
      <family val="2"/>
      <scheme val="minor"/>
    </font>
    <font>
      <b/>
      <i/>
      <sz val="11"/>
      <color theme="1"/>
      <name val="Calibri"/>
      <family val="2"/>
      <scheme val="minor"/>
    </font>
    <font>
      <sz val="11"/>
      <name val="Times New Roman"/>
      <family val="1"/>
    </font>
    <font>
      <sz val="11"/>
      <color theme="1"/>
      <name val="Times New Roman"/>
      <family val="1"/>
    </font>
    <font>
      <b/>
      <sz val="9"/>
      <color rgb="FFFF0000"/>
      <name val="Tahoma"/>
      <family val="2"/>
    </font>
    <font>
      <sz val="11"/>
      <color theme="0"/>
      <name val="Times New Roman"/>
      <family val="1"/>
    </font>
    <font>
      <sz val="9"/>
      <color indexed="81"/>
      <name val="Tahoma"/>
      <family val="2"/>
    </font>
    <font>
      <b/>
      <sz val="9"/>
      <color indexed="81"/>
      <name val="Tahoma"/>
      <family val="2"/>
    </font>
    <font>
      <b/>
      <sz val="11"/>
      <name val="Times New Roman"/>
      <family val="1"/>
    </font>
    <font>
      <sz val="11"/>
      <color rgb="FFFF0000"/>
      <name val="Times New Roman"/>
      <family val="1"/>
    </font>
    <font>
      <u/>
      <sz val="11"/>
      <color theme="10"/>
      <name val="Calibri"/>
      <family val="2"/>
      <scheme val="minor"/>
    </font>
    <font>
      <u/>
      <sz val="11"/>
      <name val="Calibri"/>
      <family val="2"/>
      <scheme val="minor"/>
    </font>
    <font>
      <sz val="11"/>
      <color theme="8" tint="-0.499984740745262"/>
      <name val="Times New Roman"/>
      <family val="1"/>
    </font>
    <font>
      <b/>
      <sz val="11"/>
      <color theme="8" tint="-0.499984740745262"/>
      <name val="Times New Roman"/>
      <family val="1"/>
    </font>
    <font>
      <sz val="9"/>
      <name val="Times New Roman"/>
      <family val="1"/>
    </font>
    <font>
      <b/>
      <sz val="9"/>
      <name val="Times New Roman"/>
      <family val="1"/>
    </font>
    <font>
      <b/>
      <sz val="9"/>
      <color rgb="FFFF0000"/>
      <name val="Times New Roman"/>
      <family val="1"/>
    </font>
    <font>
      <b/>
      <sz val="9"/>
      <color theme="1"/>
      <name val="Times New Roman"/>
      <family val="1"/>
    </font>
  </fonts>
  <fills count="29">
    <fill>
      <patternFill patternType="none"/>
    </fill>
    <fill>
      <patternFill patternType="gray125"/>
    </fill>
    <fill>
      <patternFill patternType="solid">
        <fgColor rgb="FF660B15"/>
        <bgColor indexed="64"/>
      </patternFill>
    </fill>
    <fill>
      <patternFill patternType="solid">
        <fgColor rgb="FF0F1D41"/>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theme="5"/>
        <bgColor indexed="64"/>
      </patternFill>
    </fill>
    <fill>
      <patternFill patternType="solid">
        <fgColor theme="7"/>
        <bgColor indexed="64"/>
      </patternFill>
    </fill>
    <fill>
      <patternFill patternType="solid">
        <fgColor rgb="FFF2F2F2"/>
      </patternFill>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rgb="FF005790"/>
        <bgColor indexed="64"/>
      </patternFill>
    </fill>
    <fill>
      <patternFill patternType="solid">
        <fgColor rgb="FFA62424"/>
        <bgColor indexed="64"/>
      </patternFill>
    </fill>
    <fill>
      <patternFill patternType="solid">
        <fgColor rgb="FF618138"/>
        <bgColor indexed="64"/>
      </patternFill>
    </fill>
    <fill>
      <patternFill patternType="solid">
        <fgColor rgb="FFFFC000"/>
        <bgColor indexed="64"/>
      </patternFill>
    </fill>
    <fill>
      <patternFill patternType="solid">
        <fgColor theme="7" tint="0.79998168889431442"/>
        <bgColor indexed="64"/>
      </patternFill>
    </fill>
    <fill>
      <patternFill patternType="solid">
        <fgColor rgb="FF009999"/>
        <bgColor indexed="64"/>
      </patternFill>
    </fill>
    <fill>
      <patternFill patternType="solid">
        <fgColor rgb="FF021324"/>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rgb="FFFFFF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style="thin">
        <color indexed="64"/>
      </top>
      <bottom/>
      <diagonal/>
    </border>
    <border>
      <left style="double">
        <color theme="0" tint="-0.34998626667073579"/>
      </left>
      <right style="double">
        <color theme="0" tint="-0.34998626667073579"/>
      </right>
      <top style="double">
        <color theme="0" tint="-0.34998626667073579"/>
      </top>
      <bottom style="double">
        <color theme="0" tint="-0.34998626667073579"/>
      </bottom>
      <diagonal/>
    </border>
    <border>
      <left style="thin">
        <color indexed="64"/>
      </left>
      <right style="thin">
        <color indexed="64"/>
      </right>
      <top style="double">
        <color theme="0" tint="-0.34998626667073579"/>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medium">
        <color rgb="FF000000"/>
      </right>
      <top/>
      <bottom/>
      <diagonal/>
    </border>
    <border>
      <left style="double">
        <color rgb="FFA6A6A6"/>
      </left>
      <right style="double">
        <color rgb="FFA6A6A6"/>
      </right>
      <top style="double">
        <color rgb="FFA6A6A6"/>
      </top>
      <bottom style="double">
        <color rgb="FFA6A6A6"/>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thin">
        <color indexed="64"/>
      </right>
      <top/>
      <bottom style="double">
        <color theme="0" tint="-0.34998626667073579"/>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medium">
        <color indexed="64"/>
      </bottom>
      <diagonal/>
    </border>
  </borders>
  <cellStyleXfs count="10">
    <xf numFmtId="0" fontId="0" fillId="0" borderId="0"/>
    <xf numFmtId="42"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0" fillId="12" borderId="9" applyNumberFormat="0" applyAlignment="0" applyProtection="0"/>
    <xf numFmtId="0" fontId="23" fillId="0" borderId="0"/>
    <xf numFmtId="9" fontId="23" fillId="0" borderId="0" applyFont="0" applyFill="0" applyBorder="0" applyAlignment="0" applyProtection="0"/>
    <xf numFmtId="0" fontId="30" fillId="0" borderId="0"/>
    <xf numFmtId="44" fontId="1" fillId="0" borderId="0" applyFont="0" applyFill="0" applyBorder="0" applyAlignment="0" applyProtection="0"/>
    <xf numFmtId="0" fontId="40" fillId="0" borderId="0" applyNumberFormat="0" applyFill="0" applyBorder="0" applyAlignment="0" applyProtection="0"/>
  </cellStyleXfs>
  <cellXfs count="371">
    <xf numFmtId="0" fontId="0" fillId="0" borderId="0" xfId="0"/>
    <xf numFmtId="0" fontId="2" fillId="0" borderId="0" xfId="0" applyFont="1"/>
    <xf numFmtId="0" fontId="3" fillId="0" borderId="0" xfId="0" applyFont="1"/>
    <xf numFmtId="0" fontId="3" fillId="0" borderId="1" xfId="0" applyFont="1" applyBorder="1" applyAlignment="1" applyProtection="1">
      <alignment vertical="center"/>
      <protection locked="0"/>
    </xf>
    <xf numFmtId="164" fontId="3" fillId="0" borderId="1" xfId="0" applyNumberFormat="1" applyFont="1" applyBorder="1" applyAlignment="1" applyProtection="1">
      <alignment vertical="center"/>
      <protection hidden="1"/>
    </xf>
    <xf numFmtId="0" fontId="5" fillId="0" borderId="1" xfId="0" applyFont="1" applyBorder="1" applyAlignment="1">
      <alignment horizontal="center" vertical="center"/>
    </xf>
    <xf numFmtId="42" fontId="2" fillId="0" borderId="1" xfId="1" applyFont="1" applyFill="1" applyBorder="1" applyAlignment="1" applyProtection="1">
      <alignment vertical="center"/>
    </xf>
    <xf numFmtId="0" fontId="2" fillId="0" borderId="0" xfId="0" applyFont="1" applyAlignment="1">
      <alignment vertical="center"/>
    </xf>
    <xf numFmtId="164" fontId="12" fillId="3" borderId="1" xfId="0" applyNumberFormat="1" applyFont="1" applyFill="1" applyBorder="1" applyAlignment="1" applyProtection="1">
      <alignment vertical="center"/>
      <protection hidden="1"/>
    </xf>
    <xf numFmtId="0" fontId="3" fillId="0" borderId="0" xfId="0" applyFont="1" applyAlignment="1">
      <alignment vertical="center"/>
    </xf>
    <xf numFmtId="0" fontId="3" fillId="8" borderId="2" xfId="0" applyFont="1" applyFill="1" applyBorder="1" applyAlignment="1">
      <alignment vertical="center"/>
    </xf>
    <xf numFmtId="0" fontId="3" fillId="8" borderId="4" xfId="0" applyFont="1" applyFill="1" applyBorder="1" applyAlignment="1">
      <alignment vertical="center"/>
    </xf>
    <xf numFmtId="0" fontId="7" fillId="0" borderId="1" xfId="0" applyFont="1" applyBorder="1" applyAlignment="1">
      <alignment horizontal="right" vertical="center"/>
    </xf>
    <xf numFmtId="0" fontId="3" fillId="6" borderId="2" xfId="0" applyFont="1" applyFill="1" applyBorder="1" applyAlignment="1">
      <alignment vertical="center"/>
    </xf>
    <xf numFmtId="0" fontId="3" fillId="6" borderId="4" xfId="0" applyFont="1" applyFill="1" applyBorder="1" applyAlignment="1">
      <alignment vertical="center"/>
    </xf>
    <xf numFmtId="0" fontId="3" fillId="5" borderId="2" xfId="0" applyFont="1" applyFill="1" applyBorder="1" applyAlignment="1">
      <alignment vertical="center"/>
    </xf>
    <xf numFmtId="0" fontId="3" fillId="5" borderId="4" xfId="0" applyFont="1" applyFill="1" applyBorder="1" applyAlignment="1">
      <alignment vertical="center"/>
    </xf>
    <xf numFmtId="42" fontId="7" fillId="0" borderId="1" xfId="1" applyFont="1" applyBorder="1" applyAlignment="1">
      <alignment horizontal="center" vertical="center"/>
    </xf>
    <xf numFmtId="0" fontId="3" fillId="4" borderId="2" xfId="0" applyFont="1" applyFill="1" applyBorder="1" applyAlignment="1">
      <alignment vertical="center"/>
    </xf>
    <xf numFmtId="0" fontId="3" fillId="4" borderId="4" xfId="0" applyFont="1" applyFill="1" applyBorder="1" applyAlignment="1">
      <alignment vertical="center"/>
    </xf>
    <xf numFmtId="42" fontId="7" fillId="0" borderId="1" xfId="1" applyFont="1" applyFill="1" applyBorder="1" applyAlignment="1">
      <alignment horizontal="center" vertical="center"/>
    </xf>
    <xf numFmtId="42" fontId="2" fillId="0" borderId="0" xfId="0" applyNumberFormat="1" applyFont="1" applyAlignment="1">
      <alignment vertical="center"/>
    </xf>
    <xf numFmtId="42" fontId="3" fillId="0" borderId="1" xfId="1" applyFont="1" applyBorder="1" applyAlignment="1">
      <alignment vertical="center"/>
    </xf>
    <xf numFmtId="0" fontId="7" fillId="0" borderId="0" xfId="0" applyFont="1"/>
    <xf numFmtId="42" fontId="7" fillId="0" borderId="0" xfId="0" applyNumberFormat="1" applyFont="1" applyAlignment="1">
      <alignment vertical="center"/>
    </xf>
    <xf numFmtId="10" fontId="6" fillId="0" borderId="4" xfId="2" applyNumberFormat="1" applyFont="1" applyFill="1" applyBorder="1" applyAlignment="1" applyProtection="1">
      <alignment horizontal="center" vertical="center" wrapText="1"/>
      <protection hidden="1"/>
    </xf>
    <xf numFmtId="0" fontId="7" fillId="0" borderId="1" xfId="0"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3" fillId="0" borderId="1" xfId="0" applyFont="1" applyBorder="1" applyAlignment="1" applyProtection="1">
      <alignment horizontal="center" vertical="center"/>
      <protection hidden="1"/>
    </xf>
    <xf numFmtId="42" fontId="3" fillId="0" borderId="1" xfId="1" applyFont="1" applyBorder="1" applyAlignment="1" applyProtection="1">
      <alignment horizontal="center" vertical="center"/>
      <protection hidden="1"/>
    </xf>
    <xf numFmtId="10" fontId="6" fillId="0" borderId="7" xfId="2" applyNumberFormat="1" applyFont="1" applyFill="1" applyBorder="1" applyAlignment="1" applyProtection="1">
      <alignment horizontal="center" vertical="center" wrapText="1"/>
      <protection hidden="1"/>
    </xf>
    <xf numFmtId="10" fontId="6" fillId="0" borderId="8" xfId="2" applyNumberFormat="1" applyFont="1" applyFill="1" applyBorder="1" applyAlignment="1" applyProtection="1">
      <alignment horizontal="center" vertical="center" wrapText="1"/>
      <protection hidden="1"/>
    </xf>
    <xf numFmtId="0" fontId="7" fillId="0" borderId="1" xfId="1" applyNumberFormat="1" applyFont="1" applyFill="1" applyBorder="1" applyAlignment="1">
      <alignment horizontal="right" vertical="center"/>
    </xf>
    <xf numFmtId="0" fontId="3" fillId="15" borderId="2" xfId="0" applyFont="1" applyFill="1" applyBorder="1" applyAlignment="1">
      <alignment vertical="center"/>
    </xf>
    <xf numFmtId="0" fontId="3" fillId="15" borderId="4" xfId="0" applyFont="1" applyFill="1" applyBorder="1" applyAlignment="1">
      <alignment vertical="center"/>
    </xf>
    <xf numFmtId="0" fontId="7" fillId="11" borderId="3" xfId="0" applyFont="1" applyFill="1" applyBorder="1" applyAlignment="1">
      <alignment horizontal="centerContinuous" vertical="center"/>
    </xf>
    <xf numFmtId="0" fontId="3" fillId="11" borderId="4" xfId="0" applyFont="1" applyFill="1" applyBorder="1" applyAlignment="1">
      <alignment horizontal="centerContinuous"/>
    </xf>
    <xf numFmtId="0" fontId="11" fillId="11" borderId="5"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3" fillId="0" borderId="1" xfId="0" applyFont="1" applyBorder="1" applyAlignment="1">
      <alignment horizontal="center" vertical="center"/>
    </xf>
    <xf numFmtId="42" fontId="3" fillId="0" borderId="1" xfId="1" applyFont="1" applyBorder="1" applyAlignment="1" applyProtection="1">
      <alignment vertical="center"/>
    </xf>
    <xf numFmtId="42" fontId="3" fillId="0" borderId="0" xfId="0" applyNumberFormat="1" applyFont="1" applyAlignment="1">
      <alignment vertical="center"/>
    </xf>
    <xf numFmtId="42" fontId="12" fillId="3" borderId="0" xfId="1" applyFont="1" applyFill="1" applyAlignment="1" applyProtection="1">
      <alignment vertical="center"/>
    </xf>
    <xf numFmtId="164" fontId="3" fillId="0" borderId="1" xfId="0" applyNumberFormat="1" applyFont="1" applyBorder="1" applyAlignment="1">
      <alignment vertical="center"/>
    </xf>
    <xf numFmtId="42" fontId="2" fillId="0" borderId="1" xfId="0" applyNumberFormat="1" applyFont="1" applyBorder="1" applyAlignment="1">
      <alignment vertical="center"/>
    </xf>
    <xf numFmtId="0" fontId="7" fillId="4" borderId="1" xfId="1" applyNumberFormat="1" applyFont="1" applyFill="1" applyBorder="1" applyAlignment="1">
      <alignment horizontal="right" vertical="center"/>
    </xf>
    <xf numFmtId="42" fontId="7" fillId="4" borderId="1" xfId="1" applyFont="1" applyFill="1" applyBorder="1" applyAlignment="1">
      <alignment horizontal="center" vertical="center"/>
    </xf>
    <xf numFmtId="42" fontId="3" fillId="4" borderId="1" xfId="1" applyFont="1" applyFill="1" applyBorder="1" applyAlignment="1">
      <alignment horizontal="center" vertical="center"/>
    </xf>
    <xf numFmtId="42" fontId="2" fillId="4" borderId="1" xfId="1" applyFont="1" applyFill="1" applyBorder="1" applyAlignment="1" applyProtection="1">
      <alignment vertical="center"/>
    </xf>
    <xf numFmtId="42" fontId="2" fillId="4" borderId="17" xfId="1" applyFont="1" applyFill="1" applyBorder="1" applyAlignment="1" applyProtection="1">
      <alignment vertical="center"/>
    </xf>
    <xf numFmtId="42" fontId="3" fillId="4" borderId="16" xfId="1" applyFont="1" applyFill="1" applyBorder="1" applyAlignment="1">
      <alignment horizontal="center" vertical="center"/>
    </xf>
    <xf numFmtId="42" fontId="2" fillId="4" borderId="22" xfId="1" applyFont="1" applyFill="1" applyBorder="1" applyAlignment="1" applyProtection="1">
      <alignment vertical="center"/>
    </xf>
    <xf numFmtId="42" fontId="3" fillId="4" borderId="19" xfId="1" applyFont="1" applyFill="1" applyBorder="1" applyAlignment="1">
      <alignment horizontal="center" vertical="center"/>
    </xf>
    <xf numFmtId="42" fontId="2" fillId="4" borderId="19" xfId="1" applyFont="1" applyFill="1" applyBorder="1" applyAlignment="1" applyProtection="1">
      <alignment vertical="center"/>
    </xf>
    <xf numFmtId="42" fontId="2" fillId="4" borderId="20" xfId="1" applyFont="1" applyFill="1" applyBorder="1" applyAlignment="1" applyProtection="1">
      <alignment vertical="center"/>
    </xf>
    <xf numFmtId="42" fontId="3" fillId="4" borderId="18" xfId="1" applyFont="1" applyFill="1" applyBorder="1" applyAlignment="1">
      <alignment horizontal="center" vertical="center"/>
    </xf>
    <xf numFmtId="42" fontId="2" fillId="4" borderId="23" xfId="1" applyFont="1" applyFill="1" applyBorder="1" applyAlignment="1" applyProtection="1">
      <alignment vertical="center"/>
    </xf>
    <xf numFmtId="0" fontId="15" fillId="0" borderId="0" xfId="0" applyFont="1"/>
    <xf numFmtId="0" fontId="16" fillId="0" borderId="0" xfId="0" applyFont="1"/>
    <xf numFmtId="0" fontId="7" fillId="0" borderId="2" xfId="0" applyFont="1" applyBorder="1" applyAlignment="1">
      <alignment horizontal="centerContinuous" vertical="center"/>
    </xf>
    <xf numFmtId="0" fontId="7" fillId="0" borderId="3" xfId="0" applyFont="1" applyBorder="1" applyAlignment="1">
      <alignment horizontal="centerContinuous" vertical="center"/>
    </xf>
    <xf numFmtId="0" fontId="7" fillId="14" borderId="5" xfId="0" applyFont="1" applyFill="1" applyBorder="1" applyAlignment="1">
      <alignment horizontal="center" vertical="center"/>
    </xf>
    <xf numFmtId="0" fontId="7" fillId="0" borderId="2" xfId="0" applyFont="1" applyBorder="1" applyAlignment="1">
      <alignment vertical="center"/>
    </xf>
    <xf numFmtId="0" fontId="7" fillId="0" borderId="0" xfId="0" applyFont="1" applyAlignment="1">
      <alignment vertical="center"/>
    </xf>
    <xf numFmtId="0" fontId="16" fillId="0" borderId="0" xfId="0" applyFont="1" applyAlignment="1">
      <alignment vertical="center"/>
    </xf>
    <xf numFmtId="0" fontId="7" fillId="14" borderId="2" xfId="0" applyFont="1" applyFill="1" applyBorder="1" applyAlignment="1">
      <alignment horizontal="center" vertical="center"/>
    </xf>
    <xf numFmtId="0" fontId="7" fillId="14" borderId="1" xfId="0" applyFont="1" applyFill="1" applyBorder="1" applyAlignment="1">
      <alignment horizontal="center" vertical="center"/>
    </xf>
    <xf numFmtId="42" fontId="3" fillId="0" borderId="0" xfId="1" applyFont="1"/>
    <xf numFmtId="0" fontId="3" fillId="0" borderId="3" xfId="0" applyFont="1" applyBorder="1" applyAlignment="1">
      <alignment vertical="center"/>
    </xf>
    <xf numFmtId="42" fontId="3" fillId="0" borderId="3" xfId="0" applyNumberFormat="1" applyFont="1" applyBorder="1" applyAlignment="1" applyProtection="1">
      <alignment vertical="center"/>
      <protection hidden="1"/>
    </xf>
    <xf numFmtId="42" fontId="3" fillId="14" borderId="1" xfId="0" applyNumberFormat="1" applyFont="1" applyFill="1" applyBorder="1" applyAlignment="1" applyProtection="1">
      <alignment vertical="center"/>
      <protection hidden="1"/>
    </xf>
    <xf numFmtId="0" fontId="7" fillId="7" borderId="2" xfId="0" applyFont="1" applyFill="1" applyBorder="1" applyAlignment="1">
      <alignment vertical="center"/>
    </xf>
    <xf numFmtId="0" fontId="7" fillId="7" borderId="3" xfId="0" applyFont="1" applyFill="1" applyBorder="1" applyAlignment="1">
      <alignment vertical="center"/>
    </xf>
    <xf numFmtId="42" fontId="7" fillId="7" borderId="1" xfId="0" applyNumberFormat="1" applyFont="1" applyFill="1" applyBorder="1" applyAlignment="1" applyProtection="1">
      <alignment vertical="center"/>
      <protection hidden="1"/>
    </xf>
    <xf numFmtId="42" fontId="7" fillId="7" borderId="4" xfId="0" applyNumberFormat="1" applyFont="1" applyFill="1" applyBorder="1" applyAlignment="1" applyProtection="1">
      <alignment vertical="center"/>
      <protection hidden="1"/>
    </xf>
    <xf numFmtId="0" fontId="7" fillId="7" borderId="6" xfId="0" applyFont="1" applyFill="1" applyBorder="1" applyAlignment="1">
      <alignment vertical="center"/>
    </xf>
    <xf numFmtId="0" fontId="7" fillId="7" borderId="7" xfId="0" applyFont="1" applyFill="1" applyBorder="1" applyAlignment="1">
      <alignment vertical="center"/>
    </xf>
    <xf numFmtId="10" fontId="4" fillId="10" borderId="1" xfId="2" applyNumberFormat="1" applyFont="1" applyFill="1" applyBorder="1" applyAlignment="1" applyProtection="1">
      <alignment horizontal="center" vertical="center" wrapText="1"/>
    </xf>
    <xf numFmtId="10" fontId="4" fillId="9" borderId="1" xfId="2" applyNumberFormat="1" applyFont="1" applyFill="1" applyBorder="1" applyAlignment="1" applyProtection="1">
      <alignment horizontal="center" vertical="center" wrapText="1"/>
    </xf>
    <xf numFmtId="42" fontId="18" fillId="0" borderId="1" xfId="1" applyFont="1" applyBorder="1" applyAlignment="1" applyProtection="1">
      <alignment vertical="center"/>
      <protection hidden="1"/>
    </xf>
    <xf numFmtId="0" fontId="18" fillId="0" borderId="0" xfId="0" applyFont="1"/>
    <xf numFmtId="0" fontId="3" fillId="0" borderId="0" xfId="0" applyFont="1" applyAlignment="1">
      <alignment horizontal="center"/>
    </xf>
    <xf numFmtId="0" fontId="9" fillId="17" borderId="1" xfId="0" applyFont="1" applyFill="1" applyBorder="1" applyAlignment="1">
      <alignment horizontal="center" vertical="center" wrapText="1"/>
    </xf>
    <xf numFmtId="0" fontId="9" fillId="17" borderId="21" xfId="0" applyFont="1" applyFill="1" applyBorder="1" applyAlignment="1">
      <alignment horizontal="center" vertical="center" wrapText="1"/>
    </xf>
    <xf numFmtId="0" fontId="9" fillId="17" borderId="13" xfId="0" applyFont="1" applyFill="1" applyBorder="1" applyAlignment="1">
      <alignment horizontal="center" vertical="center" wrapText="1"/>
    </xf>
    <xf numFmtId="0" fontId="9" fillId="17" borderId="14" xfId="0" applyFont="1" applyFill="1" applyBorder="1" applyAlignment="1">
      <alignment horizontal="center" vertical="center" wrapText="1"/>
    </xf>
    <xf numFmtId="0" fontId="9" fillId="17" borderId="15" xfId="0" applyFont="1" applyFill="1" applyBorder="1" applyAlignment="1">
      <alignment horizontal="center" vertical="center" wrapText="1"/>
    </xf>
    <xf numFmtId="42" fontId="3" fillId="0" borderId="4" xfId="1" applyFont="1" applyFill="1" applyBorder="1" applyAlignment="1">
      <alignment horizontal="center" vertical="center"/>
    </xf>
    <xf numFmtId="42" fontId="3" fillId="0" borderId="26" xfId="1" applyFont="1" applyFill="1" applyBorder="1" applyAlignment="1">
      <alignment horizontal="center" vertical="center"/>
    </xf>
    <xf numFmtId="0" fontId="3" fillId="13" borderId="16" xfId="0" applyFont="1" applyFill="1" applyBorder="1" applyAlignment="1">
      <alignment vertical="center"/>
    </xf>
    <xf numFmtId="0" fontId="3" fillId="13" borderId="18" xfId="0" applyFont="1" applyFill="1" applyBorder="1" applyAlignment="1">
      <alignment vertical="center"/>
    </xf>
    <xf numFmtId="0" fontId="3" fillId="13" borderId="1" xfId="0" applyFont="1" applyFill="1" applyBorder="1" applyAlignment="1">
      <alignment vertical="center"/>
    </xf>
    <xf numFmtId="42" fontId="3" fillId="0" borderId="1" xfId="1" applyFont="1" applyBorder="1" applyAlignment="1" applyProtection="1">
      <alignment horizontal="center" vertical="center"/>
      <protection locked="0"/>
    </xf>
    <xf numFmtId="0" fontId="8" fillId="18" borderId="1" xfId="0" applyFont="1" applyFill="1" applyBorder="1" applyAlignment="1">
      <alignment horizontal="center" vertical="center"/>
    </xf>
    <xf numFmtId="0" fontId="12" fillId="18" borderId="1" xfId="0" applyFont="1" applyFill="1" applyBorder="1" applyAlignment="1">
      <alignment vertical="center"/>
    </xf>
    <xf numFmtId="42" fontId="12" fillId="18" borderId="1" xfId="0" applyNumberFormat="1" applyFont="1" applyFill="1" applyBorder="1" applyAlignment="1">
      <alignment vertical="center"/>
    </xf>
    <xf numFmtId="42" fontId="12" fillId="18" borderId="1" xfId="0" applyNumberFormat="1" applyFont="1" applyFill="1" applyBorder="1" applyAlignment="1" applyProtection="1">
      <alignment vertical="center"/>
      <protection hidden="1"/>
    </xf>
    <xf numFmtId="42" fontId="4" fillId="17" borderId="2" xfId="0" applyNumberFormat="1" applyFont="1" applyFill="1" applyBorder="1" applyAlignment="1">
      <alignment horizontal="centerContinuous" vertical="center"/>
    </xf>
    <xf numFmtId="0" fontId="4" fillId="17" borderId="3" xfId="0" applyFont="1" applyFill="1" applyBorder="1" applyAlignment="1">
      <alignment horizontal="centerContinuous" vertical="center"/>
    </xf>
    <xf numFmtId="42" fontId="8" fillId="17" borderId="3" xfId="0" applyNumberFormat="1" applyFont="1" applyFill="1" applyBorder="1" applyAlignment="1">
      <alignment horizontal="centerContinuous" vertical="center"/>
    </xf>
    <xf numFmtId="42" fontId="4" fillId="19" borderId="2" xfId="0" applyNumberFormat="1" applyFont="1" applyFill="1" applyBorder="1" applyAlignment="1">
      <alignment horizontal="centerContinuous" vertical="center"/>
    </xf>
    <xf numFmtId="0" fontId="4" fillId="19" borderId="3" xfId="0" applyFont="1" applyFill="1" applyBorder="1" applyAlignment="1">
      <alignment horizontal="centerContinuous" vertical="center"/>
    </xf>
    <xf numFmtId="0" fontId="8" fillId="19" borderId="4" xfId="0" applyFont="1" applyFill="1" applyBorder="1" applyAlignment="1">
      <alignment horizontal="centerContinuous" vertical="center"/>
    </xf>
    <xf numFmtId="10" fontId="7" fillId="0" borderId="4" xfId="2" applyNumberFormat="1" applyFont="1" applyFill="1" applyBorder="1" applyAlignment="1" applyProtection="1">
      <alignment horizontal="center" vertical="center" wrapText="1"/>
      <protection hidden="1"/>
    </xf>
    <xf numFmtId="0" fontId="7" fillId="0" borderId="2" xfId="0" applyFont="1" applyBorder="1" applyAlignment="1">
      <alignment horizontal="center" vertical="center"/>
    </xf>
    <xf numFmtId="0" fontId="7" fillId="0" borderId="1" xfId="0" applyFont="1" applyBorder="1" applyAlignment="1">
      <alignment horizontal="center" vertical="center"/>
    </xf>
    <xf numFmtId="42" fontId="17" fillId="17" borderId="1" xfId="1" applyFont="1" applyFill="1" applyBorder="1" applyProtection="1">
      <protection hidden="1"/>
    </xf>
    <xf numFmtId="0" fontId="8" fillId="17" borderId="1" xfId="0" applyFont="1" applyFill="1" applyBorder="1" applyAlignment="1">
      <alignment vertical="center"/>
    </xf>
    <xf numFmtId="42" fontId="8" fillId="17" borderId="1" xfId="1" applyFont="1" applyFill="1" applyBorder="1"/>
    <xf numFmtId="0" fontId="17" fillId="17" borderId="2" xfId="0" applyFont="1" applyFill="1" applyBorder="1" applyAlignment="1">
      <alignment horizontal="left"/>
    </xf>
    <xf numFmtId="0" fontId="21" fillId="0" borderId="0" xfId="0" applyFont="1" applyAlignment="1">
      <alignment vertical="center"/>
    </xf>
    <xf numFmtId="0" fontId="18" fillId="0" borderId="2" xfId="0" applyFont="1" applyBorder="1" applyAlignment="1" applyProtection="1">
      <alignment horizontal="left" vertical="center" wrapText="1"/>
      <protection locked="0"/>
    </xf>
    <xf numFmtId="0" fontId="17" fillId="18" borderId="2" xfId="0" applyFont="1" applyFill="1" applyBorder="1" applyAlignment="1">
      <alignment horizontal="left"/>
    </xf>
    <xf numFmtId="42" fontId="17" fillId="18" borderId="1" xfId="1" applyFont="1" applyFill="1" applyBorder="1" applyProtection="1">
      <protection hidden="1"/>
    </xf>
    <xf numFmtId="0" fontId="3" fillId="0" borderId="1" xfId="0" applyFont="1" applyBorder="1" applyAlignment="1">
      <alignment vertical="center" wrapText="1"/>
    </xf>
    <xf numFmtId="42" fontId="12" fillId="18" borderId="1" xfId="0" applyNumberFormat="1" applyFont="1" applyFill="1" applyBorder="1"/>
    <xf numFmtId="164" fontId="12" fillId="18" borderId="1" xfId="0" applyNumberFormat="1" applyFont="1" applyFill="1" applyBorder="1" applyAlignment="1" applyProtection="1">
      <alignment vertical="center"/>
      <protection hidden="1"/>
    </xf>
    <xf numFmtId="0" fontId="8" fillId="18" borderId="5" xfId="0" applyFont="1" applyFill="1" applyBorder="1" applyAlignment="1">
      <alignment horizontal="center" vertical="center" wrapText="1"/>
    </xf>
    <xf numFmtId="0" fontId="3" fillId="20" borderId="3" xfId="0" applyFont="1" applyFill="1" applyBorder="1" applyAlignment="1">
      <alignment horizontal="centerContinuous" vertical="center"/>
    </xf>
    <xf numFmtId="0" fontId="3" fillId="20" borderId="4" xfId="0" applyFont="1" applyFill="1" applyBorder="1" applyAlignment="1">
      <alignment horizontal="centerContinuous" vertical="center"/>
    </xf>
    <xf numFmtId="0" fontId="2" fillId="0" borderId="1" xfId="0" applyFont="1" applyBorder="1" applyAlignment="1">
      <alignment vertical="center"/>
    </xf>
    <xf numFmtId="0" fontId="3" fillId="0" borderId="1" xfId="0" applyFont="1" applyBorder="1" applyAlignment="1">
      <alignment horizontal="left" vertical="center" wrapText="1"/>
    </xf>
    <xf numFmtId="42" fontId="12" fillId="18" borderId="1" xfId="1" applyFont="1" applyFill="1" applyBorder="1"/>
    <xf numFmtId="0" fontId="3" fillId="0" borderId="2" xfId="0" applyFont="1" applyBorder="1" applyAlignment="1">
      <alignment horizontal="left" vertical="center" wrapText="1"/>
    </xf>
    <xf numFmtId="0" fontId="8" fillId="17" borderId="1" xfId="0" applyFont="1" applyFill="1" applyBorder="1" applyAlignment="1">
      <alignment horizontal="left" vertical="center" wrapText="1"/>
    </xf>
    <xf numFmtId="0" fontId="22" fillId="17" borderId="13" xfId="0" applyFont="1" applyFill="1" applyBorder="1" applyAlignment="1">
      <alignment horizontal="center" vertical="center" wrapText="1"/>
    </xf>
    <xf numFmtId="0" fontId="22" fillId="17" borderId="25" xfId="0" applyFont="1" applyFill="1" applyBorder="1" applyAlignment="1">
      <alignment horizontal="center" vertical="center" wrapText="1"/>
    </xf>
    <xf numFmtId="0" fontId="14" fillId="0" borderId="0" xfId="0" applyFont="1" applyAlignment="1">
      <alignment vertical="center"/>
    </xf>
    <xf numFmtId="0" fontId="7" fillId="14" borderId="7" xfId="0" applyFont="1" applyFill="1" applyBorder="1" applyAlignment="1">
      <alignment vertical="center"/>
    </xf>
    <xf numFmtId="42" fontId="7" fillId="14" borderId="5" xfId="0" applyNumberFormat="1" applyFont="1" applyFill="1" applyBorder="1" applyAlignment="1" applyProtection="1">
      <alignment vertical="center"/>
      <protection hidden="1"/>
    </xf>
    <xf numFmtId="0" fontId="3" fillId="14" borderId="6" xfId="0" applyFont="1" applyFill="1" applyBorder="1" applyAlignment="1">
      <alignment vertical="center"/>
    </xf>
    <xf numFmtId="0" fontId="7" fillId="7" borderId="8" xfId="0" applyFont="1" applyFill="1" applyBorder="1" applyAlignment="1">
      <alignment vertical="center"/>
    </xf>
    <xf numFmtId="0" fontId="3" fillId="14" borderId="2" xfId="0" applyFont="1" applyFill="1" applyBorder="1" applyAlignment="1">
      <alignment vertical="center"/>
    </xf>
    <xf numFmtId="0" fontId="3" fillId="14" borderId="3" xfId="0" applyFont="1" applyFill="1" applyBorder="1" applyAlignment="1">
      <alignment vertical="center"/>
    </xf>
    <xf numFmtId="0" fontId="3" fillId="14" borderId="4" xfId="0" applyFont="1" applyFill="1" applyBorder="1" applyAlignment="1">
      <alignment vertical="center"/>
    </xf>
    <xf numFmtId="42" fontId="7" fillId="14" borderId="1" xfId="0" applyNumberFormat="1" applyFont="1" applyFill="1" applyBorder="1" applyAlignment="1" applyProtection="1">
      <alignment vertical="center"/>
      <protection hidden="1"/>
    </xf>
    <xf numFmtId="0" fontId="7" fillId="14" borderId="3" xfId="0" applyFont="1" applyFill="1" applyBorder="1" applyAlignment="1">
      <alignment vertical="center"/>
    </xf>
    <xf numFmtId="0" fontId="3" fillId="14" borderId="11" xfId="0" applyFont="1" applyFill="1" applyBorder="1" applyAlignment="1">
      <alignment vertical="center"/>
    </xf>
    <xf numFmtId="0" fontId="7" fillId="14" borderId="0" xfId="0" applyFont="1" applyFill="1" applyAlignment="1">
      <alignment vertical="center"/>
    </xf>
    <xf numFmtId="42" fontId="7" fillId="14" borderId="10" xfId="0" applyNumberFormat="1" applyFont="1" applyFill="1" applyBorder="1" applyAlignment="1" applyProtection="1">
      <alignment vertical="center"/>
      <protection hidden="1"/>
    </xf>
    <xf numFmtId="42" fontId="3" fillId="0" borderId="24" xfId="0" applyNumberFormat="1" applyFont="1" applyBorder="1" applyAlignment="1">
      <alignment vertical="center"/>
    </xf>
    <xf numFmtId="42" fontId="3" fillId="0" borderId="11" xfId="0" applyNumberFormat="1" applyFont="1" applyBorder="1" applyAlignment="1">
      <alignment vertical="center"/>
    </xf>
    <xf numFmtId="42" fontId="3" fillId="0" borderId="6" xfId="0" applyNumberFormat="1" applyFont="1" applyBorder="1" applyAlignment="1">
      <alignment vertical="center"/>
    </xf>
    <xf numFmtId="0" fontId="4" fillId="17" borderId="2" xfId="0" applyFont="1" applyFill="1" applyBorder="1" applyAlignment="1">
      <alignment horizontal="center" vertical="center"/>
    </xf>
    <xf numFmtId="0" fontId="4" fillId="17" borderId="4" xfId="0" applyFont="1" applyFill="1" applyBorder="1" applyAlignment="1">
      <alignment horizontal="center" vertical="center"/>
    </xf>
    <xf numFmtId="0" fontId="8" fillId="17" borderId="5" xfId="0" applyFont="1" applyFill="1" applyBorder="1" applyAlignment="1">
      <alignment vertical="center"/>
    </xf>
    <xf numFmtId="10" fontId="6" fillId="0" borderId="1" xfId="2" applyNumberFormat="1" applyFont="1" applyFill="1" applyBorder="1" applyAlignment="1" applyProtection="1">
      <alignment horizontal="center" vertical="center" wrapText="1"/>
      <protection hidden="1"/>
    </xf>
    <xf numFmtId="10" fontId="7" fillId="0" borderId="1" xfId="2" applyNumberFormat="1" applyFont="1" applyFill="1" applyBorder="1" applyAlignment="1" applyProtection="1">
      <alignment horizontal="center" vertical="center" wrapText="1"/>
      <protection hidden="1"/>
    </xf>
    <xf numFmtId="42" fontId="3" fillId="0" borderId="12" xfId="0" applyNumberFormat="1" applyFont="1" applyBorder="1" applyAlignment="1">
      <alignment vertical="center"/>
    </xf>
    <xf numFmtId="42" fontId="3" fillId="0" borderId="10" xfId="0" applyNumberFormat="1" applyFont="1" applyBorder="1" applyAlignment="1">
      <alignment vertical="center"/>
    </xf>
    <xf numFmtId="42" fontId="3" fillId="0" borderId="5" xfId="0" applyNumberFormat="1" applyFont="1" applyBorder="1" applyAlignment="1">
      <alignment vertical="center"/>
    </xf>
    <xf numFmtId="0" fontId="4" fillId="22" borderId="1" xfId="0" applyFont="1" applyFill="1" applyBorder="1" applyAlignment="1">
      <alignment horizontal="center" vertical="center" wrapText="1"/>
    </xf>
    <xf numFmtId="0" fontId="22"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10" fontId="4" fillId="17" borderId="1" xfId="2" quotePrefix="1" applyNumberFormat="1" applyFont="1" applyFill="1" applyBorder="1" applyAlignment="1" applyProtection="1">
      <alignment horizontal="center" vertical="center" wrapText="1"/>
    </xf>
    <xf numFmtId="10" fontId="4" fillId="17" borderId="1" xfId="2" applyNumberFormat="1" applyFont="1" applyFill="1" applyBorder="1" applyAlignment="1" applyProtection="1">
      <alignment horizontal="center" vertical="center" wrapText="1"/>
    </xf>
    <xf numFmtId="10" fontId="4" fillId="17" borderId="1" xfId="2" applyNumberFormat="1" applyFont="1" applyFill="1" applyBorder="1" applyAlignment="1" applyProtection="1">
      <alignment vertical="center" wrapText="1"/>
    </xf>
    <xf numFmtId="10" fontId="25" fillId="17" borderId="1" xfId="2" applyNumberFormat="1" applyFont="1" applyFill="1" applyBorder="1" applyAlignment="1" applyProtection="1">
      <alignment horizontal="center" vertical="center" wrapText="1"/>
    </xf>
    <xf numFmtId="0" fontId="24" fillId="0" borderId="0" xfId="0" applyFont="1" applyProtection="1">
      <protection hidden="1"/>
    </xf>
    <xf numFmtId="9" fontId="24" fillId="0" borderId="0" xfId="2" applyFont="1" applyFill="1" applyProtection="1">
      <protection hidden="1"/>
    </xf>
    <xf numFmtId="166" fontId="24" fillId="0" borderId="0" xfId="0" applyNumberFormat="1" applyFont="1" applyProtection="1">
      <protection hidden="1"/>
    </xf>
    <xf numFmtId="0" fontId="24" fillId="0" borderId="0" xfId="0" applyFont="1" applyAlignment="1" applyProtection="1">
      <alignment horizontal="center"/>
      <protection hidden="1"/>
    </xf>
    <xf numFmtId="42" fontId="3" fillId="0" borderId="1" xfId="0" applyNumberFormat="1" applyFont="1" applyBorder="1" applyAlignment="1" applyProtection="1">
      <alignment vertical="center"/>
      <protection hidden="1"/>
    </xf>
    <xf numFmtId="0" fontId="4" fillId="22" borderId="4"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19" xfId="0" applyFont="1" applyBorder="1" applyAlignment="1" applyProtection="1">
      <alignment horizontal="center" vertical="center"/>
      <protection hidden="1"/>
    </xf>
    <xf numFmtId="0" fontId="3" fillId="0" borderId="31" xfId="0" applyFont="1" applyBorder="1" applyAlignment="1" applyProtection="1">
      <alignment vertical="center"/>
      <protection locked="0"/>
    </xf>
    <xf numFmtId="0" fontId="3" fillId="0" borderId="32" xfId="0" applyFont="1" applyBorder="1" applyAlignment="1" applyProtection="1">
      <alignment vertical="center"/>
      <protection locked="0"/>
    </xf>
    <xf numFmtId="0" fontId="3" fillId="0" borderId="22" xfId="0" applyFont="1" applyBorder="1" applyAlignment="1" applyProtection="1">
      <alignment vertical="center"/>
      <protection locked="0"/>
    </xf>
    <xf numFmtId="0" fontId="3" fillId="0" borderId="23" xfId="0" applyFont="1" applyBorder="1" applyAlignment="1" applyProtection="1">
      <alignment vertical="center"/>
      <protection locked="0"/>
    </xf>
    <xf numFmtId="0" fontId="7" fillId="0" borderId="3" xfId="0" applyFont="1" applyBorder="1" applyAlignment="1" applyProtection="1">
      <alignment horizontal="center" vertical="center"/>
      <protection locked="0"/>
    </xf>
    <xf numFmtId="0" fontId="7" fillId="0" borderId="33"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3" fillId="0" borderId="26" xfId="0" applyFont="1" applyBorder="1" applyAlignment="1" applyProtection="1">
      <alignment vertical="center"/>
      <protection locked="0"/>
    </xf>
    <xf numFmtId="0" fontId="3" fillId="0" borderId="22" xfId="0" applyFont="1" applyBorder="1" applyAlignment="1" applyProtection="1">
      <alignment horizontal="center" vertical="center"/>
      <protection locked="0"/>
    </xf>
    <xf numFmtId="0" fontId="3" fillId="0" borderId="23" xfId="0" applyFont="1" applyBorder="1" applyAlignment="1" applyProtection="1">
      <alignment horizontal="center" vertical="center"/>
      <protection locked="0"/>
    </xf>
    <xf numFmtId="42" fontId="3" fillId="0" borderId="2" xfId="1" applyFont="1" applyBorder="1" applyAlignment="1" applyProtection="1">
      <alignment horizontal="center" vertical="center"/>
      <protection hidden="1"/>
    </xf>
    <xf numFmtId="42" fontId="3" fillId="0" borderId="34" xfId="1" applyFont="1" applyBorder="1" applyAlignment="1" applyProtection="1">
      <alignment horizontal="center" vertical="center"/>
      <protection hidden="1"/>
    </xf>
    <xf numFmtId="42" fontId="3" fillId="0" borderId="22" xfId="1" applyFont="1" applyBorder="1" applyAlignment="1" applyProtection="1">
      <alignment horizontal="center" vertical="center"/>
      <protection hidden="1"/>
    </xf>
    <xf numFmtId="42" fontId="3" fillId="0" borderId="21" xfId="1" applyFont="1" applyBorder="1" applyAlignment="1" applyProtection="1">
      <alignment horizontal="center" vertical="center"/>
      <protection hidden="1"/>
    </xf>
    <xf numFmtId="0" fontId="3" fillId="0" borderId="35" xfId="0" applyFont="1" applyBorder="1" applyAlignment="1" applyProtection="1">
      <alignment vertical="center"/>
      <protection locked="0"/>
    </xf>
    <xf numFmtId="0" fontId="3" fillId="0" borderId="36" xfId="0" applyFont="1" applyBorder="1" applyAlignment="1" applyProtection="1">
      <alignment vertical="center"/>
      <protection locked="0"/>
    </xf>
    <xf numFmtId="0" fontId="7" fillId="0" borderId="7" xfId="0" applyFont="1" applyBorder="1" applyAlignment="1" applyProtection="1">
      <alignment horizontal="center" vertical="center"/>
      <protection locked="0"/>
    </xf>
    <xf numFmtId="0" fontId="3" fillId="0" borderId="36" xfId="0" applyFont="1" applyBorder="1" applyAlignment="1" applyProtection="1">
      <alignment horizontal="center" vertical="center"/>
      <protection locked="0"/>
    </xf>
    <xf numFmtId="0" fontId="3" fillId="0" borderId="8" xfId="0" applyFont="1" applyBorder="1" applyAlignment="1" applyProtection="1">
      <alignment vertical="center"/>
      <protection locked="0"/>
    </xf>
    <xf numFmtId="0" fontId="3" fillId="0" borderId="5" xfId="0" applyFont="1" applyBorder="1" applyAlignment="1" applyProtection="1">
      <alignment horizontal="center" vertical="center"/>
      <protection hidden="1"/>
    </xf>
    <xf numFmtId="42" fontId="3" fillId="0" borderId="6" xfId="1" applyFont="1" applyBorder="1" applyAlignment="1" applyProtection="1">
      <alignment horizontal="center" vertical="center"/>
      <protection hidden="1"/>
    </xf>
    <xf numFmtId="0" fontId="4" fillId="17" borderId="37" xfId="0" applyFont="1" applyFill="1" applyBorder="1" applyAlignment="1">
      <alignment horizontal="center" vertical="center"/>
    </xf>
    <xf numFmtId="0" fontId="4" fillId="17" borderId="30" xfId="0" applyFont="1" applyFill="1" applyBorder="1" applyAlignment="1">
      <alignment horizontal="center" vertical="center"/>
    </xf>
    <xf numFmtId="0" fontId="4" fillId="17" borderId="38" xfId="0" applyFont="1" applyFill="1" applyBorder="1" applyAlignment="1">
      <alignment horizontal="center" vertical="center" wrapText="1"/>
    </xf>
    <xf numFmtId="0" fontId="4" fillId="17" borderId="30" xfId="0" applyFont="1" applyFill="1" applyBorder="1" applyAlignment="1">
      <alignment horizontal="center" vertical="center" wrapText="1"/>
    </xf>
    <xf numFmtId="10" fontId="4" fillId="17" borderId="39" xfId="2" quotePrefix="1" applyNumberFormat="1" applyFont="1" applyFill="1" applyBorder="1" applyAlignment="1" applyProtection="1">
      <alignment horizontal="center" vertical="center" wrapText="1"/>
    </xf>
    <xf numFmtId="0" fontId="8" fillId="2" borderId="40" xfId="0" applyFont="1" applyFill="1" applyBorder="1" applyAlignment="1">
      <alignment horizontal="center" vertical="center" wrapText="1"/>
    </xf>
    <xf numFmtId="0" fontId="8" fillId="2" borderId="41" xfId="0" applyFont="1" applyFill="1" applyBorder="1" applyAlignment="1">
      <alignment horizontal="center" vertical="center"/>
    </xf>
    <xf numFmtId="10" fontId="4" fillId="9" borderId="30" xfId="2" applyNumberFormat="1" applyFont="1" applyFill="1" applyBorder="1" applyAlignment="1" applyProtection="1">
      <alignment horizontal="center" vertical="center" wrapText="1"/>
    </xf>
    <xf numFmtId="42" fontId="3" fillId="0" borderId="35" xfId="1" applyFont="1" applyBorder="1" applyAlignment="1" applyProtection="1">
      <alignment horizontal="center" vertical="center"/>
      <protection hidden="1"/>
    </xf>
    <xf numFmtId="42" fontId="3" fillId="0" borderId="31" xfId="1" applyFont="1" applyBorder="1" applyAlignment="1" applyProtection="1">
      <alignment horizontal="center" vertical="center"/>
      <protection hidden="1"/>
    </xf>
    <xf numFmtId="42" fontId="3" fillId="0" borderId="32" xfId="1" applyFont="1" applyBorder="1" applyAlignment="1" applyProtection="1">
      <alignment horizontal="center" vertical="center"/>
      <protection hidden="1"/>
    </xf>
    <xf numFmtId="10" fontId="4" fillId="10" borderId="42" xfId="2" applyNumberFormat="1" applyFont="1" applyFill="1" applyBorder="1" applyAlignment="1" applyProtection="1">
      <alignment horizontal="center" vertical="center" wrapText="1"/>
    </xf>
    <xf numFmtId="42" fontId="12" fillId="17" borderId="43" xfId="0" applyNumberFormat="1" applyFont="1" applyFill="1" applyBorder="1" applyAlignment="1" applyProtection="1">
      <alignment vertical="center"/>
      <protection hidden="1"/>
    </xf>
    <xf numFmtId="42" fontId="3" fillId="0" borderId="44" xfId="1" applyFont="1" applyBorder="1" applyAlignment="1" applyProtection="1">
      <alignment horizontal="center" vertical="center"/>
      <protection hidden="1"/>
    </xf>
    <xf numFmtId="42" fontId="12" fillId="17" borderId="30" xfId="0" applyNumberFormat="1" applyFont="1" applyFill="1" applyBorder="1" applyAlignment="1" applyProtection="1">
      <alignment vertical="center"/>
      <protection hidden="1"/>
    </xf>
    <xf numFmtId="0" fontId="7" fillId="11" borderId="2" xfId="0" applyFont="1" applyFill="1" applyBorder="1" applyAlignment="1">
      <alignment horizontal="center" vertical="center" wrapText="1"/>
    </xf>
    <xf numFmtId="0" fontId="26" fillId="23" borderId="0" xfId="0" applyFont="1" applyFill="1"/>
    <xf numFmtId="0" fontId="27" fillId="23" borderId="0" xfId="0" applyFont="1" applyFill="1" applyAlignment="1">
      <alignment horizontal="center"/>
    </xf>
    <xf numFmtId="0" fontId="26" fillId="23" borderId="0" xfId="0" applyFont="1" applyFill="1" applyAlignment="1">
      <alignment vertical="center"/>
    </xf>
    <xf numFmtId="0" fontId="28" fillId="23" borderId="0" xfId="0" applyFont="1" applyFill="1"/>
    <xf numFmtId="0" fontId="26" fillId="23" borderId="0" xfId="0" quotePrefix="1" applyFont="1" applyFill="1"/>
    <xf numFmtId="0" fontId="0" fillId="0" borderId="0" xfId="0" applyAlignment="1">
      <alignment wrapText="1"/>
    </xf>
    <xf numFmtId="0" fontId="0" fillId="0" borderId="1" xfId="0" applyBorder="1" applyAlignment="1">
      <alignment wrapText="1"/>
    </xf>
    <xf numFmtId="0" fontId="0" fillId="0" borderId="5" xfId="0" applyBorder="1" applyAlignment="1">
      <alignment wrapText="1"/>
    </xf>
    <xf numFmtId="0" fontId="31" fillId="5" borderId="55" xfId="0" applyFont="1" applyFill="1" applyBorder="1" applyAlignment="1">
      <alignment horizontal="center" wrapText="1"/>
    </xf>
    <xf numFmtId="0" fontId="31" fillId="5" borderId="56" xfId="0" applyFont="1" applyFill="1" applyBorder="1" applyAlignment="1">
      <alignment horizontal="center" wrapText="1"/>
    </xf>
    <xf numFmtId="0" fontId="32" fillId="13" borderId="45" xfId="0" applyFont="1" applyFill="1" applyBorder="1" applyAlignment="1">
      <alignment vertical="top" wrapText="1"/>
    </xf>
    <xf numFmtId="0" fontId="33" fillId="0" borderId="1" xfId="0" applyFont="1" applyBorder="1" applyAlignment="1">
      <alignment wrapText="1"/>
    </xf>
    <xf numFmtId="0" fontId="32" fillId="0" borderId="1" xfId="0" applyFont="1" applyBorder="1" applyAlignment="1">
      <alignment vertical="center" wrapText="1"/>
    </xf>
    <xf numFmtId="0" fontId="32" fillId="0" borderId="5" xfId="0" applyFont="1" applyBorder="1" applyAlignment="1">
      <alignment vertical="center" wrapText="1"/>
    </xf>
    <xf numFmtId="0" fontId="32" fillId="13" borderId="1" xfId="0" applyFont="1" applyFill="1" applyBorder="1" applyAlignment="1" applyProtection="1">
      <alignment vertical="center" wrapText="1"/>
      <protection locked="0"/>
    </xf>
    <xf numFmtId="0" fontId="32" fillId="13" borderId="12" xfId="0" applyFont="1" applyFill="1" applyBorder="1" applyAlignment="1" applyProtection="1">
      <alignment vertical="center" wrapText="1"/>
      <protection locked="0"/>
    </xf>
    <xf numFmtId="0" fontId="32" fillId="13" borderId="5" xfId="0" applyFont="1" applyFill="1" applyBorder="1" applyAlignment="1">
      <alignment vertical="center" wrapText="1"/>
    </xf>
    <xf numFmtId="0" fontId="32" fillId="13" borderId="5" xfId="0" applyFont="1" applyFill="1" applyBorder="1" applyAlignment="1" applyProtection="1">
      <alignment vertical="center" wrapText="1"/>
      <protection locked="0"/>
    </xf>
    <xf numFmtId="0" fontId="32" fillId="13" borderId="5" xfId="0" applyFont="1" applyFill="1" applyBorder="1" applyAlignment="1" applyProtection="1">
      <alignment horizontal="center" vertical="center" wrapText="1"/>
      <protection locked="0"/>
    </xf>
    <xf numFmtId="0" fontId="32" fillId="13" borderId="1" xfId="0" applyFont="1" applyFill="1" applyBorder="1" applyAlignment="1">
      <alignment vertical="top" wrapText="1"/>
    </xf>
    <xf numFmtId="0" fontId="32" fillId="13" borderId="1" xfId="0" applyFont="1" applyFill="1" applyBorder="1" applyAlignment="1">
      <alignment vertical="center" wrapText="1"/>
    </xf>
    <xf numFmtId="0" fontId="32" fillId="0" borderId="0" xfId="0" applyFont="1" applyAlignment="1">
      <alignment vertical="center" wrapText="1"/>
    </xf>
    <xf numFmtId="0" fontId="32" fillId="0" borderId="0" xfId="0" applyFont="1" applyAlignment="1">
      <alignment wrapText="1"/>
    </xf>
    <xf numFmtId="0" fontId="33" fillId="0" borderId="1" xfId="0" applyFont="1" applyBorder="1"/>
    <xf numFmtId="0" fontId="33" fillId="0" borderId="0" xfId="0" applyFont="1"/>
    <xf numFmtId="0" fontId="32" fillId="13" borderId="1" xfId="0" applyFont="1" applyFill="1" applyBorder="1" applyAlignment="1" applyProtection="1">
      <alignment horizontal="center" vertical="center" wrapText="1"/>
      <protection locked="0"/>
    </xf>
    <xf numFmtId="0" fontId="32" fillId="13" borderId="1" xfId="0" applyFont="1" applyFill="1" applyBorder="1" applyAlignment="1" applyProtection="1">
      <alignment horizontal="left" vertical="center" wrapText="1"/>
      <protection locked="0"/>
    </xf>
    <xf numFmtId="0" fontId="35" fillId="0" borderId="0" xfId="0" applyFont="1" applyAlignment="1">
      <alignment vertical="center" wrapText="1"/>
    </xf>
    <xf numFmtId="0" fontId="32" fillId="25" borderId="1" xfId="0" applyFont="1" applyFill="1" applyBorder="1" applyAlignment="1">
      <alignment vertical="center" wrapText="1"/>
    </xf>
    <xf numFmtId="0" fontId="32" fillId="25" borderId="1" xfId="0" applyFont="1" applyFill="1" applyBorder="1" applyAlignment="1">
      <alignment wrapText="1"/>
    </xf>
    <xf numFmtId="0" fontId="32" fillId="26" borderId="1" xfId="0" applyFont="1" applyFill="1" applyBorder="1" applyAlignment="1">
      <alignment wrapText="1"/>
    </xf>
    <xf numFmtId="0" fontId="32" fillId="26" borderId="1" xfId="0" applyFont="1" applyFill="1" applyBorder="1" applyAlignment="1">
      <alignment vertical="center" wrapText="1"/>
    </xf>
    <xf numFmtId="0" fontId="32" fillId="27" borderId="1" xfId="0" applyFont="1" applyFill="1" applyBorder="1" applyAlignment="1">
      <alignment wrapText="1"/>
    </xf>
    <xf numFmtId="0" fontId="32" fillId="27" borderId="1" xfId="0" applyFont="1" applyFill="1" applyBorder="1" applyAlignment="1">
      <alignment vertical="center" wrapText="1"/>
    </xf>
    <xf numFmtId="0" fontId="32" fillId="24" borderId="1" xfId="0" applyFont="1" applyFill="1" applyBorder="1" applyAlignment="1">
      <alignment wrapText="1"/>
    </xf>
    <xf numFmtId="0" fontId="32" fillId="24" borderId="1" xfId="0" applyFont="1" applyFill="1" applyBorder="1" applyAlignment="1">
      <alignment vertical="center" wrapText="1"/>
    </xf>
    <xf numFmtId="0" fontId="32" fillId="24" borderId="4" xfId="0" applyFont="1" applyFill="1" applyBorder="1" applyAlignment="1">
      <alignment wrapText="1"/>
    </xf>
    <xf numFmtId="0" fontId="32" fillId="24" borderId="4" xfId="0" applyFont="1" applyFill="1" applyBorder="1" applyAlignment="1" applyProtection="1">
      <alignment horizontal="center" vertical="center" wrapText="1"/>
      <protection locked="0"/>
    </xf>
    <xf numFmtId="0" fontId="32" fillId="24" borderId="4" xfId="0" applyFont="1" applyFill="1" applyBorder="1" applyAlignment="1">
      <alignment vertical="center" wrapText="1"/>
    </xf>
    <xf numFmtId="0" fontId="32" fillId="21" borderId="22" xfId="0" applyFont="1" applyFill="1" applyBorder="1" applyAlignment="1">
      <alignment wrapText="1"/>
    </xf>
    <xf numFmtId="0" fontId="32" fillId="21" borderId="22" xfId="0" applyFont="1" applyFill="1" applyBorder="1" applyAlignment="1" applyProtection="1">
      <alignment vertical="center" wrapText="1"/>
      <protection locked="0"/>
    </xf>
    <xf numFmtId="0" fontId="32" fillId="21" borderId="22" xfId="0" applyFont="1" applyFill="1" applyBorder="1" applyAlignment="1">
      <alignment vertical="center" wrapText="1"/>
    </xf>
    <xf numFmtId="0" fontId="32" fillId="24" borderId="5" xfId="0" applyFont="1" applyFill="1" applyBorder="1" applyAlignment="1">
      <alignment vertical="center" wrapText="1"/>
    </xf>
    <xf numFmtId="0" fontId="32" fillId="27" borderId="5" xfId="0" applyFont="1" applyFill="1" applyBorder="1" applyAlignment="1">
      <alignment vertical="center" wrapText="1"/>
    </xf>
    <xf numFmtId="0" fontId="32" fillId="26" borderId="5" xfId="0" applyFont="1" applyFill="1" applyBorder="1" applyAlignment="1">
      <alignment vertical="center" wrapText="1"/>
    </xf>
    <xf numFmtId="0" fontId="32" fillId="25" borderId="5" xfId="0" applyFont="1" applyFill="1" applyBorder="1" applyAlignment="1">
      <alignment vertical="center" wrapText="1"/>
    </xf>
    <xf numFmtId="0" fontId="32" fillId="25" borderId="17" xfId="0" applyFont="1" applyFill="1" applyBorder="1" applyAlignment="1">
      <alignment wrapText="1"/>
    </xf>
    <xf numFmtId="0" fontId="32" fillId="25" borderId="17" xfId="0" applyFont="1" applyFill="1" applyBorder="1" applyAlignment="1">
      <alignment vertical="center" wrapText="1"/>
    </xf>
    <xf numFmtId="0" fontId="32" fillId="13" borderId="16" xfId="0" applyFont="1" applyFill="1" applyBorder="1" applyAlignment="1">
      <alignment wrapText="1"/>
    </xf>
    <xf numFmtId="0" fontId="32" fillId="13" borderId="1" xfId="0" applyFont="1" applyFill="1" applyBorder="1" applyAlignment="1">
      <alignment wrapText="1"/>
    </xf>
    <xf numFmtId="0" fontId="32" fillId="13" borderId="17" xfId="0" applyFont="1" applyFill="1" applyBorder="1" applyAlignment="1" applyProtection="1">
      <alignment vertical="center" wrapText="1"/>
      <protection locked="0"/>
    </xf>
    <xf numFmtId="0" fontId="32" fillId="13" borderId="17" xfId="0" applyFont="1" applyFill="1" applyBorder="1" applyAlignment="1">
      <alignment wrapText="1"/>
    </xf>
    <xf numFmtId="0" fontId="32" fillId="13" borderId="0" xfId="0" applyFont="1" applyFill="1" applyAlignment="1">
      <alignment vertical="center" wrapText="1"/>
    </xf>
    <xf numFmtId="0" fontId="32" fillId="13" borderId="46" xfId="0" applyFont="1" applyFill="1" applyBorder="1" applyAlignment="1" applyProtection="1">
      <alignment vertical="center" wrapText="1"/>
      <protection locked="0"/>
    </xf>
    <xf numFmtId="0" fontId="32" fillId="13" borderId="5" xfId="0" applyFont="1" applyFill="1" applyBorder="1" applyAlignment="1" applyProtection="1">
      <alignment horizontal="left" vertical="center" wrapText="1"/>
      <protection locked="0"/>
    </xf>
    <xf numFmtId="0" fontId="32" fillId="13" borderId="47" xfId="0" applyFont="1" applyFill="1" applyBorder="1" applyAlignment="1">
      <alignment vertical="center" wrapText="1"/>
    </xf>
    <xf numFmtId="0" fontId="32" fillId="13" borderId="48" xfId="0" applyFont="1" applyFill="1" applyBorder="1" applyAlignment="1">
      <alignment vertical="center" wrapText="1"/>
    </xf>
    <xf numFmtId="0" fontId="32" fillId="13" borderId="16" xfId="0" applyFont="1" applyFill="1" applyBorder="1" applyAlignment="1">
      <alignment vertical="center" wrapText="1"/>
    </xf>
    <xf numFmtId="0" fontId="32" fillId="13" borderId="47" xfId="7" applyFont="1" applyFill="1" applyBorder="1" applyAlignment="1">
      <alignment horizontal="center" vertical="center" wrapText="1"/>
    </xf>
    <xf numFmtId="0" fontId="32" fillId="13" borderId="50" xfId="7" applyFont="1" applyFill="1" applyBorder="1" applyAlignment="1">
      <alignment vertical="center" wrapText="1"/>
    </xf>
    <xf numFmtId="0" fontId="32" fillId="13" borderId="17" xfId="0" applyFont="1" applyFill="1" applyBorder="1" applyAlignment="1">
      <alignment vertical="center" wrapText="1"/>
    </xf>
    <xf numFmtId="0" fontId="32" fillId="13" borderId="48" xfId="7" applyFont="1" applyFill="1" applyBorder="1" applyAlignment="1">
      <alignment vertical="center" wrapText="1"/>
    </xf>
    <xf numFmtId="0" fontId="32" fillId="13" borderId="47" xfId="7" applyFont="1" applyFill="1" applyBorder="1" applyAlignment="1">
      <alignment vertical="center" wrapText="1"/>
    </xf>
    <xf numFmtId="0" fontId="32" fillId="13" borderId="48" xfId="7" applyFont="1" applyFill="1" applyBorder="1" applyAlignment="1">
      <alignment horizontal="center" vertical="center" wrapText="1"/>
    </xf>
    <xf numFmtId="0" fontId="32" fillId="13" borderId="51" xfId="7" applyFont="1" applyFill="1" applyBorder="1" applyAlignment="1">
      <alignment vertical="center" wrapText="1"/>
    </xf>
    <xf numFmtId="0" fontId="32" fillId="13" borderId="52" xfId="7" applyFont="1" applyFill="1" applyBorder="1" applyAlignment="1">
      <alignment horizontal="center" vertical="center" wrapText="1"/>
    </xf>
    <xf numFmtId="0" fontId="32" fillId="13" borderId="53" xfId="7" applyFont="1" applyFill="1" applyBorder="1" applyAlignment="1">
      <alignment vertical="center" wrapText="1"/>
    </xf>
    <xf numFmtId="0" fontId="32" fillId="13" borderId="49" xfId="7" applyFont="1" applyFill="1" applyBorder="1" applyAlignment="1">
      <alignment vertical="center" wrapText="1"/>
    </xf>
    <xf numFmtId="0" fontId="32" fillId="13" borderId="1" xfId="7" applyFont="1" applyFill="1" applyBorder="1" applyAlignment="1">
      <alignment horizontal="left" vertical="center" wrapText="1"/>
    </xf>
    <xf numFmtId="0" fontId="32" fillId="13" borderId="10" xfId="0" applyFont="1" applyFill="1" applyBorder="1" applyAlignment="1" applyProtection="1">
      <alignment vertical="center" wrapText="1"/>
      <protection locked="0"/>
    </xf>
    <xf numFmtId="0" fontId="32" fillId="13" borderId="54" xfId="0" applyFont="1" applyFill="1" applyBorder="1" applyAlignment="1">
      <alignment wrapText="1"/>
    </xf>
    <xf numFmtId="0" fontId="32" fillId="13" borderId="48" xfId="0" applyFont="1" applyFill="1" applyBorder="1" applyAlignment="1">
      <alignment horizontal="center" vertical="center" wrapText="1"/>
    </xf>
    <xf numFmtId="0" fontId="32" fillId="13" borderId="0" xfId="0" applyFont="1" applyFill="1" applyAlignment="1">
      <alignment vertical="center"/>
    </xf>
    <xf numFmtId="0" fontId="32" fillId="13" borderId="12" xfId="0" applyFont="1" applyFill="1" applyBorder="1" applyAlignment="1">
      <alignment vertical="center" wrapText="1"/>
    </xf>
    <xf numFmtId="0" fontId="32" fillId="13" borderId="57" xfId="0" applyFont="1" applyFill="1" applyBorder="1" applyAlignment="1" applyProtection="1">
      <alignment vertical="center" wrapText="1"/>
      <protection locked="0"/>
    </xf>
    <xf numFmtId="0" fontId="32" fillId="27" borderId="4" xfId="0" applyFont="1" applyFill="1" applyBorder="1" applyAlignment="1">
      <alignment wrapText="1"/>
    </xf>
    <xf numFmtId="0" fontId="32" fillId="27" borderId="4" xfId="0" applyFont="1" applyFill="1" applyBorder="1" applyAlignment="1">
      <alignment vertical="center" wrapText="1"/>
    </xf>
    <xf numFmtId="0" fontId="35" fillId="17" borderId="61" xfId="0" applyFont="1" applyFill="1" applyBorder="1" applyAlignment="1">
      <alignment horizontal="center" vertical="center" wrapText="1"/>
    </xf>
    <xf numFmtId="0" fontId="32" fillId="24" borderId="17" xfId="0" applyFont="1" applyFill="1" applyBorder="1" applyAlignment="1">
      <alignment wrapText="1"/>
    </xf>
    <xf numFmtId="0" fontId="32" fillId="24" borderId="17" xfId="0" applyFont="1" applyFill="1" applyBorder="1" applyAlignment="1">
      <alignment vertical="center" wrapText="1"/>
    </xf>
    <xf numFmtId="0" fontId="32" fillId="26" borderId="4" xfId="0" applyFont="1" applyFill="1" applyBorder="1" applyAlignment="1">
      <alignment wrapText="1"/>
    </xf>
    <xf numFmtId="0" fontId="32" fillId="26" borderId="4" xfId="0" applyFont="1" applyFill="1" applyBorder="1" applyAlignment="1">
      <alignment vertical="center" wrapText="1"/>
    </xf>
    <xf numFmtId="0" fontId="32" fillId="27" borderId="17" xfId="0" applyFont="1" applyFill="1" applyBorder="1" applyAlignment="1">
      <alignment wrapText="1"/>
    </xf>
    <xf numFmtId="0" fontId="32" fillId="27" borderId="17" xfId="0" applyFont="1" applyFill="1" applyBorder="1" applyAlignment="1">
      <alignment vertical="center" wrapText="1"/>
    </xf>
    <xf numFmtId="0" fontId="32" fillId="25" borderId="4" xfId="0" applyFont="1" applyFill="1" applyBorder="1" applyAlignment="1">
      <alignment wrapText="1"/>
    </xf>
    <xf numFmtId="0" fontId="32" fillId="25" borderId="4" xfId="0" applyFont="1" applyFill="1" applyBorder="1" applyAlignment="1">
      <alignment vertical="center" wrapText="1"/>
    </xf>
    <xf numFmtId="0" fontId="32" fillId="26" borderId="17" xfId="0" applyFont="1" applyFill="1" applyBorder="1" applyAlignment="1">
      <alignment wrapText="1"/>
    </xf>
    <xf numFmtId="0" fontId="32" fillId="26" borderId="17" xfId="0" applyFont="1" applyFill="1" applyBorder="1" applyAlignment="1">
      <alignment vertical="center" wrapText="1"/>
    </xf>
    <xf numFmtId="0" fontId="33" fillId="0" borderId="0" xfId="0" applyFont="1" applyAlignment="1">
      <alignment wrapText="1"/>
    </xf>
    <xf numFmtId="9" fontId="33" fillId="0" borderId="1" xfId="2" applyFont="1" applyBorder="1" applyAlignment="1">
      <alignment wrapText="1"/>
    </xf>
    <xf numFmtId="0" fontId="35" fillId="17" borderId="12" xfId="0" applyFont="1" applyFill="1" applyBorder="1" applyAlignment="1">
      <alignment horizontal="center" vertical="center" wrapText="1"/>
    </xf>
    <xf numFmtId="0" fontId="35" fillId="17" borderId="10" xfId="0" applyFont="1" applyFill="1" applyBorder="1" applyAlignment="1">
      <alignment horizontal="center" vertical="center" wrapText="1"/>
    </xf>
    <xf numFmtId="0" fontId="35" fillId="17" borderId="3" xfId="0" applyFont="1" applyFill="1" applyBorder="1" applyAlignment="1">
      <alignment horizontal="center" vertical="center" wrapText="1"/>
    </xf>
    <xf numFmtId="0" fontId="35" fillId="17" borderId="2" xfId="0" applyFont="1" applyFill="1" applyBorder="1" applyAlignment="1">
      <alignment horizontal="center" vertical="center" wrapText="1"/>
    </xf>
    <xf numFmtId="0" fontId="35" fillId="17" borderId="60" xfId="0" applyFont="1" applyFill="1" applyBorder="1" applyAlignment="1">
      <alignment horizontal="center" vertical="center" wrapText="1"/>
    </xf>
    <xf numFmtId="0" fontId="35" fillId="17" borderId="24" xfId="0" applyFont="1" applyFill="1" applyBorder="1" applyAlignment="1">
      <alignment horizontal="center" vertical="center" wrapText="1"/>
    </xf>
    <xf numFmtId="0" fontId="32" fillId="13" borderId="12" xfId="0" applyFont="1" applyFill="1" applyBorder="1" applyAlignment="1">
      <alignment horizontal="center" vertical="center" wrapText="1"/>
    </xf>
    <xf numFmtId="0" fontId="32" fillId="13" borderId="1" xfId="0" applyFont="1" applyFill="1" applyBorder="1" applyAlignment="1">
      <alignment horizontal="center" vertical="center" wrapText="1"/>
    </xf>
    <xf numFmtId="9" fontId="32" fillId="24" borderId="4" xfId="0" applyNumberFormat="1" applyFont="1" applyFill="1" applyBorder="1" applyAlignment="1">
      <alignment horizontal="center" vertical="center" wrapText="1"/>
    </xf>
    <xf numFmtId="0" fontId="32" fillId="13" borderId="1" xfId="0" applyFont="1" applyFill="1" applyBorder="1" applyAlignment="1">
      <alignment horizontal="center" vertical="top" wrapText="1"/>
    </xf>
    <xf numFmtId="0" fontId="32" fillId="21" borderId="5" xfId="0" applyFont="1" applyFill="1" applyBorder="1" applyAlignment="1">
      <alignment horizontal="center" vertical="center" wrapText="1"/>
    </xf>
    <xf numFmtId="0" fontId="32" fillId="21" borderId="1" xfId="0" applyFont="1" applyFill="1" applyBorder="1" applyAlignment="1">
      <alignment horizontal="center" vertical="center" wrapText="1"/>
    </xf>
    <xf numFmtId="0" fontId="39" fillId="24" borderId="17" xfId="0" applyFont="1" applyFill="1" applyBorder="1" applyAlignment="1">
      <alignment vertical="center" wrapText="1"/>
    </xf>
    <xf numFmtId="0" fontId="40" fillId="24" borderId="1" xfId="9" applyFill="1" applyBorder="1" applyAlignment="1">
      <alignment vertical="center" wrapText="1"/>
    </xf>
    <xf numFmtId="0" fontId="32" fillId="24" borderId="4" xfId="0" applyFont="1" applyFill="1" applyBorder="1" applyAlignment="1">
      <alignment horizontal="center" vertical="center" wrapText="1"/>
    </xf>
    <xf numFmtId="9" fontId="32" fillId="27" borderId="4" xfId="0" applyNumberFormat="1" applyFont="1" applyFill="1" applyBorder="1" applyAlignment="1">
      <alignment horizontal="center" vertical="center" wrapText="1"/>
    </xf>
    <xf numFmtId="0" fontId="39" fillId="27" borderId="17" xfId="0" applyFont="1" applyFill="1" applyBorder="1" applyAlignment="1">
      <alignment vertical="center" wrapText="1"/>
    </xf>
    <xf numFmtId="0" fontId="41" fillId="24" borderId="1" xfId="9" applyFont="1" applyFill="1" applyBorder="1" applyAlignment="1">
      <alignment vertical="center" wrapText="1"/>
    </xf>
    <xf numFmtId="0" fontId="40" fillId="27" borderId="1" xfId="9" applyFill="1" applyBorder="1" applyAlignment="1">
      <alignment vertical="center" wrapText="1"/>
    </xf>
    <xf numFmtId="0" fontId="44" fillId="27" borderId="4" xfId="0" applyFont="1" applyFill="1" applyBorder="1" applyAlignment="1">
      <alignment vertical="center" wrapText="1"/>
    </xf>
    <xf numFmtId="0" fontId="44" fillId="27" borderId="1" xfId="0" applyFont="1" applyFill="1" applyBorder="1" applyAlignment="1">
      <alignment vertical="center" wrapText="1"/>
    </xf>
    <xf numFmtId="9" fontId="32" fillId="26" borderId="4" xfId="0" applyNumberFormat="1" applyFont="1" applyFill="1" applyBorder="1" applyAlignment="1">
      <alignment horizontal="center" vertical="center" wrapText="1"/>
    </xf>
    <xf numFmtId="9" fontId="38" fillId="26" borderId="4" xfId="0" applyNumberFormat="1" applyFont="1" applyFill="1" applyBorder="1" applyAlignment="1">
      <alignment horizontal="center" vertical="center" wrapText="1"/>
    </xf>
    <xf numFmtId="0" fontId="40" fillId="26" borderId="1" xfId="9" applyFill="1" applyBorder="1" applyAlignment="1">
      <alignment vertical="center" wrapText="1"/>
    </xf>
    <xf numFmtId="0" fontId="32" fillId="28" borderId="16" xfId="0" applyFont="1" applyFill="1" applyBorder="1" applyAlignment="1">
      <alignment vertical="center" wrapText="1"/>
    </xf>
    <xf numFmtId="0" fontId="32" fillId="28" borderId="1" xfId="0" applyFont="1" applyFill="1" applyBorder="1" applyAlignment="1">
      <alignment vertical="center" wrapText="1"/>
    </xf>
    <xf numFmtId="0" fontId="32" fillId="28" borderId="12" xfId="0" applyFont="1" applyFill="1" applyBorder="1" applyAlignment="1" applyProtection="1">
      <alignment vertical="center" wrapText="1"/>
      <protection locked="0"/>
    </xf>
    <xf numFmtId="0" fontId="32" fillId="28" borderId="46" xfId="0" applyFont="1" applyFill="1" applyBorder="1" applyAlignment="1" applyProtection="1">
      <alignment vertical="center" wrapText="1"/>
      <protection locked="0"/>
    </xf>
    <xf numFmtId="0" fontId="32" fillId="28" borderId="1" xfId="0" applyFont="1" applyFill="1" applyBorder="1" applyAlignment="1" applyProtection="1">
      <alignment vertical="center" wrapText="1"/>
      <protection locked="0"/>
    </xf>
    <xf numFmtId="0" fontId="32" fillId="28" borderId="17" xfId="0" applyFont="1" applyFill="1" applyBorder="1" applyAlignment="1">
      <alignment vertical="center" wrapText="1"/>
    </xf>
    <xf numFmtId="0" fontId="32" fillId="28" borderId="1" xfId="0" applyFont="1" applyFill="1" applyBorder="1" applyAlignment="1">
      <alignment horizontal="center" vertical="center" wrapText="1"/>
    </xf>
    <xf numFmtId="9" fontId="32" fillId="28" borderId="4" xfId="0" applyNumberFormat="1" applyFont="1" applyFill="1" applyBorder="1" applyAlignment="1">
      <alignment horizontal="center" vertical="center" wrapText="1"/>
    </xf>
    <xf numFmtId="0" fontId="40" fillId="28" borderId="1" xfId="9" applyFill="1" applyBorder="1" applyAlignment="1">
      <alignment vertical="center" wrapText="1"/>
    </xf>
    <xf numFmtId="0" fontId="32" fillId="28" borderId="4" xfId="0" applyFont="1" applyFill="1" applyBorder="1" applyAlignment="1">
      <alignment vertical="center" wrapText="1"/>
    </xf>
    <xf numFmtId="0" fontId="32" fillId="28" borderId="0" xfId="0" applyFont="1" applyFill="1" applyAlignment="1">
      <alignment vertical="center" wrapText="1"/>
    </xf>
    <xf numFmtId="0" fontId="39" fillId="28" borderId="17" xfId="0" applyFont="1" applyFill="1" applyBorder="1" applyAlignment="1">
      <alignment vertical="center" wrapText="1"/>
    </xf>
    <xf numFmtId="0" fontId="35" fillId="17" borderId="2" xfId="0" applyFont="1" applyFill="1" applyBorder="1" applyAlignment="1">
      <alignment horizontal="center" vertical="center" wrapText="1"/>
    </xf>
    <xf numFmtId="0" fontId="35" fillId="17" borderId="3" xfId="0" applyFont="1" applyFill="1" applyBorder="1" applyAlignment="1">
      <alignment horizontal="center" vertical="center" wrapText="1"/>
    </xf>
    <xf numFmtId="0" fontId="35" fillId="17" borderId="60" xfId="0" applyFont="1" applyFill="1" applyBorder="1" applyAlignment="1">
      <alignment horizontal="center" vertical="center" wrapText="1"/>
    </xf>
    <xf numFmtId="0" fontId="35" fillId="17" borderId="4" xfId="0" applyFont="1" applyFill="1" applyBorder="1" applyAlignment="1">
      <alignment horizontal="center" vertical="center" wrapText="1"/>
    </xf>
    <xf numFmtId="0" fontId="35" fillId="17" borderId="21" xfId="0" applyFont="1" applyFill="1" applyBorder="1" applyAlignment="1">
      <alignment horizontal="center" vertical="center" wrapText="1"/>
    </xf>
    <xf numFmtId="0" fontId="35" fillId="17" borderId="22" xfId="0" applyFont="1" applyFill="1" applyBorder="1" applyAlignment="1">
      <alignment horizontal="center" vertical="center" wrapText="1"/>
    </xf>
    <xf numFmtId="0" fontId="35" fillId="17" borderId="44" xfId="0" applyFont="1" applyFill="1" applyBorder="1" applyAlignment="1">
      <alignment horizontal="center" vertical="center" wrapText="1"/>
    </xf>
    <xf numFmtId="0" fontId="35" fillId="17" borderId="58" xfId="0" applyFont="1" applyFill="1" applyBorder="1" applyAlignment="1">
      <alignment horizontal="center" vertical="center" wrapText="1"/>
    </xf>
    <xf numFmtId="0" fontId="35" fillId="17" borderId="59" xfId="0" applyFont="1" applyFill="1" applyBorder="1" applyAlignment="1">
      <alignment horizontal="center" vertical="center" wrapText="1"/>
    </xf>
    <xf numFmtId="0" fontId="35" fillId="17" borderId="12" xfId="0" applyFont="1" applyFill="1" applyBorder="1" applyAlignment="1">
      <alignment horizontal="center" vertical="center" wrapText="1"/>
    </xf>
    <xf numFmtId="0" fontId="35" fillId="17" borderId="10" xfId="0" applyFont="1" applyFill="1" applyBorder="1" applyAlignment="1">
      <alignment horizontal="center" vertical="center" wrapText="1"/>
    </xf>
    <xf numFmtId="0" fontId="35" fillId="17" borderId="62" xfId="0" applyFont="1" applyFill="1" applyBorder="1" applyAlignment="1">
      <alignment horizontal="center" vertical="center" wrapText="1"/>
    </xf>
    <xf numFmtId="0" fontId="35" fillId="17" borderId="24" xfId="0" applyFont="1" applyFill="1" applyBorder="1" applyAlignment="1">
      <alignment horizontal="center" vertical="center" wrapText="1"/>
    </xf>
    <xf numFmtId="0" fontId="35" fillId="17" borderId="11" xfId="0" applyFont="1" applyFill="1" applyBorder="1" applyAlignment="1">
      <alignment horizontal="center" vertical="center" wrapText="1"/>
    </xf>
    <xf numFmtId="0" fontId="19" fillId="16" borderId="1" xfId="0" applyFont="1" applyFill="1" applyBorder="1" applyAlignment="1">
      <alignment horizontal="center" vertical="center"/>
    </xf>
    <xf numFmtId="0" fontId="9" fillId="17" borderId="1" xfId="0" applyFont="1" applyFill="1" applyBorder="1" applyAlignment="1">
      <alignment horizontal="center" vertical="center"/>
    </xf>
    <xf numFmtId="0" fontId="18" fillId="0" borderId="2" xfId="0" applyFont="1" applyBorder="1" applyAlignment="1" applyProtection="1">
      <alignment horizontal="left" vertical="center" wrapText="1"/>
      <protection locked="0"/>
    </xf>
    <xf numFmtId="0" fontId="18" fillId="0" borderId="3" xfId="0" applyFont="1" applyBorder="1" applyAlignment="1" applyProtection="1">
      <alignment horizontal="left" vertical="center" wrapText="1"/>
      <protection locked="0"/>
    </xf>
    <xf numFmtId="0" fontId="18" fillId="0" borderId="4" xfId="0" applyFont="1" applyBorder="1" applyAlignment="1" applyProtection="1">
      <alignment horizontal="left" vertical="center" wrapText="1"/>
      <protection locked="0"/>
    </xf>
    <xf numFmtId="0" fontId="17" fillId="17" borderId="2" xfId="0" applyFont="1" applyFill="1" applyBorder="1" applyAlignment="1">
      <alignment horizontal="left"/>
    </xf>
    <xf numFmtId="0" fontId="17" fillId="17" borderId="3" xfId="0" applyFont="1" applyFill="1" applyBorder="1" applyAlignment="1">
      <alignment horizontal="left"/>
    </xf>
    <xf numFmtId="0" fontId="17" fillId="17" borderId="4" xfId="0" applyFont="1" applyFill="1" applyBorder="1" applyAlignment="1">
      <alignment horizontal="left"/>
    </xf>
    <xf numFmtId="0" fontId="9" fillId="18" borderId="1" xfId="0" applyFont="1" applyFill="1" applyBorder="1" applyAlignment="1">
      <alignment horizontal="center" vertical="center" wrapText="1"/>
    </xf>
    <xf numFmtId="0" fontId="9" fillId="18" borderId="1" xfId="0" applyFont="1" applyFill="1" applyBorder="1" applyAlignment="1">
      <alignment horizontal="center" vertical="center"/>
    </xf>
    <xf numFmtId="0" fontId="13" fillId="17" borderId="1" xfId="0" applyFont="1" applyFill="1" applyBorder="1" applyAlignment="1">
      <alignment horizontal="center" vertical="center" textRotation="90" wrapText="1"/>
    </xf>
    <xf numFmtId="0" fontId="9" fillId="17" borderId="12" xfId="0" applyFont="1" applyFill="1" applyBorder="1" applyAlignment="1">
      <alignment horizontal="center" vertical="center" wrapText="1"/>
    </xf>
    <xf numFmtId="0" fontId="9" fillId="17" borderId="5" xfId="0" applyFont="1" applyFill="1" applyBorder="1" applyAlignment="1">
      <alignment horizontal="center" vertical="center" wrapText="1"/>
    </xf>
    <xf numFmtId="0" fontId="13" fillId="18" borderId="1" xfId="0" applyFont="1" applyFill="1" applyBorder="1" applyAlignment="1">
      <alignment horizontal="center" vertical="center" textRotation="90" wrapText="1"/>
    </xf>
    <xf numFmtId="0" fontId="9" fillId="3" borderId="1" xfId="0" applyFont="1" applyFill="1" applyBorder="1" applyAlignment="1">
      <alignment horizontal="center" vertical="center" wrapText="1"/>
    </xf>
    <xf numFmtId="0" fontId="9" fillId="3" borderId="1" xfId="0" applyFont="1" applyFill="1" applyBorder="1" applyAlignment="1">
      <alignment horizontal="center" vertical="center"/>
    </xf>
    <xf numFmtId="0" fontId="17" fillId="18" borderId="2" xfId="0" applyFont="1" applyFill="1" applyBorder="1" applyAlignment="1">
      <alignment horizontal="left"/>
    </xf>
    <xf numFmtId="0" fontId="17" fillId="18" borderId="3" xfId="0" applyFont="1" applyFill="1" applyBorder="1" applyAlignment="1">
      <alignment horizontal="left"/>
    </xf>
    <xf numFmtId="0" fontId="17" fillId="18" borderId="4" xfId="0" applyFont="1" applyFill="1" applyBorder="1" applyAlignment="1">
      <alignment horizontal="left"/>
    </xf>
    <xf numFmtId="0" fontId="13" fillId="3" borderId="1" xfId="0" applyFont="1" applyFill="1" applyBorder="1" applyAlignment="1">
      <alignment horizontal="center" vertical="center" textRotation="90" wrapText="1"/>
    </xf>
    <xf numFmtId="0" fontId="20" fillId="12" borderId="27" xfId="4" applyFont="1" applyBorder="1" applyAlignment="1" applyProtection="1">
      <alignment horizontal="left" vertical="center"/>
      <protection hidden="1"/>
    </xf>
    <xf numFmtId="0" fontId="20" fillId="12" borderId="28" xfId="4" applyFont="1" applyBorder="1" applyAlignment="1" applyProtection="1">
      <alignment horizontal="left" vertical="center"/>
      <protection hidden="1"/>
    </xf>
    <xf numFmtId="0" fontId="20" fillId="12" borderId="29" xfId="4" applyFont="1" applyBorder="1" applyAlignment="1" applyProtection="1">
      <alignment horizontal="left" vertical="center"/>
      <protection hidden="1"/>
    </xf>
    <xf numFmtId="0" fontId="5" fillId="0" borderId="0" xfId="0" applyFont="1" applyAlignment="1">
      <alignment horizontal="center" vertical="center"/>
    </xf>
    <xf numFmtId="0" fontId="2" fillId="0" borderId="0" xfId="0" applyFont="1" applyAlignment="1">
      <alignment horizontal="center" vertical="center"/>
    </xf>
    <xf numFmtId="0" fontId="32" fillId="0" borderId="12" xfId="0" applyFont="1" applyBorder="1" applyAlignment="1">
      <alignment vertical="center" wrapText="1"/>
    </xf>
    <xf numFmtId="0" fontId="32" fillId="0" borderId="11" xfId="0" applyFont="1" applyFill="1" applyBorder="1" applyAlignment="1">
      <alignment horizontal="center" vertical="center" wrapText="1"/>
    </xf>
    <xf numFmtId="0" fontId="32" fillId="0" borderId="0" xfId="0" applyFont="1" applyFill="1" applyBorder="1" applyAlignment="1">
      <alignment horizontal="center" vertical="center" wrapText="1"/>
    </xf>
  </cellXfs>
  <cellStyles count="10">
    <cellStyle name="Hipervínculo" xfId="9" builtinId="8"/>
    <cellStyle name="Millares 2" xfId="3"/>
    <cellStyle name="Moneda [0]" xfId="1" builtinId="7"/>
    <cellStyle name="Moneda 2" xfId="8"/>
    <cellStyle name="Normal" xfId="0" builtinId="0"/>
    <cellStyle name="Normal 2" xfId="5"/>
    <cellStyle name="Normal 3" xfId="7"/>
    <cellStyle name="Porcentaje" xfId="2" builtinId="5"/>
    <cellStyle name="Porcentaje 2" xfId="6"/>
    <cellStyle name="Salida" xfId="4" builtinId="21"/>
  </cellStyles>
  <dxfs count="18">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ill>
        <patternFill>
          <bgColor theme="9" tint="0.59996337778862885"/>
        </patternFill>
      </fill>
    </dxf>
    <dxf>
      <fill>
        <patternFill>
          <bgColor rgb="FFFF9999"/>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ill>
        <patternFill>
          <bgColor theme="9" tint="0.59996337778862885"/>
        </patternFill>
      </fill>
    </dxf>
    <dxf>
      <fill>
        <patternFill>
          <bgColor rgb="FFFF9999"/>
        </patternFill>
      </fill>
    </dxf>
    <dxf>
      <fill>
        <patternFill>
          <bgColor theme="9" tint="0.59996337778862885"/>
        </patternFill>
      </fill>
    </dxf>
    <dxf>
      <fill>
        <patternFill>
          <bgColor rgb="FFFF9999"/>
        </patternFill>
      </fill>
    </dxf>
    <dxf>
      <fill>
        <patternFill>
          <bgColor theme="9" tint="0.59996337778862885"/>
        </patternFill>
      </fill>
    </dxf>
    <dxf>
      <fill>
        <patternFill>
          <bgColor rgb="FFFF9999"/>
        </patternFill>
      </fill>
    </dxf>
    <dxf>
      <font>
        <color rgb="FFC00000"/>
      </font>
      <fill>
        <patternFill>
          <bgColor rgb="FFFFCCCC"/>
        </patternFill>
      </fill>
    </dxf>
    <dxf>
      <fill>
        <patternFill>
          <bgColor theme="9" tint="0.59996337778862885"/>
        </patternFill>
      </fill>
    </dxf>
    <dxf>
      <fill>
        <patternFill>
          <bgColor rgb="FFFF9999"/>
        </patternFill>
      </fill>
    </dxf>
  </dxfs>
  <tableStyles count="0" defaultTableStyle="TableStyleMedium2" defaultPivotStyle="PivotStyleLight16"/>
  <colors>
    <mruColors>
      <color rgb="FF005790"/>
      <color rgb="FFFF6699"/>
      <color rgb="FF293139"/>
      <color rgb="FF009999"/>
      <color rgb="FF021324"/>
      <color rgb="FF0F1D41"/>
      <color rgb="FF660B15"/>
      <color rgb="FFA62424"/>
      <color rgb="FF618138"/>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externalLink" Target="externalLinks/externalLink27.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externalLink" Target="externalLinks/externalLink28.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O"/>
              <a:t>Actividades por procesos Misional </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barChart>
        <c:barDir val="bar"/>
        <c:grouping val="clustered"/>
        <c:varyColors val="0"/>
        <c:ser>
          <c:idx val="0"/>
          <c:order val="0"/>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'ANALISIS MACROS'!$B$2:$B$5</c:f>
              <c:strCache>
                <c:ptCount val="4"/>
                <c:pt idx="0">
                  <c:v>DOCENCIA</c:v>
                </c:pt>
                <c:pt idx="1">
                  <c:v>INVESTIGACIÓN</c:v>
                </c:pt>
                <c:pt idx="2">
                  <c:v>EXTENSIÓN Y PROYECCIÓN SOCIAL</c:v>
                </c:pt>
                <c:pt idx="3">
                  <c:v>COMPLETARIOS</c:v>
                </c:pt>
              </c:strCache>
            </c:strRef>
          </c:cat>
          <c:val>
            <c:numRef>
              <c:f>'ANALISIS MACROS'!$C$2:$C$5</c:f>
              <c:numCache>
                <c:formatCode>General</c:formatCode>
                <c:ptCount val="4"/>
                <c:pt idx="0">
                  <c:v>171</c:v>
                </c:pt>
                <c:pt idx="1">
                  <c:v>4</c:v>
                </c:pt>
                <c:pt idx="2">
                  <c:v>44</c:v>
                </c:pt>
                <c:pt idx="3">
                  <c:v>114</c:v>
                </c:pt>
              </c:numCache>
            </c:numRef>
          </c:val>
          <c:extLst>
            <c:ext xmlns:c16="http://schemas.microsoft.com/office/drawing/2014/chart" uri="{C3380CC4-5D6E-409C-BE32-E72D297353CC}">
              <c16:uniqueId val="{00000000-A6C2-45D2-BF38-AA96AD94BAA1}"/>
            </c:ext>
          </c:extLst>
        </c:ser>
        <c:dLbls>
          <c:dLblPos val="inEnd"/>
          <c:showLegendKey val="0"/>
          <c:showVal val="1"/>
          <c:showCatName val="0"/>
          <c:showSerName val="0"/>
          <c:showPercent val="0"/>
          <c:showBubbleSize val="0"/>
        </c:dLbls>
        <c:gapWidth val="182"/>
        <c:overlap val="-50"/>
        <c:axId val="535906991"/>
        <c:axId val="535905743"/>
      </c:barChart>
      <c:catAx>
        <c:axId val="53590699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535905743"/>
        <c:crosses val="autoZero"/>
        <c:auto val="1"/>
        <c:lblAlgn val="ctr"/>
        <c:lblOffset val="100"/>
        <c:noMultiLvlLbl val="0"/>
      </c:catAx>
      <c:valAx>
        <c:axId val="53590574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535906991"/>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Actividades por</a:t>
            </a:r>
            <a:r>
              <a:rPr lang="es-CO" baseline="0"/>
              <a:t> Macroproyecto</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manualLayout>
          <c:layoutTarget val="inner"/>
          <c:xMode val="edge"/>
          <c:yMode val="edge"/>
          <c:x val="0.30741994750656165"/>
          <c:y val="0.30924795114896347"/>
          <c:w val="0.40460454943132113"/>
          <c:h val="0.59452097059296172"/>
        </c:manualLayout>
      </c:layout>
      <c:radarChart>
        <c:radarStyle val="marker"/>
        <c:varyColors val="0"/>
        <c:ser>
          <c:idx val="0"/>
          <c:order val="0"/>
          <c:spPr>
            <a:ln w="31750" cap="rnd">
              <a:solidFill>
                <a:schemeClr val="accent1">
                  <a:alpha val="8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'ANALISIS MACROS'!$B$11:$B$17</c:f>
              <c:strCache>
                <c:ptCount val="7"/>
                <c:pt idx="0">
                  <c:v>1. APROPIACIÓN: IDENTIDAD INSTITUCIONAL</c:v>
                </c:pt>
                <c:pt idx="1">
                  <c:v>2. SISTEMA INTERNO DE ASEGURAMIENTO DE LA CALIDAD</c:v>
                </c:pt>
                <c:pt idx="2">
                  <c:v>3. ACOMPAÑAMIENTO Y ÉXITO ESTUDIANTIL</c:v>
                </c:pt>
                <c:pt idx="3">
                  <c:v>4. NUEVOS ESCENARIOS DE APRENDIZAJE Y RECURSOS INSTITUCIONALES</c:v>
                </c:pt>
                <c:pt idx="4">
                  <c:v>5. ECOSISTEMA DE INNOVACIÓN</c:v>
                </c:pt>
                <c:pt idx="5">
                  <c:v>6. RELACIONAMIENTO CON EL MEDIO EXTERNO</c:v>
                </c:pt>
                <c:pt idx="6">
                  <c:v>7. DESARROLLO Y GESTIÓN ORGANIZACIONAL</c:v>
                </c:pt>
              </c:strCache>
            </c:strRef>
          </c:cat>
          <c:val>
            <c:numRef>
              <c:f>'ANALISIS MACROS'!$C$11:$C$17</c:f>
              <c:numCache>
                <c:formatCode>General</c:formatCode>
                <c:ptCount val="7"/>
                <c:pt idx="0">
                  <c:v>0</c:v>
                </c:pt>
                <c:pt idx="1">
                  <c:v>0</c:v>
                </c:pt>
                <c:pt idx="2">
                  <c:v>333</c:v>
                </c:pt>
                <c:pt idx="3">
                  <c:v>0</c:v>
                </c:pt>
                <c:pt idx="4">
                  <c:v>0</c:v>
                </c:pt>
                <c:pt idx="5">
                  <c:v>0</c:v>
                </c:pt>
                <c:pt idx="6">
                  <c:v>0</c:v>
                </c:pt>
              </c:numCache>
            </c:numRef>
          </c:val>
          <c:extLst>
            <c:ext xmlns:c16="http://schemas.microsoft.com/office/drawing/2014/chart" uri="{C3380CC4-5D6E-409C-BE32-E72D297353CC}">
              <c16:uniqueId val="{00000000-8B09-49D9-BEBC-223BC66AD210}"/>
            </c:ext>
          </c:extLst>
        </c:ser>
        <c:dLbls>
          <c:showLegendKey val="0"/>
          <c:showVal val="1"/>
          <c:showCatName val="0"/>
          <c:showSerName val="0"/>
          <c:showPercent val="0"/>
          <c:showBubbleSize val="0"/>
        </c:dLbls>
        <c:axId val="365119407"/>
        <c:axId val="365120239"/>
      </c:radarChart>
      <c:catAx>
        <c:axId val="3651194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365120239"/>
        <c:crosses val="autoZero"/>
        <c:auto val="1"/>
        <c:lblAlgn val="ctr"/>
        <c:lblOffset val="100"/>
        <c:noMultiLvlLbl val="0"/>
      </c:catAx>
      <c:valAx>
        <c:axId val="36512023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365119407"/>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1. APROPIACIÓN: IDENTIDAD INSTITUCIONAL</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'Analisis Proyectos'!$B$2:$B$22</c:f>
              <c:strCache>
                <c:ptCount val="21"/>
                <c:pt idx="0">
                  <c:v>1. Intervenciones a estudiantes y docentes en sensibilizaciones en temáticas institucionales. </c:v>
                </c:pt>
                <c:pt idx="1">
                  <c:v>1. Actualización del Proyecto Educativo Institucional</c:v>
                </c:pt>
                <c:pt idx="2">
                  <c:v>1. Evaluación de los resultados de aprendizaje (Evaluación de las rubricas de enseñanza)</c:v>
                </c:pt>
                <c:pt idx="3">
                  <c:v>1. Implementar instrumentos de comunicación y divulgación, con el fin de promover un novedoso acercamiento hacia la comunidad educativa,</c:v>
                </c:pt>
                <c:pt idx="4">
                  <c:v>1. Construir un Plan Estratégico de Comunicación y Relacionamiento adecuado que
permita establecer un contacto permanente y consecutivo con los grupos de
interés.</c:v>
                </c:pt>
                <c:pt idx="5">
                  <c:v>1. Actualizar de manera permanente los contenidos en medios de comunicación
institucional en línea, tales como portal web y perfiles de redes sociales
institucionales para brindar a la ciudadanía información oportuna, veraz y
confiable.</c:v>
                </c:pt>
                <c:pt idx="6">
                  <c:v>1. Difundir la información institucional a los diferentes grupos objetivos y públicos
de interés sobre la gestión a través de acciones de comunicación externa, con el
fin de propiciar el flujo adecuado y el acceso a la información.</c:v>
                </c:pt>
                <c:pt idx="7">
                  <c:v>1. Generar impacto social mendiante la creación del boletin institucional.</c:v>
                </c:pt>
                <c:pt idx="8">
                  <c:v>1. Garantizar el despliegue oportuno a las diferentes audiencias y estamentos
universitarios, de los planes, proyectos, iniciativas y actividades puestas en
marcha en el marco de los eventos que se realicen internos y externos.</c:v>
                </c:pt>
                <c:pt idx="9">
                  <c:v>1. Establecer mecanismos de acción en materia de comunicación que permita
responder a los diferentes retos institucionales.</c:v>
                </c:pt>
                <c:pt idx="10">
                  <c:v>1. Construir y gestionar las relaciones internas y externas de la Universidad
en procura de mejorar el prestigio institucional. </c:v>
                </c:pt>
                <c:pt idx="11">
                  <c:v>1. Visibilizar la Universidad a nivel local, nacional e internacional a través de los medios masivos de comunicación y manejo estratégico de comunicación pública.</c:v>
                </c:pt>
                <c:pt idx="12">
                  <c:v>1. Posicionar la imagen institucional de la Universidad  con el fin de generar
un uso apropiado de su manual de identidad. </c:v>
                </c:pt>
                <c:pt idx="13">
                  <c:v>1. Seguimiento y control de los lineamientos institucionales y Formato Unico de Gestión.</c:v>
                </c:pt>
                <c:pt idx="14">
                  <c:v>1. Construcción de una guía metodológica para la creación, seguimiento y actualización de las políticas institucionales.</c:v>
                </c:pt>
                <c:pt idx="15">
                  <c:v>1. Revisión y consolidación de Informes de Gestión</c:v>
                </c:pt>
                <c:pt idx="16">
                  <c:v>1. Revisión y ajuste de indicadores que permitan medir, monitorear y hacer seguimiento a los proyectos y programas institucionales.</c:v>
                </c:pt>
                <c:pt idx="17">
                  <c:v>1. Gobierno Institucional y Rendición de Cuentas Institucional</c:v>
                </c:pt>
                <c:pt idx="18">
                  <c:v>1. Construcción del Plan de Desarrollo Institucional PDI</c:v>
                </c:pt>
                <c:pt idx="19">
                  <c:v>1. Universidad Verde, Inteligente e Inclusiva: Programas y proyectos  fomenten el cuidado del medio ambiente, la apropiación de la tecnología y el respeto por la diversidad y la inclusión.</c:v>
                </c:pt>
                <c:pt idx="20">
                  <c:v>1. Creación, revisión y actualización de políticas institucionales.</c:v>
                </c:pt>
              </c:strCache>
            </c:strRef>
          </c:cat>
          <c:val>
            <c:numRef>
              <c:f>'Analisis Proyectos'!$C$2:$C$22</c:f>
              <c:numCache>
                <c:formatCode>General</c:formatCode>
                <c:ptCount val="21"/>
                <c:pt idx="0">
                  <c:v>0</c:v>
                </c:pt>
                <c:pt idx="1">
                  <c:v>3</c:v>
                </c:pt>
                <c:pt idx="2">
                  <c:v>1</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c:v>
                </c:pt>
                <c:pt idx="20">
                  <c:v>0</c:v>
                </c:pt>
              </c:numCache>
            </c:numRef>
          </c:val>
          <c:extLst>
            <c:ext xmlns:c16="http://schemas.microsoft.com/office/drawing/2014/chart" uri="{C3380CC4-5D6E-409C-BE32-E72D297353CC}">
              <c16:uniqueId val="{00000000-0712-4ABF-8DCD-03C80968059E}"/>
            </c:ext>
          </c:extLst>
        </c:ser>
        <c:dLbls>
          <c:dLblPos val="inEnd"/>
          <c:showLegendKey val="0"/>
          <c:showVal val="1"/>
          <c:showCatName val="0"/>
          <c:showSerName val="0"/>
          <c:showPercent val="0"/>
          <c:showBubbleSize val="0"/>
        </c:dLbls>
        <c:gapWidth val="65"/>
        <c:axId val="540805791"/>
        <c:axId val="540806207"/>
      </c:barChart>
      <c:catAx>
        <c:axId val="5408057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540806207"/>
        <c:crosses val="autoZero"/>
        <c:auto val="1"/>
        <c:lblAlgn val="ctr"/>
        <c:lblOffset val="100"/>
        <c:noMultiLvlLbl val="0"/>
      </c:catAx>
      <c:valAx>
        <c:axId val="5408062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540805791"/>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2. SISTEMA INTERNO DE ASEGURAMIENTO DE LA CALIDAD</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'Analisis Proyectos'!$B$23:$B$40</c:f>
              <c:strCache>
                <c:ptCount val="18"/>
                <c:pt idx="0">
                  <c:v>2. Renovación de registros calificados de pregrado</c:v>
                </c:pt>
                <c:pt idx="1">
                  <c:v>2. Ampliación de oferta académica pregrados</c:v>
                </c:pt>
                <c:pt idx="2">
                  <c:v>2. Renovación de registros calificados de posgrado</c:v>
                </c:pt>
                <c:pt idx="3">
                  <c:v>2. Ampliación de oferta académica posgrados</c:v>
                </c:pt>
                <c:pt idx="4">
                  <c:v>2. Acreditación de Alta Calidad
Acreditación Institucional
</c:v>
                </c:pt>
                <c:pt idx="5">
                  <c:v>2. Revisar los documentos de condiciones iniciales, emitir concepto y acompañar al coordinador de autoevaluación de los programas Académicos.</c:v>
                </c:pt>
                <c:pt idx="6">
                  <c:v>2. Seguimiento de los planes de mejoramiento tanto de programas académicos de pregrado como de posgrado.</c:v>
                </c:pt>
                <c:pt idx="7">
                  <c:v>2. Armonización y/o transición del SGC ISO 9001:2015 a la ISO 21001:2019 "Sistemas para organizaciones educativas" (Migración a ente certificador ICONTEC)</c:v>
                </c:pt>
                <c:pt idx="8">
                  <c:v>2. Establecer mediciones en un Sistema de Gestión de la Calidad. 
Satisfacción del cliente, medida a través de encuestas.</c:v>
                </c:pt>
                <c:pt idx="9">
                  <c:v>2. Lograr servicios de alta calidad y mantener la satisfacción de los estudiantes y partes interesadas</c:v>
                </c:pt>
                <c:pt idx="10">
                  <c:v>2. Establecer y revisar los indicadores de calidad. (Clasificarlos: impacto, eficiencia y efectividad)</c:v>
                </c:pt>
                <c:pt idx="11">
                  <c:v>2. Informe con el resultado del logro de los objetivos de calidad</c:v>
                </c:pt>
                <c:pt idx="12">
                  <c:v>2. Autoevaluación: 
Revisión de la identidad institucional
Evaluación de cada una de las áreas de gestión
Establecimiento de las fortalezas y oportunidades de mejoramiento</c:v>
                </c:pt>
                <c:pt idx="13">
                  <c:v>2. Elaboración del plan de mejoramiento:
Formulación de objetivos
Formulación de metas
Definición de indicadores
Definición de actividades y de sus responsables
Elaboración del cronograma de actividades
Definición de los recursos necesarios para la ejecuc</c:v>
                </c:pt>
                <c:pt idx="14">
                  <c:v>2. Seguimiento y evaluación:
Revisión del cumplimiento de los objetivos y metas del plan de mejoramiento
Evaluación del plan de mejoramiento
</c:v>
                </c:pt>
                <c:pt idx="15">
                  <c:v>2. Procesos de autoevaluación: de orden académico (fases Renovaciones RC)  y de orden administrativo. (Auditoria Interna)</c:v>
                </c:pt>
                <c:pt idx="16">
                  <c:v>2. Crear una arquitectura de información que dé soporte a las metas de la Institución.</c:v>
                </c:pt>
                <c:pt idx="17">
                  <c:v>2. Comunicación de los resultados de la autoevaluación y la evaluación del plan de mejoramiento.</c:v>
                </c:pt>
              </c:strCache>
            </c:strRef>
          </c:cat>
          <c:val>
            <c:numRef>
              <c:f>'Analisis Proyectos'!$C$23:$C$40</c:f>
              <c:numCache>
                <c:formatCode>General</c:formatCode>
                <c:ptCount val="18"/>
                <c:pt idx="0">
                  <c:v>0</c:v>
                </c:pt>
                <c:pt idx="1">
                  <c:v>0</c:v>
                </c:pt>
                <c:pt idx="2">
                  <c:v>0</c:v>
                </c:pt>
                <c:pt idx="3">
                  <c:v>2</c:v>
                </c:pt>
                <c:pt idx="4">
                  <c:v>0</c:v>
                </c:pt>
                <c:pt idx="5">
                  <c:v>0</c:v>
                </c:pt>
                <c:pt idx="6">
                  <c:v>0</c:v>
                </c:pt>
                <c:pt idx="7">
                  <c:v>0</c:v>
                </c:pt>
                <c:pt idx="8">
                  <c:v>0</c:v>
                </c:pt>
                <c:pt idx="9">
                  <c:v>0</c:v>
                </c:pt>
                <c:pt idx="10">
                  <c:v>0</c:v>
                </c:pt>
                <c:pt idx="11">
                  <c:v>0</c:v>
                </c:pt>
                <c:pt idx="12">
                  <c:v>0</c:v>
                </c:pt>
                <c:pt idx="13">
                  <c:v>21</c:v>
                </c:pt>
                <c:pt idx="14">
                  <c:v>0</c:v>
                </c:pt>
                <c:pt idx="15">
                  <c:v>0</c:v>
                </c:pt>
                <c:pt idx="16">
                  <c:v>0</c:v>
                </c:pt>
                <c:pt idx="17">
                  <c:v>0</c:v>
                </c:pt>
              </c:numCache>
            </c:numRef>
          </c:val>
          <c:extLst>
            <c:ext xmlns:c16="http://schemas.microsoft.com/office/drawing/2014/chart" uri="{C3380CC4-5D6E-409C-BE32-E72D297353CC}">
              <c16:uniqueId val="{00000000-6F7B-4B9A-BF7E-9B78DA78EE8A}"/>
            </c:ext>
          </c:extLst>
        </c:ser>
        <c:dLbls>
          <c:dLblPos val="inEnd"/>
          <c:showLegendKey val="0"/>
          <c:showVal val="1"/>
          <c:showCatName val="0"/>
          <c:showSerName val="0"/>
          <c:showPercent val="0"/>
          <c:showBubbleSize val="0"/>
        </c:dLbls>
        <c:gapWidth val="65"/>
        <c:axId val="370361295"/>
        <c:axId val="370360879"/>
      </c:barChart>
      <c:catAx>
        <c:axId val="3703612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370360879"/>
        <c:crosses val="autoZero"/>
        <c:auto val="1"/>
        <c:lblAlgn val="ctr"/>
        <c:lblOffset val="100"/>
        <c:noMultiLvlLbl val="0"/>
      </c:catAx>
      <c:valAx>
        <c:axId val="37036087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370361295"/>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3. ACOMPAÑAMIENTO Y ÉXITO ESTUDIANTIL</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'Analisis Proyectos'!$B$41:$B$79</c:f>
              <c:strCache>
                <c:ptCount val="39"/>
                <c:pt idx="0">
                  <c:v>3. Política relacionada con el acceso justo a la educación superior.</c:v>
                </c:pt>
                <c:pt idx="1">
                  <c:v>3. Establecer un Modelo de selección donde se identifiquen criterios incluyentes y equitativos.</c:v>
                </c:pt>
                <c:pt idx="2">
                  <c:v>3. Presentar un esquema que integre lineamientos, estrategias y acciones dirigidas a mejorar la capacidad institucional y controlar el acceso de estudiantes.</c:v>
                </c:pt>
                <c:pt idx="3">
                  <c:v>3. Reconocer las capacidades en el estudiante, y fomentar su convivencia con el entorno en congruencia con una personalidad reflexiva, crítica, sensible, creativa y, responsable, tocando las dimensiones que como sujeto social.</c:v>
                </c:pt>
                <c:pt idx="4">
                  <c:v>3. Proyectar la formación de estudiantes con enfoque de
sostenibilidad y comprensión de distintas
formas de expresión y cultura.</c:v>
                </c:pt>
                <c:pt idx="5">
                  <c:v>3. Establecer un Modelo Educativo Integral y Flexible que permita al estudiante conocer, hacer, ser, sentir, convivir.</c:v>
                </c:pt>
                <c:pt idx="6">
                  <c:v>3. Proponer ejercicios de doble titulación entre los programas de pregrado</c:v>
                </c:pt>
                <c:pt idx="7">
                  <c:v>3. Autosostenibilidad: Implementar el plan de mercadeo para captar  mayor volumen de estudiantes.</c:v>
                </c:pt>
                <c:pt idx="8">
                  <c:v>3. Diseñar una propuesta de valor que permita Identificar y definir las ventajas de la propuesta educativa FUP y el enfoque en el diferencial de la institución. </c:v>
                </c:pt>
                <c:pt idx="9">
                  <c:v>3. Definir campañas de preinscripción con beneficios.</c:v>
                </c:pt>
                <c:pt idx="10">
                  <c:v>3. Establecer canales de contacto eficientes.</c:v>
                </c:pt>
                <c:pt idx="11">
                  <c:v>3. Posicionamiento institucional a través del marketing educativo y la creación de valor sostenible alineando el propósito institucional a la generación de beneficios para estudiantes.</c:v>
                </c:pt>
                <c:pt idx="12">
                  <c:v>3. Fomentar las estrategias de impacto del pensamiento crítico </c:v>
                </c:pt>
                <c:pt idx="13">
                  <c:v>3. Fortalecimiento del desempeño pruebas Saber pro, a través de estrategias académicas y culturales.</c:v>
                </c:pt>
                <c:pt idx="14">
                  <c:v>3. Establecer la Escuela de Lectoescritura como un espacio que brinde apoyos en asignaturas como lectoescritura sino también asesorías en procesos lectores y escritos, capacitaciones Pruebas Saber PRO, Club.</c:v>
                </c:pt>
                <c:pt idx="15">
                  <c:v>3. Fortalecimiento de las competencias de estudiantes y docentes en habilidades blandas y comunicación asertiva.</c:v>
                </c:pt>
                <c:pt idx="16">
                  <c:v>3. Permitir la conjunción de disciplinas a través de la interacción entre facultades y programas a partir de las cuales se generan nuevos perfiles de egreso.</c:v>
                </c:pt>
                <c:pt idx="17">
                  <c:v>3. Definir y/o estandarizar en el cuerpo de docente, para asumir las funciones de Docencia, Investigación y Proyección Social </c:v>
                </c:pt>
                <c:pt idx="18">
                  <c:v>3. Fortalecimiento segundo idioma en docentes y estudiantes </c:v>
                </c:pt>
                <c:pt idx="19">
                  <c:v>3. Crear espacios también de formación docente desde la parte artística.</c:v>
                </c:pt>
                <c:pt idx="20">
                  <c:v>3. Capacitación y actualización pedagógica de los docentes</c:v>
                </c:pt>
                <c:pt idx="21">
                  <c:v>3. Formulación de estrategias activas y participativas que permitan al docente involucrarse y formar parte en el proceso de enseñanza-aprendizaje. El saber hacer, el trabajo colaborativo y cooperativo, </c:v>
                </c:pt>
                <c:pt idx="22">
                  <c:v>3. Rubricas de Evaluación.</c:v>
                </c:pt>
                <c:pt idx="23">
                  <c:v>3. Visitas técnicas y salidas de campo.</c:v>
                </c:pt>
                <c:pt idx="24">
                  <c:v>3. Aumentar el material bibliográfico actual, a través de la compra de nuevos de nuevos ejemplares.</c:v>
                </c:pt>
                <c:pt idx="25">
                  <c:v>3. Fortalecimiento de medios educativos e infraestructura tecnológica como herramienta de las actividades académicas de proyección social e investigación.</c:v>
                </c:pt>
                <c:pt idx="26">
                  <c:v>3. Diseñar software para los sistemas de gestión bibliotecarios, que permita la creación de colecciones digitales e implementación de repositorios.</c:v>
                </c:pt>
                <c:pt idx="27">
                  <c:v>3. Acompañamiento académico, salud integral, deporte y recreación, expresiones culturales y artísticas y apoyo a estudiantes con capacidades diversas. </c:v>
                </c:pt>
                <c:pt idx="28">
                  <c:v>3. Gestionar los programas, acciones y servicios de bienestar que contribuyen a la formación integral de la comunidad estudiantil, el mejoramiento de la calidad de vida y la construcción de comunidad</c:v>
                </c:pt>
                <c:pt idx="29">
                  <c:v>3. Orientación y Consejería respaldamos al estudiante para el buen suceso de su vida universitaria. </c:v>
                </c:pt>
                <c:pt idx="30">
                  <c:v>3. Ampliación de cobertura con apoyos socioeconómicos (nutrición, conectividad, reliquidación de matrículas), acciones de pastoral universitaria.</c:v>
                </c:pt>
                <c:pt idx="31">
                  <c:v>3. Seguimiento de los estudiantes a través del Sistema de Alertas Tempranas. </c:v>
                </c:pt>
                <c:pt idx="32">
                  <c:v>3. Programas orientados a contribuir con el desarrollo de la personalidad y la autoestima por medio de la expresión corporal, la relajación mental y habitos saludables.</c:v>
                </c:pt>
                <c:pt idx="33">
                  <c:v>3. Programas de pausas activas, de alimentación saludable, deportivos, de retos, de acompañamiento médico, psicológico y salud mental, agenda cultural y agenda de cine a través de la virtualidad. </c:v>
                </c:pt>
                <c:pt idx="34">
                  <c:v>3. Implementación de estrategias para la Disminución de la deserción y ausentismo de los estudiantes. </c:v>
                </c:pt>
                <c:pt idx="35">
                  <c:v>3. Identificar, mediante la aplicación de Análisis de Datos, los patrones de las causas de deserción y repitencia universitaria, para definir parámetros de detección temprana.</c:v>
                </c:pt>
                <c:pt idx="36">
                  <c:v>3. Fortalecer los  procesos de seguimiento y evaluación a la deserción estudiantil y repitencia.</c:v>
                </c:pt>
                <c:pt idx="37">
                  <c:v>3. Analizar y diseñar el sistema para generar reportes de alerta temprana de
potencial repitencia y deserción académica.</c:v>
                </c:pt>
                <c:pt idx="38">
                  <c:v>3. Diseñar y construir un sistema de información de alerta temprana para prevenir los
fenómenos de deserción y repitencia universitaria originando en factores
académicos.</c:v>
                </c:pt>
              </c:strCache>
            </c:strRef>
          </c:cat>
          <c:val>
            <c:numRef>
              <c:f>'Analisis Proyectos'!$C$41:$C$79</c:f>
              <c:numCache>
                <c:formatCode>General</c:formatCode>
                <c:ptCount val="39"/>
                <c:pt idx="0">
                  <c:v>1</c:v>
                </c:pt>
                <c:pt idx="1">
                  <c:v>5</c:v>
                </c:pt>
                <c:pt idx="2">
                  <c:v>0</c:v>
                </c:pt>
                <c:pt idx="3">
                  <c:v>12</c:v>
                </c:pt>
                <c:pt idx="4">
                  <c:v>12</c:v>
                </c:pt>
                <c:pt idx="5">
                  <c:v>6</c:v>
                </c:pt>
                <c:pt idx="6">
                  <c:v>6</c:v>
                </c:pt>
                <c:pt idx="7">
                  <c:v>14</c:v>
                </c:pt>
                <c:pt idx="8">
                  <c:v>2</c:v>
                </c:pt>
                <c:pt idx="9">
                  <c:v>3</c:v>
                </c:pt>
                <c:pt idx="10">
                  <c:v>17</c:v>
                </c:pt>
                <c:pt idx="11">
                  <c:v>4</c:v>
                </c:pt>
                <c:pt idx="12">
                  <c:v>4</c:v>
                </c:pt>
                <c:pt idx="13">
                  <c:v>29</c:v>
                </c:pt>
                <c:pt idx="14">
                  <c:v>3</c:v>
                </c:pt>
                <c:pt idx="15">
                  <c:v>11</c:v>
                </c:pt>
                <c:pt idx="16">
                  <c:v>4</c:v>
                </c:pt>
                <c:pt idx="17">
                  <c:v>14</c:v>
                </c:pt>
                <c:pt idx="18">
                  <c:v>13</c:v>
                </c:pt>
                <c:pt idx="19">
                  <c:v>4</c:v>
                </c:pt>
                <c:pt idx="20">
                  <c:v>21</c:v>
                </c:pt>
                <c:pt idx="21">
                  <c:v>8</c:v>
                </c:pt>
                <c:pt idx="22">
                  <c:v>8</c:v>
                </c:pt>
                <c:pt idx="23">
                  <c:v>21</c:v>
                </c:pt>
                <c:pt idx="24">
                  <c:v>18</c:v>
                </c:pt>
                <c:pt idx="25">
                  <c:v>17</c:v>
                </c:pt>
                <c:pt idx="26">
                  <c:v>0</c:v>
                </c:pt>
                <c:pt idx="27">
                  <c:v>2</c:v>
                </c:pt>
                <c:pt idx="28">
                  <c:v>3</c:v>
                </c:pt>
                <c:pt idx="29">
                  <c:v>3</c:v>
                </c:pt>
                <c:pt idx="30">
                  <c:v>1</c:v>
                </c:pt>
                <c:pt idx="31">
                  <c:v>10</c:v>
                </c:pt>
                <c:pt idx="32">
                  <c:v>2</c:v>
                </c:pt>
                <c:pt idx="33">
                  <c:v>2</c:v>
                </c:pt>
                <c:pt idx="34">
                  <c:v>10</c:v>
                </c:pt>
                <c:pt idx="35">
                  <c:v>1</c:v>
                </c:pt>
                <c:pt idx="36">
                  <c:v>8</c:v>
                </c:pt>
                <c:pt idx="37">
                  <c:v>1</c:v>
                </c:pt>
                <c:pt idx="38">
                  <c:v>0</c:v>
                </c:pt>
              </c:numCache>
            </c:numRef>
          </c:val>
          <c:extLst>
            <c:ext xmlns:c16="http://schemas.microsoft.com/office/drawing/2014/chart" uri="{C3380CC4-5D6E-409C-BE32-E72D297353CC}">
              <c16:uniqueId val="{00000000-B5E3-448B-B3EE-DCD8BB87ACB7}"/>
            </c:ext>
          </c:extLst>
        </c:ser>
        <c:dLbls>
          <c:dLblPos val="inEnd"/>
          <c:showLegendKey val="0"/>
          <c:showVal val="1"/>
          <c:showCatName val="0"/>
          <c:showSerName val="0"/>
          <c:showPercent val="0"/>
          <c:showBubbleSize val="0"/>
        </c:dLbls>
        <c:gapWidth val="65"/>
        <c:axId val="615200031"/>
        <c:axId val="615198783"/>
      </c:barChart>
      <c:catAx>
        <c:axId val="61520003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615198783"/>
        <c:crosses val="autoZero"/>
        <c:auto val="1"/>
        <c:lblAlgn val="ctr"/>
        <c:lblOffset val="100"/>
        <c:noMultiLvlLbl val="0"/>
      </c:catAx>
      <c:valAx>
        <c:axId val="6151987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615200031"/>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4. NUEVOS ESCENARIOS DE APRENDIZAJE Y RECURSOS INSTITUCIONALES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'Analisis Proyectos'!$B$80:$B$115</c:f>
              <c:strCache>
                <c:ptCount val="36"/>
                <c:pt idx="0">
                  <c:v>4. Planificación, asignación, seguimiento y control de la gestión y los  recursos asignados a cada área y/o programa.</c:v>
                </c:pt>
                <c:pt idx="1">
                  <c:v>4. Estrategia de marketing segmentado.</c:v>
                </c:pt>
                <c:pt idx="2">
                  <c:v>4. Campaña de preinscripción con beneficios.</c:v>
                </c:pt>
                <c:pt idx="3">
                  <c:v>4. Mecanismos de marketing externo; realización, producción e impresión de material POP.</c:v>
                </c:pt>
                <c:pt idx="4">
                  <c:v>4. Diseñar la propuesta de valor de la Institución.</c:v>
                </c:pt>
                <c:pt idx="5">
                  <c:v>4. Página web optimizada y creación de contenido interactivo.</c:v>
                </c:pt>
                <c:pt idx="6">
                  <c:v>4. Construicción de  branding de la Universidad  e inbound marketing.</c:v>
                </c:pt>
                <c:pt idx="7">
                  <c:v>4. Estrategias comerciales de posicionamiento y fidelización.</c:v>
                </c:pt>
                <c:pt idx="8">
                  <c:v>4. Plan Estratégico de Mercadeo</c:v>
                </c:pt>
                <c:pt idx="9">
                  <c:v>4. Informes presupuestales y contables con la periodicidad
semestral  y redefinir políticas de asignación y uso de recursos. </c:v>
                </c:pt>
                <c:pt idx="10">
                  <c:v>4. Verificar constantemente el punto de equilibrio en cuanto al número de estudiantes y así saber si se equiparan los ingresos con los gastos,</c:v>
                </c:pt>
                <c:pt idx="11">
                  <c:v>4. Diversificar las fuentes de ingreso del programa en pro de su estabilidad y desarrollo financiero y misional.</c:v>
                </c:pt>
                <c:pt idx="12">
                  <c:v>4. Contar con un plan de gestión de residuos sólidos.</c:v>
                </c:pt>
                <c:pt idx="13">
                  <c:v>4. Plan Estratégico de Seguridad Vial Implementado.</c:v>
                </c:pt>
                <c:pt idx="14">
                  <c:v>4. Contar con permisos ambientales necesarios para la planta física, asegurando parte de la Responsabilidad Social Universitaria.</c:v>
                </c:pt>
                <c:pt idx="15">
                  <c:v>4. Espacios de acuerdo a la normatividad y procedimientos adecuados para la gestión del archivo físico.</c:v>
                </c:pt>
                <c:pt idx="16">
                  <c:v>4. Generar convenios Interinstitucionales que permiten el aprovechamiento de recursos y espacios disponibles directamente dentro de la Institución con otras IES.</c:v>
                </c:pt>
                <c:pt idx="17">
                  <c:v>4. Ecosistema de conocimiento en evolución  con el uso de plataformas virtuales que e permitan generar nuevos conocimientos.</c:v>
                </c:pt>
                <c:pt idx="18">
                  <c:v>4. Uso de herramientas TICs y entornos educativos para aplicar el aprendizaje colaborativo.</c:v>
                </c:pt>
                <c:pt idx="19">
                  <c:v>4. Licencias de software, programas, dominios y otras herraminetas que fortalezcan el aprendizaje mediado por las TICs</c:v>
                </c:pt>
                <c:pt idx="20">
                  <c:v>4. Transformación del modelo educativo basado en el uso de las TIC.</c:v>
                </c:pt>
                <c:pt idx="21">
                  <c:v>4. Creación de la Unidad de correspondencia</c:v>
                </c:pt>
                <c:pt idx="22">
                  <c:v>4. Posicionar el CEDE al nivel regional como una incubadora de empresas.</c:v>
                </c:pt>
                <c:pt idx="23">
                  <c:v>4. Observatorio de empleabilidad y emprendimiento  (Secre. de la mujer - Observatorio de asuntos de genero) </c:v>
                </c:pt>
                <c:pt idx="24">
                  <c:v>4. Consolidar el consultorio de emprendimiento e innovación social</c:v>
                </c:pt>
                <c:pt idx="25">
                  <c:v>4. Gestión de eventos organizacionales, académicos, culturales, deportivos </c:v>
                </c:pt>
                <c:pt idx="26">
                  <c:v>4. Centro de desarrollo, gestión, ejecución e interventoría de proyectos ( Spin OFF)</c:v>
                </c:pt>
                <c:pt idx="27">
                  <c:v>4. Consultorio ambiental y de proyectos.</c:v>
                </c:pt>
                <c:pt idx="28">
                  <c:v>4. Consultorio Contable, Financiero y  Fiscal (Unidad articuladora de  los laboratorios del programa NAF-PBV, como modelo de negocio y espacio de desarrollo de las prácticas de formación)</c:v>
                </c:pt>
                <c:pt idx="29">
                  <c:v>4. Nuevos espacios para el aprendizaje, el descubrimiento y la creación artística y cultural.</c:v>
                </c:pt>
                <c:pt idx="30">
                  <c:v>4. Renovación Infraestructura de Servidores</c:v>
                </c:pt>
                <c:pt idx="31">
                  <c:v>4. Implementación del sistema de Backus y restauración</c:v>
                </c:pt>
                <c:pt idx="32">
                  <c:v>4. Mejoramiento de la conectividad de las sedes</c:v>
                </c:pt>
                <c:pt idx="33">
                  <c:v>4. Definir el Plan Estratégico de Tecnología</c:v>
                </c:pt>
                <c:pt idx="34">
                  <c:v>4. Sistema de información de Bibliotecas para consulta fisica y virtual.
Repositorios, catalogos, bases de datos y libros electrónicos.</c:v>
                </c:pt>
                <c:pt idx="35">
                  <c:v>4. Contar con nuevos espacios de aprendizaje y/o modernizar los ya existentes tanto en infraestructura como en materiales, equipos, laboratorios y bibliografía o bases de datos</c:v>
                </c:pt>
              </c:strCache>
            </c:strRef>
          </c:cat>
          <c:val>
            <c:numRef>
              <c:f>'Analisis Proyectos'!$C$80:$C$115</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1</c:v>
                </c:pt>
              </c:numCache>
            </c:numRef>
          </c:val>
          <c:extLst>
            <c:ext xmlns:c16="http://schemas.microsoft.com/office/drawing/2014/chart" uri="{C3380CC4-5D6E-409C-BE32-E72D297353CC}">
              <c16:uniqueId val="{00000000-1CD0-4C7F-AAF0-951671B9F227}"/>
            </c:ext>
          </c:extLst>
        </c:ser>
        <c:dLbls>
          <c:dLblPos val="inEnd"/>
          <c:showLegendKey val="0"/>
          <c:showVal val="1"/>
          <c:showCatName val="0"/>
          <c:showSerName val="0"/>
          <c:showPercent val="0"/>
          <c:showBubbleSize val="0"/>
        </c:dLbls>
        <c:gapWidth val="65"/>
        <c:axId val="365761103"/>
        <c:axId val="365761935"/>
      </c:barChart>
      <c:catAx>
        <c:axId val="36576110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365761935"/>
        <c:crosses val="autoZero"/>
        <c:auto val="1"/>
        <c:lblAlgn val="ctr"/>
        <c:lblOffset val="100"/>
        <c:noMultiLvlLbl val="0"/>
      </c:catAx>
      <c:valAx>
        <c:axId val="36576193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36576110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5. ECOSISTEMA DE INNOVACIÓN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'Analisis Proyectos'!$B$116:$B$127</c:f>
              <c:strCache>
                <c:ptCount val="12"/>
                <c:pt idx="0">
                  <c:v>5. Capacitar en todos los niveles sobre el proceso y los procedimientos de la investigación.</c:v>
                </c:pt>
                <c:pt idx="1">
                  <c:v>5. Publicacion de productos derivados de procesos del SIDI, cartillas, memorias, boletines </c:v>
                </c:pt>
                <c:pt idx="2">
                  <c:v>5. Participación en eventos científicos de impacto nacional e Internacional.</c:v>
                </c:pt>
                <c:pt idx="3">
                  <c:v>5. Comunicar y Divulgar procesos de investigación que generen inpacto a la comunidad académica.</c:v>
                </c:pt>
                <c:pt idx="4">
                  <c:v>5. Movilidades nacionales/internacionales  de investigación a semilleros (intercambios, pasantias)</c:v>
                </c:pt>
                <c:pt idx="5">
                  <c:v>5. Socialización de de los linemientos para la hoja de ruta de la investigacion formativa en la FUP.</c:v>
                </c:pt>
                <c:pt idx="6">
                  <c:v>5. Convocatorias y proceso de evaluación interna y externa de proyectos. (I+D - UEES - SEMILLEROS INVESTIGADORES)</c:v>
                </c:pt>
                <c:pt idx="7">
                  <c:v>5. Participación de estudiantes pertenencientes a los semilleros de investigación, docentes y administrativos </c:v>
                </c:pt>
                <c:pt idx="8">
                  <c:v>5. Crear un procesos de investigación social (grupo de Investigación) liderado desde Extensión y proyección social.</c:v>
                </c:pt>
                <c:pt idx="9">
                  <c:v>5. Mantener la clasificación del grupo de investigación</c:v>
                </c:pt>
                <c:pt idx="10">
                  <c:v>5. Fortalecer la investigación a través de la generación de proyectos y productos de investigación </c:v>
                </c:pt>
                <c:pt idx="11">
                  <c:v>5. Categorización de los grupos de investigación </c:v>
                </c:pt>
              </c:strCache>
            </c:strRef>
          </c:cat>
          <c:val>
            <c:numRef>
              <c:f>'Analisis Proyectos'!$C$116:$C$127</c:f>
              <c:numCache>
                <c:formatCode>General</c:formatCode>
                <c:ptCount val="12"/>
                <c:pt idx="0">
                  <c:v>0</c:v>
                </c:pt>
                <c:pt idx="1">
                  <c:v>0</c:v>
                </c:pt>
                <c:pt idx="2">
                  <c:v>0</c:v>
                </c:pt>
                <c:pt idx="3">
                  <c:v>0</c:v>
                </c:pt>
                <c:pt idx="4">
                  <c:v>0</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0-81E2-4CF2-A2B8-5F658BA41043}"/>
            </c:ext>
          </c:extLst>
        </c:ser>
        <c:dLbls>
          <c:dLblPos val="inEnd"/>
          <c:showLegendKey val="0"/>
          <c:showVal val="1"/>
          <c:showCatName val="0"/>
          <c:showSerName val="0"/>
          <c:showPercent val="0"/>
          <c:showBubbleSize val="0"/>
        </c:dLbls>
        <c:gapWidth val="65"/>
        <c:axId val="540806623"/>
        <c:axId val="540803711"/>
      </c:barChart>
      <c:catAx>
        <c:axId val="5408066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540803711"/>
        <c:crosses val="autoZero"/>
        <c:auto val="1"/>
        <c:lblAlgn val="ctr"/>
        <c:lblOffset val="100"/>
        <c:noMultiLvlLbl val="0"/>
      </c:catAx>
      <c:valAx>
        <c:axId val="54080371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54080662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6. RELACIONAMIENTO CON EL MEDIO EXTERNO</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'Analisis Proyectos'!$B$128:$B$162</c:f>
              <c:strCache>
                <c:ptCount val="35"/>
                <c:pt idx="0">
                  <c:v>6. Socialización de la Política de egresados y asegurar la  implementación de sus lineamientos. </c:v>
                </c:pt>
                <c:pt idx="1">
                  <c:v>6. Programas, proyectos y servicios para el desarrollo sostenible, inclusivo y mejoramiento de calidad de vida en la región.</c:v>
                </c:pt>
                <c:pt idx="2">
                  <c:v>6. Educación para la paz: Educadores rurales comunitarios.</c:v>
                </c:pt>
                <c:pt idx="3">
                  <c:v>6. Oferta de cursos, diplomados y/o talleres, seminarios y congresos  en ambientes presenciales virtuales para llegar a toda la comunidad.</c:v>
                </c:pt>
                <c:pt idx="4">
                  <c:v>6. Consolidación de laboratorios de paz y promoción de la resiliencia en la zona rural.</c:v>
                </c:pt>
                <c:pt idx="5">
                  <c:v>6. Promoción de la participación de la ciudadanía y en los programas de desarrollo social.</c:v>
                </c:pt>
                <c:pt idx="6">
                  <c:v>6. Seguimiento a egresados: Monitorear y evaluar el quehacer de los egresados que permita procesos de análisis y determinar planes de acción inmediata, a corto o largo plazo.</c:v>
                </c:pt>
                <c:pt idx="7">
                  <c:v>6. Aplicación, seguimineto y analisis de encuestas momento 0,1 y 5</c:v>
                </c:pt>
                <c:pt idx="8">
                  <c:v>6. RED colaborativa de egresados.</c:v>
                </c:pt>
                <c:pt idx="9">
                  <c:v>6. Reconocimiento a los  Egresados  FUP (Día del Egresado)</c:v>
                </c:pt>
                <c:pt idx="10">
                  <c:v>6. Fortalecimiento en habilidades que propenda el aprendizaje del egresado a lo largo de la vida. Educación continua, emprendimiento, empleo.</c:v>
                </c:pt>
                <c:pt idx="11">
                  <c:v>6. Relacionamiento a egresados: Generar acciones que fomenten escenarios que permitan el intercambio de conocimientos, experiencias exitosas, impactos de investigación, redes sociales, entre otros.</c:v>
                </c:pt>
                <c:pt idx="12">
                  <c:v>6. Bolsa de empleo institucional.</c:v>
                </c:pt>
                <c:pt idx="13">
                  <c:v>6. Gestionar nuevas ofertas de formación continua para egresados, y profesionales afines a las ciencias contables. </c:v>
                </c:pt>
                <c:pt idx="14">
                  <c:v>6. Detectar las necesidades del sector externo en temas de formación continua, mediante un análisis de mercado</c:v>
                </c:pt>
                <c:pt idx="15">
                  <c:v>6. Seguimiento y evaluación de los procesos de formación (logísticos, administrativos)</c:v>
                </c:pt>
                <c:pt idx="16">
                  <c:v>6. Articular y apoyar las actividades con los diferentes programas académicos para las propuestas de cursos de extensión.</c:v>
                </c:pt>
                <c:pt idx="17">
                  <c:v>6. Programa de Fortalecimiento Empresarial: Asesorías y Consultorías.</c:v>
                </c:pt>
                <c:pt idx="18">
                  <c:v>6. Actualización de base de datos.</c:v>
                </c:pt>
                <c:pt idx="19">
                  <c:v>6. Encuesta a empleadores: conocer el impacto que están generando nuestros egresados.</c:v>
                </c:pt>
                <c:pt idx="20">
                  <c:v>6. Generar un mayor contacto entre el contexto laboral y la academia, debido al vínculo tan cercano que tiene el egresado con la realidad social actual.</c:v>
                </c:pt>
                <c:pt idx="21">
                  <c:v>6. Percepción del Empleador: Medir el nivel de satisfacción con el desempeño del graduado y estudiante en práctica</c:v>
                </c:pt>
                <c:pt idx="22">
                  <c:v>6. Proyecto Club ecológico y de lectura </c:v>
                </c:pt>
                <c:pt idx="23">
                  <c:v>6. Potenciar y fortalecer programas institucionales</c:v>
                </c:pt>
                <c:pt idx="24">
                  <c:v>6. Articulación con los Objetivos de Desarrollo Sostenible</c:v>
                </c:pt>
                <c:pt idx="25">
                  <c:v>6. Semana Social</c:v>
                </c:pt>
                <c:pt idx="26">
                  <c:v>6. Integración al ecosistema del emprendimiento regional, nacional e internacional.</c:v>
                </c:pt>
                <c:pt idx="27">
                  <c:v>6. Articulación Universidad- Empresa- Estado para el fortalecimiento de lo público y el desarrollo productivo por medio de convocatorias internas y externas.</c:v>
                </c:pt>
                <c:pt idx="28">
                  <c:v>6. Actividades académicas y culturales de relacionamiento con instituciones regionales, nacionales e internacionales</c:v>
                </c:pt>
                <c:pt idx="29">
                  <c:v>6. Promover la movilidad académica entrante y saliente</c:v>
                </c:pt>
                <c:pt idx="30">
                  <c:v>6. Desplazamiento temporal, en doble vía, de los miembros de la comunidad académica a otra, con un propósito específico de orden docente, investigativo, académico, administrativo o de extensión; acogiéndose a convenios establecidos por la institución.</c:v>
                </c:pt>
                <c:pt idx="31">
                  <c:v>6. Ecosistemas de bilingüismo:  diseño y puesta en marcha de una aplicación digital ramificada para el aprendizaje de inglés.</c:v>
                </c:pt>
                <c:pt idx="32">
                  <c:v>6. Banco de planes de aula alineados al currículo sugerido de inglés.</c:v>
                </c:pt>
                <c:pt idx="33">
                  <c:v>6. Fortalecimiento de las prácticas pedagógicas con programas de bilingüismo.</c:v>
                </c:pt>
                <c:pt idx="34">
                  <c:v>6. Diseños curriculares, contenidos, y asignaturas que promuevan el desarrollo de competencias interculturales.</c:v>
                </c:pt>
              </c:strCache>
            </c:strRef>
          </c:cat>
          <c:val>
            <c:numRef>
              <c:f>'Analisis Proyectos'!$C$128:$C$162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extLst>
            <c:ext xmlns:c16="http://schemas.microsoft.com/office/drawing/2014/chart" uri="{C3380CC4-5D6E-409C-BE32-E72D297353CC}">
              <c16:uniqueId val="{00000000-2E86-4533-BA9A-F55BE6BE55B6}"/>
            </c:ext>
          </c:extLst>
        </c:ser>
        <c:dLbls>
          <c:dLblPos val="inEnd"/>
          <c:showLegendKey val="0"/>
          <c:showVal val="1"/>
          <c:showCatName val="0"/>
          <c:showSerName val="0"/>
          <c:showPercent val="0"/>
          <c:showBubbleSize val="0"/>
        </c:dLbls>
        <c:gapWidth val="65"/>
        <c:axId val="703105327"/>
        <c:axId val="703104911"/>
      </c:barChart>
      <c:catAx>
        <c:axId val="7031053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703104911"/>
        <c:crosses val="autoZero"/>
        <c:auto val="1"/>
        <c:lblAlgn val="ctr"/>
        <c:lblOffset val="100"/>
        <c:noMultiLvlLbl val="0"/>
      </c:catAx>
      <c:valAx>
        <c:axId val="70310491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703105327"/>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7. DESARROLLO Y GESTIÓN ORGANIZACIONAL</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'Analisis Proyectos'!$B$163:$B$195</c:f>
              <c:strCache>
                <c:ptCount val="33"/>
                <c:pt idx="0">
                  <c:v>7. Socializar el programa de estímulos y destacar los procesos educativos, investigativos, artísticos y culturales, cuyo rasgo distintivo es la excelencia y su contribución a la comunidad académica.</c:v>
                </c:pt>
                <c:pt idx="1">
                  <c:v>7. Asignación de responsabilidades y roles dispuestos en los manuales de funciones y según la estructura organizacional.</c:v>
                </c:pt>
                <c:pt idx="2">
                  <c:v>7. Establecer el Plan Anual de Formación y Capacitación con los diferentes programas que permitan garantizar la actualización de  competencias y capacidades de los trabajadores.</c:v>
                </c:pt>
                <c:pt idx="3">
                  <c:v>7. Implementar un Sistema de Gestión Documental</c:v>
                </c:pt>
                <c:pt idx="4">
                  <c:v>7. Diseño del Sistema Integral de Información SIIFUP</c:v>
                </c:pt>
                <c:pt idx="5">
                  <c:v>7. Alistamiento y soporte de matriculas, inscripciones, elecciones,.</c:v>
                </c:pt>
                <c:pt idx="6">
                  <c:v>7. Consolidación base de datos de graduados.</c:v>
                </c:pt>
                <c:pt idx="7">
                  <c:v>7. Desarrollo del módulo de Educación Continua
</c:v>
                </c:pt>
                <c:pt idx="8">
                  <c:v>7. Desarrollo del módulo para el Sistema de Gestión de Calidad</c:v>
                </c:pt>
                <c:pt idx="9">
                  <c:v>7. Desarrollo del módulo de Registro Académico
</c:v>
                </c:pt>
                <c:pt idx="10">
                  <c:v>7. Diseño Sistema de Egresados</c:v>
                </c:pt>
                <c:pt idx="11">
                  <c:v>7. Desarrollar soluciones tecnológicas asociadas al Sistema de Información de Registro estudiantil (SIRES).</c:v>
                </c:pt>
                <c:pt idx="12">
                  <c:v>7. Diseñar una herramienta para la gestión de información y la comunicación interna, que permita mejorar y agilizar la dinámica organizacional.</c:v>
                </c:pt>
                <c:pt idx="13">
                  <c:v>7. Implementación de actividades de la pastoral educativa como eje transversal para la formación integral.</c:v>
                </c:pt>
                <c:pt idx="14">
                  <c:v>7. Establecer programas de promocion y prevencion de enfermedades, estilos de vida saludable</c:v>
                </c:pt>
                <c:pt idx="15">
                  <c:v>7. Propiciar relaciones laborales bajo conceptos de amabilidad, cordialidad,
amistad y respeto.</c:v>
                </c:pt>
                <c:pt idx="16">
                  <c:v>7. Aplicar los  mecanismos de reclutamiento y selección, contratación, formación integral - desarrollo, evaluación y desvinculación del personal.</c:v>
                </c:pt>
                <c:pt idx="17">
                  <c:v>7. Identificar los peligros, evaluar y valorar los riesgos estableciendo la intervención para mitigar la probabilidad de ocurrencia y minimizar la potencialización del peligro </c:v>
                </c:pt>
                <c:pt idx="18">
                  <c:v>7. Propender por el trabajo en equipo entre los colaboradores y la
comunicación constante que permite el logro de resultados, introducir
cambios, facilitar transiciones o cambios fundamentales.</c:v>
                </c:pt>
                <c:pt idx="19">
                  <c:v>7. Responsabilidad social y corporativa en la inclusión de todos los
colaboradores y la participación de la comunidad sin ningún precepto de
discriminación, cumpliendo con las exigencias legales y logrando el bien
común.</c:v>
                </c:pt>
                <c:pt idx="20">
                  <c:v>7. Implementar la evaluación 360 grados:
-Mide el rendimiento de los empleados.
-Evaluar las competencias.
-Diseñar planes de formación.
-Planes de carrera y sucesión.</c:v>
                </c:pt>
                <c:pt idx="21">
                  <c:v>7. Identificación y caracterizar las necesidades de capacitación e incluirlas en el Plan Anual de Formación y Capacitación.</c:v>
                </c:pt>
                <c:pt idx="22">
                  <c:v>7. Promocionar un clima laboral positivo que genera la confianza necesaria para mejorar la productividad de los colaboradores y para que destaquen en sus tareas. Por tanto, se debe facilitar un ambiente de trabajo cómodo, positivo y motivante.</c:v>
                </c:pt>
                <c:pt idx="23">
                  <c:v>7. Actividades de promoción, información de las normas y reglamentos de seguridad y salud en el trabajo dentro de la Institución.</c:v>
                </c:pt>
                <c:pt idx="24">
                  <c:v>7. Estrategias para promover la participación y el compromiso de los estudiantes, docentes y administrativos. </c:v>
                </c:pt>
                <c:pt idx="25">
                  <c:v>7. Planificar una selección y contratación y una asignación eficaz del cuerpo docente.</c:v>
                </c:pt>
                <c:pt idx="26">
                  <c:v>7. Promover y divulgar al cuerpo profesoral del Estatuto, a través de todos los canales
de comunicación a disposición de la institución de los programas académicos y
dependencias académicas y administrativas.</c:v>
                </c:pt>
                <c:pt idx="27">
                  <c:v>7. Evaluación semestral del número, la dedicación, el nivel de formación y la experiencia de los profesores para la asignación y definición de la labor académica.</c:v>
                </c:pt>
                <c:pt idx="28">
                  <c:v>7. Coordinar acciones en la formación de los docentes, de modo que sus prácticas y actividades pedagógicas incidan en el desarrollo de competencias de los estudiantes.</c:v>
                </c:pt>
                <c:pt idx="29">
                  <c:v>7. Establecer líneas de acción para posibilitar que se provea un espacio de articulación entre el Proyecto Educativo Institucional y el proyecto de vida docente.</c:v>
                </c:pt>
                <c:pt idx="30">
                  <c:v>7. Estímulos económicos a la producción intelectual docente y reconocimientos. </c:v>
                </c:pt>
                <c:pt idx="31">
                  <c:v>7. Establecer criterios para la asignación de reconocimientos a docentes por sus aportes en el campo de la investigación, la generación de nuevos productos, el aporte en la excelencia educativa y la solución de problemáticas de tipo social.</c:v>
                </c:pt>
                <c:pt idx="32">
                  <c:v>7. La apreciación de la docencia por parte de los estudiantes
La autoevaluación del profesor
La valoración por parte del jefe inmediato.
Trazar planes de mejora</c:v>
                </c:pt>
              </c:strCache>
            </c:strRef>
          </c:cat>
          <c:val>
            <c:numRef>
              <c:f>'Analisis Proyectos'!$C$163:$C$195</c:f>
              <c:numCache>
                <c:formatCode>General</c:formatCode>
                <c:ptCount val="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0-5EC4-41A6-AAC9-82CF1F9B7FB4}"/>
            </c:ext>
          </c:extLst>
        </c:ser>
        <c:dLbls>
          <c:dLblPos val="inEnd"/>
          <c:showLegendKey val="0"/>
          <c:showVal val="1"/>
          <c:showCatName val="0"/>
          <c:showSerName val="0"/>
          <c:showPercent val="0"/>
          <c:showBubbleSize val="0"/>
        </c:dLbls>
        <c:gapWidth val="65"/>
        <c:axId val="711240255"/>
        <c:axId val="711239007"/>
      </c:barChart>
      <c:catAx>
        <c:axId val="7112402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711239007"/>
        <c:crosses val="autoZero"/>
        <c:auto val="1"/>
        <c:lblAlgn val="ctr"/>
        <c:lblOffset val="100"/>
        <c:noMultiLvlLbl val="0"/>
      </c:catAx>
      <c:valAx>
        <c:axId val="7112390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711240255"/>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O"/>
              <a:t>TIPO DE IMPACTO ASOCIADO</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radarChart>
        <c:radarStyle val="marker"/>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'Analisis tipo de Impacto'!$B$3:$B$5</c:f>
              <c:strCache>
                <c:ptCount val="3"/>
                <c:pt idx="0">
                  <c:v>FORMACIÓN</c:v>
                </c:pt>
                <c:pt idx="1">
                  <c:v>GESTIÓN</c:v>
                </c:pt>
                <c:pt idx="2">
                  <c:v>IMPACTO</c:v>
                </c:pt>
              </c:strCache>
            </c:strRef>
          </c:cat>
          <c:val>
            <c:numRef>
              <c:f>'Analisis tipo de Impacto'!$C$3:$C$5</c:f>
              <c:numCache>
                <c:formatCode>General</c:formatCode>
                <c:ptCount val="3"/>
                <c:pt idx="0">
                  <c:v>39</c:v>
                </c:pt>
                <c:pt idx="1">
                  <c:v>123</c:v>
                </c:pt>
                <c:pt idx="2">
                  <c:v>171</c:v>
                </c:pt>
              </c:numCache>
            </c:numRef>
          </c:val>
          <c:extLst>
            <c:ext xmlns:c16="http://schemas.microsoft.com/office/drawing/2014/chart" uri="{C3380CC4-5D6E-409C-BE32-E72D297353CC}">
              <c16:uniqueId val="{00000000-D7D6-4899-BE25-F2DA907D3831}"/>
            </c:ext>
          </c:extLst>
        </c:ser>
        <c:dLbls>
          <c:showLegendKey val="0"/>
          <c:showVal val="0"/>
          <c:showCatName val="0"/>
          <c:showSerName val="0"/>
          <c:showPercent val="0"/>
          <c:showBubbleSize val="0"/>
        </c:dLbls>
        <c:axId val="837934495"/>
        <c:axId val="837934911"/>
      </c:radarChart>
      <c:catAx>
        <c:axId val="8379344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837934911"/>
        <c:crosses val="autoZero"/>
        <c:auto val="1"/>
        <c:lblAlgn val="ctr"/>
        <c:lblOffset val="100"/>
        <c:noMultiLvlLbl val="0"/>
      </c:catAx>
      <c:valAx>
        <c:axId val="8379349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83793449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RES!$F$57</c:f>
              <c:strCache>
                <c:ptCount val="1"/>
                <c:pt idx="0">
                  <c:v>PRES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RES!$E$58:$E$61</c:f>
              <c:strCache>
                <c:ptCount val="4"/>
                <c:pt idx="0">
                  <c:v>Administrativos</c:v>
                </c:pt>
                <c:pt idx="1">
                  <c:v>Docentes</c:v>
                </c:pt>
                <c:pt idx="2">
                  <c:v>Actividades</c:v>
                </c:pt>
                <c:pt idx="3">
                  <c:v>Muebles y Enseres</c:v>
                </c:pt>
              </c:strCache>
            </c:strRef>
          </c:cat>
          <c:val>
            <c:numRef>
              <c:f>RES!$F$58:$F$61</c:f>
              <c:numCache>
                <c:formatCode>_("$"* #,##0_);_("$"* \(#,##0\);_("$"* "-"_);_(@_)</c:formatCode>
                <c:ptCount val="4"/>
                <c:pt idx="0">
                  <c:v>0</c:v>
                </c:pt>
                <c:pt idx="1">
                  <c:v>0</c:v>
                </c:pt>
                <c:pt idx="2">
                  <c:v>0</c:v>
                </c:pt>
                <c:pt idx="3">
                  <c:v>0</c:v>
                </c:pt>
              </c:numCache>
            </c:numRef>
          </c:val>
          <c:extLst>
            <c:ext xmlns:c16="http://schemas.microsoft.com/office/drawing/2014/chart" uri="{C3380CC4-5D6E-409C-BE32-E72D297353CC}">
              <c16:uniqueId val="{00000000-8EF8-4C94-8D2D-10A1791451E0}"/>
            </c:ext>
          </c:extLst>
        </c:ser>
        <c:ser>
          <c:idx val="1"/>
          <c:order val="1"/>
          <c:tx>
            <c:strRef>
              <c:f>RES!$G$57</c:f>
              <c:strCache>
                <c:ptCount val="1"/>
                <c:pt idx="0">
                  <c:v>APRO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RES!$E$58:$E$61</c:f>
              <c:strCache>
                <c:ptCount val="4"/>
                <c:pt idx="0">
                  <c:v>Administrativos</c:v>
                </c:pt>
                <c:pt idx="1">
                  <c:v>Docentes</c:v>
                </c:pt>
                <c:pt idx="2">
                  <c:v>Actividades</c:v>
                </c:pt>
                <c:pt idx="3">
                  <c:v>Muebles y Enseres</c:v>
                </c:pt>
              </c:strCache>
            </c:strRef>
          </c:cat>
          <c:val>
            <c:numRef>
              <c:f>RES!$G$58:$G$61</c:f>
              <c:numCache>
                <c:formatCode>_("$"* #,##0_);_("$"* \(#,##0\);_("$"* "-"_);_(@_)</c:formatCode>
                <c:ptCount val="4"/>
                <c:pt idx="0">
                  <c:v>0</c:v>
                </c:pt>
                <c:pt idx="1">
                  <c:v>0</c:v>
                </c:pt>
                <c:pt idx="2">
                  <c:v>0</c:v>
                </c:pt>
                <c:pt idx="3">
                  <c:v>0</c:v>
                </c:pt>
              </c:numCache>
            </c:numRef>
          </c:val>
          <c:extLst>
            <c:ext xmlns:c16="http://schemas.microsoft.com/office/drawing/2014/chart" uri="{C3380CC4-5D6E-409C-BE32-E72D297353CC}">
              <c16:uniqueId val="{00000001-8EF8-4C94-8D2D-10A1791451E0}"/>
            </c:ext>
          </c:extLst>
        </c:ser>
        <c:dLbls>
          <c:showLegendKey val="0"/>
          <c:showVal val="0"/>
          <c:showCatName val="0"/>
          <c:showSerName val="0"/>
          <c:showPercent val="0"/>
          <c:showBubbleSize val="0"/>
        </c:dLbls>
        <c:gapWidth val="100"/>
        <c:overlap val="-24"/>
        <c:axId val="333278096"/>
        <c:axId val="333280840"/>
      </c:barChart>
      <c:catAx>
        <c:axId val="3332780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CO"/>
          </a:p>
        </c:txPr>
        <c:crossAx val="333280840"/>
        <c:crosses val="autoZero"/>
        <c:auto val="1"/>
        <c:lblAlgn val="ctr"/>
        <c:lblOffset val="100"/>
        <c:noMultiLvlLbl val="0"/>
      </c:catAx>
      <c:valAx>
        <c:axId val="333280840"/>
        <c:scaling>
          <c:orientation val="minMax"/>
        </c:scaling>
        <c:delete val="1"/>
        <c:axPos val="l"/>
        <c:majorGridlines>
          <c:spPr>
            <a:ln w="9525" cap="flat" cmpd="sng" algn="ctr">
              <a:solidFill>
                <a:schemeClr val="bg1">
                  <a:lumMod val="65000"/>
                </a:schemeClr>
              </a:solidFill>
              <a:round/>
            </a:ln>
            <a:effectLst/>
          </c:spPr>
        </c:majorGridlines>
        <c:numFmt formatCode="_(&quot;$&quot;* #,##0_);_(&quot;$&quot;* \(#,##0\);_(&quot;$&quot;* &quot;-&quot;_);_(@_)" sourceLinked="1"/>
        <c:majorTickMark val="none"/>
        <c:minorTickMark val="none"/>
        <c:tickLblPos val="nextTo"/>
        <c:crossAx val="333278096"/>
        <c:crosses val="autoZero"/>
        <c:crossBetween val="between"/>
      </c:valAx>
      <c:spPr>
        <a:solidFill>
          <a:schemeClr val="accent4">
            <a:lumMod val="40000"/>
            <a:lumOff val="60000"/>
          </a:schemeClr>
        </a:solid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CO"/>
        </a:p>
      </c:txPr>
    </c:legend>
    <c:plotVisOnly val="1"/>
    <c:dispBlanksAs val="gap"/>
    <c:showDLblsOverMax val="0"/>
  </c:chart>
  <c:spPr>
    <a:solidFill>
      <a:schemeClr val="bg1"/>
    </a:solidFill>
    <a:ln>
      <a:solidFill>
        <a:schemeClr val="bg1"/>
      </a:solidFill>
    </a:ln>
    <a:effectLst/>
  </c:spPr>
  <c:txPr>
    <a:bodyPr/>
    <a:lstStyle/>
    <a:p>
      <a:pPr>
        <a:defRPr>
          <a:solidFill>
            <a:schemeClr val="tx1">
              <a:lumMod val="65000"/>
              <a:lumOff val="35000"/>
            </a:schemeClr>
          </a:solidFill>
          <a:latin typeface="Arial" panose="020B0604020202020204" pitchFamily="34" charset="0"/>
          <a:cs typeface="Arial" panose="020B0604020202020204" pitchFamily="34" charset="0"/>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hyperlink" Target="#INI!A1"/><Relationship Id="rId1" Type="http://schemas.openxmlformats.org/officeDocument/2006/relationships/hyperlink" Target="#PRE!A1"/></Relationships>
</file>

<file path=xl/drawings/_rels/drawing2.xml.rels><?xml version="1.0" encoding="UTF-8" standalone="yes"?>
<Relationships xmlns="http://schemas.openxmlformats.org/package/2006/relationships"><Relationship Id="rId2" Type="http://schemas.openxmlformats.org/officeDocument/2006/relationships/hyperlink" Target="#ADM!A2"/><Relationship Id="rId1" Type="http://schemas.openxmlformats.org/officeDocument/2006/relationships/hyperlink" Target="#POS!A1"/></Relationships>
</file>

<file path=xl/drawings/_rels/drawing3.xml.rels><?xml version="1.0" encoding="UTF-8" standalone="yes"?>
<Relationships xmlns="http://schemas.openxmlformats.org/package/2006/relationships"><Relationship Id="rId2" Type="http://schemas.openxmlformats.org/officeDocument/2006/relationships/hyperlink" Target="#PRE!A1"/><Relationship Id="rId1" Type="http://schemas.openxmlformats.org/officeDocument/2006/relationships/hyperlink" Target="#DOC!A1"/></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2" Type="http://schemas.openxmlformats.org/officeDocument/2006/relationships/hyperlink" Target="#COM!A1"/><Relationship Id="rId1" Type="http://schemas.openxmlformats.org/officeDocument/2006/relationships/hyperlink" Target="#RES!A1"/></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hyperlink" Target="#'M&amp;E'!B2"/></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1481672</xdr:colOff>
      <xdr:row>0</xdr:row>
      <xdr:rowOff>42332</xdr:rowOff>
    </xdr:from>
    <xdr:to>
      <xdr:col>2</xdr:col>
      <xdr:colOff>1915588</xdr:colOff>
      <xdr:row>0</xdr:row>
      <xdr:rowOff>445744</xdr:rowOff>
    </xdr:to>
    <xdr:sp macro="" textlink="">
      <xdr:nvSpPr>
        <xdr:cNvPr id="3" name="Flecha a la derecha con bandas 2">
          <a:hlinkClick xmlns:r="http://schemas.openxmlformats.org/officeDocument/2006/relationships" r:id="rId1"/>
          <a:extLst>
            <a:ext uri="{FF2B5EF4-FFF2-40B4-BE49-F238E27FC236}">
              <a16:creationId xmlns:a16="http://schemas.microsoft.com/office/drawing/2014/main" id="{00000000-0008-0000-0300-000003000000}"/>
            </a:ext>
          </a:extLst>
        </xdr:cNvPr>
        <xdr:cNvSpPr/>
      </xdr:nvSpPr>
      <xdr:spPr>
        <a:xfrm>
          <a:off x="1481672" y="42332"/>
          <a:ext cx="433916" cy="403412"/>
        </a:xfrm>
        <a:prstGeom prst="stripedRightArrow">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889004</xdr:colOff>
      <xdr:row>0</xdr:row>
      <xdr:rowOff>46568</xdr:rowOff>
    </xdr:from>
    <xdr:to>
      <xdr:col>2</xdr:col>
      <xdr:colOff>1316571</xdr:colOff>
      <xdr:row>0</xdr:row>
      <xdr:rowOff>449980</xdr:rowOff>
    </xdr:to>
    <xdr:sp macro="" textlink="">
      <xdr:nvSpPr>
        <xdr:cNvPr id="4" name="Flecha a la derecha con bandas 3">
          <a:hlinkClick xmlns:r="http://schemas.openxmlformats.org/officeDocument/2006/relationships" r:id="rId2"/>
          <a:extLst>
            <a:ext uri="{FF2B5EF4-FFF2-40B4-BE49-F238E27FC236}">
              <a16:creationId xmlns:a16="http://schemas.microsoft.com/office/drawing/2014/main" id="{00000000-0008-0000-0300-000004000000}"/>
            </a:ext>
          </a:extLst>
        </xdr:cNvPr>
        <xdr:cNvSpPr/>
      </xdr:nvSpPr>
      <xdr:spPr>
        <a:xfrm flipH="1">
          <a:off x="889004" y="46568"/>
          <a:ext cx="427567" cy="403412"/>
        </a:xfrm>
        <a:prstGeom prst="striped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mc:AlternateContent xmlns:mc="http://schemas.openxmlformats.org/markup-compatibility/2006">
    <mc:Choice xmlns:a14="http://schemas.microsoft.com/office/drawing/2010/main" Requires="a14">
      <xdr:twoCellAnchor editAs="oneCell">
        <xdr:from>
          <xdr:col>16</xdr:col>
          <xdr:colOff>204107</xdr:colOff>
          <xdr:row>0</xdr:row>
          <xdr:rowOff>294555</xdr:rowOff>
        </xdr:from>
        <xdr:to>
          <xdr:col>23</xdr:col>
          <xdr:colOff>3174</xdr:colOff>
          <xdr:row>53</xdr:row>
          <xdr:rowOff>23924</xdr:rowOff>
        </xdr:to>
        <xdr:pic>
          <xdr:nvPicPr>
            <xdr:cNvPr id="7" name="Imagen 6">
              <a:extLst>
                <a:ext uri="{FF2B5EF4-FFF2-40B4-BE49-F238E27FC236}">
                  <a16:creationId xmlns:a16="http://schemas.microsoft.com/office/drawing/2014/main" id="{00000000-0008-0000-0300-000007000000}"/>
                </a:ext>
              </a:extLst>
            </xdr:cNvPr>
            <xdr:cNvPicPr>
              <a:picLocks noChangeAspect="1" noChangeArrowheads="1"/>
              <a:extLst>
                <a:ext uri="{84589F7E-364E-4C9E-8A38-B11213B215E9}">
                  <a14:cameraTool cellRange="BaseSalarial!$B$19:$C$58" spid="_x0000_s20271"/>
                </a:ext>
              </a:extLst>
            </xdr:cNvPicPr>
          </xdr:nvPicPr>
          <xdr:blipFill>
            <a:blip xmlns:r="http://schemas.openxmlformats.org/officeDocument/2006/relationships" r:embed="rId3"/>
            <a:srcRect/>
            <a:stretch>
              <a:fillRect/>
            </a:stretch>
          </xdr:blipFill>
          <xdr:spPr bwMode="auto">
            <a:xfrm>
              <a:off x="20315464" y="294555"/>
              <a:ext cx="2398032" cy="978051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846484</xdr:colOff>
      <xdr:row>0</xdr:row>
      <xdr:rowOff>73836</xdr:rowOff>
    </xdr:from>
    <xdr:to>
      <xdr:col>2</xdr:col>
      <xdr:colOff>423150</xdr:colOff>
      <xdr:row>0</xdr:row>
      <xdr:rowOff>477248</xdr:rowOff>
    </xdr:to>
    <xdr:sp macro="" textlink="">
      <xdr:nvSpPr>
        <xdr:cNvPr id="2" name="Flecha a la derecha con bandas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846484" y="73836"/>
          <a:ext cx="433916" cy="403412"/>
        </a:xfrm>
        <a:prstGeom prst="stripedRightArrow">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250454</xdr:colOff>
      <xdr:row>0</xdr:row>
      <xdr:rowOff>78072</xdr:rowOff>
    </xdr:from>
    <xdr:to>
      <xdr:col>1</xdr:col>
      <xdr:colOff>678021</xdr:colOff>
      <xdr:row>0</xdr:row>
      <xdr:rowOff>481484</xdr:rowOff>
    </xdr:to>
    <xdr:sp macro="" textlink="">
      <xdr:nvSpPr>
        <xdr:cNvPr id="3" name="Flecha a la derecha con bandas 2">
          <a:hlinkClick xmlns:r="http://schemas.openxmlformats.org/officeDocument/2006/relationships" r:id="rId2"/>
          <a:extLst>
            <a:ext uri="{FF2B5EF4-FFF2-40B4-BE49-F238E27FC236}">
              <a16:creationId xmlns:a16="http://schemas.microsoft.com/office/drawing/2014/main" id="{00000000-0008-0000-0400-000003000000}"/>
            </a:ext>
          </a:extLst>
        </xdr:cNvPr>
        <xdr:cNvSpPr/>
      </xdr:nvSpPr>
      <xdr:spPr>
        <a:xfrm flipH="1">
          <a:off x="250454" y="78072"/>
          <a:ext cx="427567" cy="403412"/>
        </a:xfrm>
        <a:prstGeom prst="striped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314324</xdr:colOff>
      <xdr:row>34</xdr:row>
      <xdr:rowOff>142875</xdr:rowOff>
    </xdr:from>
    <xdr:to>
      <xdr:col>2</xdr:col>
      <xdr:colOff>1381125</xdr:colOff>
      <xdr:row>36</xdr:row>
      <xdr:rowOff>209423</xdr:rowOff>
    </xdr:to>
    <xdr:sp macro="" textlink="">
      <xdr:nvSpPr>
        <xdr:cNvPr id="4" name="Llamada rectangular 3">
          <a:extLst>
            <a:ext uri="{FF2B5EF4-FFF2-40B4-BE49-F238E27FC236}">
              <a16:creationId xmlns:a16="http://schemas.microsoft.com/office/drawing/2014/main" id="{00000000-0008-0000-0400-000004000000}"/>
            </a:ext>
          </a:extLst>
        </xdr:cNvPr>
        <xdr:cNvSpPr/>
      </xdr:nvSpPr>
      <xdr:spPr>
        <a:xfrm>
          <a:off x="1114424" y="7432675"/>
          <a:ext cx="2349501" cy="422148"/>
        </a:xfrm>
        <a:prstGeom prst="wedgeRectCallout">
          <a:avLst>
            <a:gd name="adj1" fmla="val -33629"/>
            <a:gd name="adj2" fmla="val 104969"/>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s-CO" sz="900">
              <a:latin typeface="Arial" panose="020B0604020202020204" pitchFamily="34" charset="0"/>
              <a:cs typeface="Arial" panose="020B0604020202020204" pitchFamily="34" charset="0"/>
            </a:rPr>
            <a:t>Se diligencia por cada docente en una casilla por</a:t>
          </a:r>
          <a:r>
            <a:rPr lang="es-CO" sz="900" baseline="0">
              <a:latin typeface="Arial" panose="020B0604020202020204" pitchFamily="34" charset="0"/>
              <a:cs typeface="Arial" panose="020B0604020202020204" pitchFamily="34" charset="0"/>
            </a:rPr>
            <a:t> separado</a:t>
          </a:r>
          <a:r>
            <a:rPr lang="es-CO" sz="900">
              <a:latin typeface="Arial" panose="020B0604020202020204" pitchFamily="34" charset="0"/>
              <a:cs typeface="Arial" panose="020B06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867828</xdr:colOff>
      <xdr:row>0</xdr:row>
      <xdr:rowOff>52915</xdr:rowOff>
    </xdr:from>
    <xdr:to>
      <xdr:col>0</xdr:col>
      <xdr:colOff>1301744</xdr:colOff>
      <xdr:row>0</xdr:row>
      <xdr:rowOff>456327</xdr:rowOff>
    </xdr:to>
    <xdr:sp macro="" textlink="">
      <xdr:nvSpPr>
        <xdr:cNvPr id="4" name="Flecha a la derecha con bandas 3">
          <a:hlinkClick xmlns:r="http://schemas.openxmlformats.org/officeDocument/2006/relationships" r:id="rId1"/>
          <a:extLst>
            <a:ext uri="{FF2B5EF4-FFF2-40B4-BE49-F238E27FC236}">
              <a16:creationId xmlns:a16="http://schemas.microsoft.com/office/drawing/2014/main" id="{00000000-0008-0000-0500-000004000000}"/>
            </a:ext>
          </a:extLst>
        </xdr:cNvPr>
        <xdr:cNvSpPr/>
      </xdr:nvSpPr>
      <xdr:spPr>
        <a:xfrm>
          <a:off x="867828" y="52915"/>
          <a:ext cx="433916" cy="403412"/>
        </a:xfrm>
        <a:prstGeom prst="stripedRightArrow">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275160</xdr:colOff>
      <xdr:row>0</xdr:row>
      <xdr:rowOff>57151</xdr:rowOff>
    </xdr:from>
    <xdr:to>
      <xdr:col>0</xdr:col>
      <xdr:colOff>702727</xdr:colOff>
      <xdr:row>0</xdr:row>
      <xdr:rowOff>460563</xdr:rowOff>
    </xdr:to>
    <xdr:sp macro="" textlink="">
      <xdr:nvSpPr>
        <xdr:cNvPr id="5" name="Flecha a la derecha con bandas 4">
          <a:hlinkClick xmlns:r="http://schemas.openxmlformats.org/officeDocument/2006/relationships" r:id="rId2"/>
          <a:extLst>
            <a:ext uri="{FF2B5EF4-FFF2-40B4-BE49-F238E27FC236}">
              <a16:creationId xmlns:a16="http://schemas.microsoft.com/office/drawing/2014/main" id="{00000000-0008-0000-0500-000005000000}"/>
            </a:ext>
          </a:extLst>
        </xdr:cNvPr>
        <xdr:cNvSpPr/>
      </xdr:nvSpPr>
      <xdr:spPr>
        <a:xfrm flipH="1">
          <a:off x="275160" y="57151"/>
          <a:ext cx="427567" cy="403412"/>
        </a:xfrm>
        <a:prstGeom prst="striped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391583</xdr:colOff>
      <xdr:row>0</xdr:row>
      <xdr:rowOff>52917</xdr:rowOff>
    </xdr:from>
    <xdr:to>
      <xdr:col>4</xdr:col>
      <xdr:colOff>643468</xdr:colOff>
      <xdr:row>0</xdr:row>
      <xdr:rowOff>465540</xdr:rowOff>
    </xdr:to>
    <xdr:sp macro="" textlink="">
      <xdr:nvSpPr>
        <xdr:cNvPr id="6" name="Llamada rectangular 5">
          <a:extLst>
            <a:ext uri="{FF2B5EF4-FFF2-40B4-BE49-F238E27FC236}">
              <a16:creationId xmlns:a16="http://schemas.microsoft.com/office/drawing/2014/main" id="{00000000-0008-0000-0500-000006000000}"/>
            </a:ext>
          </a:extLst>
        </xdr:cNvPr>
        <xdr:cNvSpPr/>
      </xdr:nvSpPr>
      <xdr:spPr>
        <a:xfrm>
          <a:off x="1968500" y="52917"/>
          <a:ext cx="1924051" cy="412623"/>
        </a:xfrm>
        <a:prstGeom prst="wedgeRectCallout">
          <a:avLst>
            <a:gd name="adj1" fmla="val -33629"/>
            <a:gd name="adj2" fmla="val 104969"/>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s-CO" sz="1050">
              <a:latin typeface="Arial" panose="020B0604020202020204" pitchFamily="34" charset="0"/>
              <a:cs typeface="Arial" panose="020B0604020202020204" pitchFamily="34" charset="0"/>
            </a:rPr>
            <a:t>Aplica sólo para Posgrados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1025769</xdr:colOff>
      <xdr:row>0</xdr:row>
      <xdr:rowOff>164857</xdr:rowOff>
    </xdr:from>
    <xdr:to>
      <xdr:col>16</xdr:col>
      <xdr:colOff>35903</xdr:colOff>
      <xdr:row>0</xdr:row>
      <xdr:rowOff>1428750</xdr:rowOff>
    </xdr:to>
    <xdr:grpSp>
      <xdr:nvGrpSpPr>
        <xdr:cNvPr id="2" name="Grupo 1">
          <a:extLst>
            <a:ext uri="{FF2B5EF4-FFF2-40B4-BE49-F238E27FC236}">
              <a16:creationId xmlns:a16="http://schemas.microsoft.com/office/drawing/2014/main" id="{00000000-0008-0000-0000-00000C000000}"/>
            </a:ext>
          </a:extLst>
        </xdr:cNvPr>
        <xdr:cNvGrpSpPr/>
      </xdr:nvGrpSpPr>
      <xdr:grpSpPr>
        <a:xfrm>
          <a:off x="20237210" y="164857"/>
          <a:ext cx="7017591" cy="1263893"/>
          <a:chOff x="0" y="0"/>
          <a:chExt cx="6410325" cy="1000486"/>
        </a:xfrm>
      </xdr:grpSpPr>
      <xdr:sp macro="" textlink="">
        <xdr:nvSpPr>
          <xdr:cNvPr id="3" name="CuadroTexto 2">
            <a:extLst>
              <a:ext uri="{FF2B5EF4-FFF2-40B4-BE49-F238E27FC236}">
                <a16:creationId xmlns:a16="http://schemas.microsoft.com/office/drawing/2014/main" id="{00000000-0008-0000-0000-000003000000}"/>
              </a:ext>
            </a:extLst>
          </xdr:cNvPr>
          <xdr:cNvSpPr txBox="1">
            <a:spLocks noChangeAspect="1"/>
          </xdr:cNvSpPr>
        </xdr:nvSpPr>
        <xdr:spPr>
          <a:xfrm>
            <a:off x="0" y="36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endParaRPr lang="es-CO"/>
          </a:p>
        </xdr:txBody>
      </xdr:sp>
      <xdr:sp macro="" textlink="">
        <xdr:nvSpPr>
          <xdr:cNvPr id="4" name="CuadroTexto 3">
            <a:extLst>
              <a:ext uri="{FF2B5EF4-FFF2-40B4-BE49-F238E27FC236}">
                <a16:creationId xmlns:a16="http://schemas.microsoft.com/office/drawing/2014/main" id="{00000000-0008-0000-0000-000004000000}"/>
              </a:ext>
            </a:extLst>
          </xdr:cNvPr>
          <xdr:cNvSpPr txBox="1">
            <a:spLocks noChangeAspect="1"/>
          </xdr:cNvSpPr>
        </xdr:nvSpPr>
        <xdr:spPr>
          <a:xfrm>
            <a:off x="1181099" y="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PLANEACIÓN INSTITUCIONAL</a:t>
            </a:r>
            <a:endParaRPr lang="es-CO" sz="1200">
              <a:effectLst/>
              <a:latin typeface="Times New Roman" panose="02020603050405020304" pitchFamily="18" charset="0"/>
              <a:ea typeface="Times New Roman" panose="02020603050405020304" pitchFamily="18" charset="0"/>
            </a:endParaRPr>
          </a:p>
        </xdr:txBody>
      </xdr:sp>
      <xdr:sp macro="" textlink="">
        <xdr:nvSpPr>
          <xdr:cNvPr id="5" name="CuadroTexto 4">
            <a:extLst>
              <a:ext uri="{FF2B5EF4-FFF2-40B4-BE49-F238E27FC236}">
                <a16:creationId xmlns:a16="http://schemas.microsoft.com/office/drawing/2014/main" id="{00000000-0008-0000-0000-000005000000}"/>
              </a:ext>
            </a:extLst>
          </xdr:cNvPr>
          <xdr:cNvSpPr txBox="1">
            <a:spLocks noChangeAspect="1"/>
          </xdr:cNvSpPr>
        </xdr:nvSpPr>
        <xdr:spPr>
          <a:xfrm>
            <a:off x="1181101" y="50518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PLAN ESTRATEGICO Y SEGUIMIENTO</a:t>
            </a:r>
            <a:r>
              <a:rPr lang="es-ES" sz="1100" b="1" baseline="0">
                <a:solidFill>
                  <a:srgbClr val="000000"/>
                </a:solidFill>
                <a:effectLst/>
                <a:latin typeface="Arial" panose="020B0604020202020204" pitchFamily="34" charset="0"/>
                <a:ea typeface="Times New Roman" panose="02020603050405020304" pitchFamily="18" charset="0"/>
              </a:rPr>
              <a:t> A LA GESTIÓN</a:t>
            </a:r>
            <a:endParaRPr lang="es-CO" sz="1200">
              <a:effectLst/>
              <a:latin typeface="Times New Roman" panose="02020603050405020304" pitchFamily="18" charset="0"/>
              <a:ea typeface="Times New Roman" panose="02020603050405020304" pitchFamily="18" charset="0"/>
            </a:endParaRPr>
          </a:p>
        </xdr:txBody>
      </xdr:sp>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152400" y="28934"/>
            <a:ext cx="910590" cy="952501"/>
          </a:xfrm>
          <a:prstGeom prst="rect">
            <a:avLst/>
          </a:prstGeom>
          <a:ln>
            <a:noFill/>
          </a:ln>
          <a:extLst>
            <a:ext uri="{53640926-AAD7-44D8-BBD7-CCE9431645EC}">
              <a14:shadowObscured xmlns:a14="http://schemas.microsoft.com/office/drawing/2010/main"/>
            </a:ext>
          </a:extLst>
        </xdr:spPr>
      </xdr:pic>
      <xdr:sp macro="" textlink="">
        <xdr:nvSpPr>
          <xdr:cNvPr id="7" name="CuadroTexto 6">
            <a:extLst>
              <a:ext uri="{FF2B5EF4-FFF2-40B4-BE49-F238E27FC236}">
                <a16:creationId xmlns:a16="http://schemas.microsoft.com/office/drawing/2014/main" id="{00000000-0008-0000-0000-000007000000}"/>
              </a:ext>
            </a:extLst>
          </xdr:cNvPr>
          <xdr:cNvSpPr txBox="1">
            <a:spLocks noChangeAspect="1"/>
          </xdr:cNvSpPr>
        </xdr:nvSpPr>
        <xdr:spPr>
          <a:xfrm>
            <a:off x="4876800" y="35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Código: FO-PL-004</a:t>
            </a:r>
            <a:endParaRPr lang="es-CO" sz="1200">
              <a:effectLst/>
              <a:latin typeface="Times New Roman" panose="02020603050405020304" pitchFamily="18" charset="0"/>
              <a:ea typeface="Times New Roman" panose="02020603050405020304" pitchFamily="18" charset="0"/>
            </a:endParaRPr>
          </a:p>
        </xdr:txBody>
      </xdr:sp>
      <xdr:sp macro="" textlink="">
        <xdr:nvSpPr>
          <xdr:cNvPr id="8" name="CuadroTexto 7">
            <a:extLst>
              <a:ext uri="{FF2B5EF4-FFF2-40B4-BE49-F238E27FC236}">
                <a16:creationId xmlns:a16="http://schemas.microsoft.com/office/drawing/2014/main" id="{00000000-0008-0000-0000-000008000000}"/>
              </a:ext>
            </a:extLst>
          </xdr:cNvPr>
          <xdr:cNvSpPr txBox="1">
            <a:spLocks noChangeAspect="1"/>
          </xdr:cNvSpPr>
        </xdr:nvSpPr>
        <xdr:spPr>
          <a:xfrm>
            <a:off x="4876800" y="33373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Versión: 01</a:t>
            </a:r>
            <a:endParaRPr lang="es-CO" sz="1200">
              <a:effectLst/>
              <a:latin typeface="Times New Roman" panose="02020603050405020304" pitchFamily="18" charset="0"/>
              <a:ea typeface="Times New Roman" panose="02020603050405020304" pitchFamily="18" charset="0"/>
            </a:endParaRPr>
          </a:p>
        </xdr:txBody>
      </xdr:sp>
      <xdr:sp macro="" textlink="">
        <xdr:nvSpPr>
          <xdr:cNvPr id="9" name="CuadroTexto 8">
            <a:extLst>
              <a:ext uri="{FF2B5EF4-FFF2-40B4-BE49-F238E27FC236}">
                <a16:creationId xmlns:a16="http://schemas.microsoft.com/office/drawing/2014/main" id="{00000000-0008-0000-0000-000009000000}"/>
              </a:ext>
            </a:extLst>
          </xdr:cNvPr>
          <xdr:cNvSpPr txBox="1">
            <a:spLocks noChangeAspect="1"/>
          </xdr:cNvSpPr>
        </xdr:nvSpPr>
        <xdr:spPr>
          <a:xfrm>
            <a:off x="4876800" y="66710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000" b="1">
                <a:solidFill>
                  <a:srgbClr val="000000"/>
                </a:solidFill>
                <a:effectLst/>
                <a:latin typeface="Arial" panose="020B0604020202020204" pitchFamily="34" charset="0"/>
                <a:ea typeface="Times New Roman" panose="02020603050405020304" pitchFamily="18" charset="0"/>
              </a:rPr>
              <a:t>Fecha: noviembre 2023</a:t>
            </a:r>
            <a:endParaRPr lang="es-CO" sz="1200">
              <a:effectLst/>
              <a:latin typeface="Times New Roman" panose="02020603050405020304" pitchFamily="18" charset="0"/>
              <a:ea typeface="Times New Roman" panose="02020603050405020304" pitchFamily="18"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123825</xdr:colOff>
      <xdr:row>1</xdr:row>
      <xdr:rowOff>9525</xdr:rowOff>
    </xdr:from>
    <xdr:to>
      <xdr:col>10</xdr:col>
      <xdr:colOff>123825</xdr:colOff>
      <xdr:row>11</xdr:row>
      <xdr:rowOff>336550</xdr:rowOff>
    </xdr:to>
    <xdr:graphicFrame macro="">
      <xdr:nvGraphicFramePr>
        <xdr:cNvPr id="3" name="Gráfico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79375</xdr:colOff>
      <xdr:row>12</xdr:row>
      <xdr:rowOff>79375</xdr:rowOff>
    </xdr:from>
    <xdr:to>
      <xdr:col>10</xdr:col>
      <xdr:colOff>79375</xdr:colOff>
      <xdr:row>22</xdr:row>
      <xdr:rowOff>60325</xdr:rowOff>
    </xdr:to>
    <xdr:graphicFrame macro="">
      <xdr:nvGraphicFramePr>
        <xdr:cNvPr id="4" name="Gráfico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212724</xdr:colOff>
      <xdr:row>0</xdr:row>
      <xdr:rowOff>69850</xdr:rowOff>
    </xdr:from>
    <xdr:to>
      <xdr:col>11</xdr:col>
      <xdr:colOff>749299</xdr:colOff>
      <xdr:row>19</xdr:row>
      <xdr:rowOff>72850</xdr:rowOff>
    </xdr:to>
    <xdr:graphicFrame macro="">
      <xdr:nvGraphicFramePr>
        <xdr:cNvPr id="3" name="Gráfico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79375</xdr:colOff>
      <xdr:row>0</xdr:row>
      <xdr:rowOff>47625</xdr:rowOff>
    </xdr:from>
    <xdr:to>
      <xdr:col>19</xdr:col>
      <xdr:colOff>714375</xdr:colOff>
      <xdr:row>19</xdr:row>
      <xdr:rowOff>50625</xdr:rowOff>
    </xdr:to>
    <xdr:graphicFrame macro="">
      <xdr:nvGraphicFramePr>
        <xdr:cNvPr id="4" name="Gráfico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150812</xdr:colOff>
      <xdr:row>0</xdr:row>
      <xdr:rowOff>57150</xdr:rowOff>
    </xdr:from>
    <xdr:to>
      <xdr:col>28</xdr:col>
      <xdr:colOff>31749</xdr:colOff>
      <xdr:row>19</xdr:row>
      <xdr:rowOff>60150</xdr:rowOff>
    </xdr:to>
    <xdr:graphicFrame macro="">
      <xdr:nvGraphicFramePr>
        <xdr:cNvPr id="5" name="Gráfico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103188</xdr:colOff>
      <xdr:row>0</xdr:row>
      <xdr:rowOff>88898</xdr:rowOff>
    </xdr:from>
    <xdr:to>
      <xdr:col>36</xdr:col>
      <xdr:colOff>698500</xdr:colOff>
      <xdr:row>19</xdr:row>
      <xdr:rowOff>91898</xdr:rowOff>
    </xdr:to>
    <xdr:graphicFrame macro="">
      <xdr:nvGraphicFramePr>
        <xdr:cNvPr id="6" name="Gráfico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166687</xdr:colOff>
      <xdr:row>25</xdr:row>
      <xdr:rowOff>63500</xdr:rowOff>
    </xdr:from>
    <xdr:to>
      <xdr:col>12</xdr:col>
      <xdr:colOff>142874</xdr:colOff>
      <xdr:row>37</xdr:row>
      <xdr:rowOff>130000</xdr:rowOff>
    </xdr:to>
    <xdr:graphicFrame macro="">
      <xdr:nvGraphicFramePr>
        <xdr:cNvPr id="7" name="Gráfico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325437</xdr:colOff>
      <xdr:row>25</xdr:row>
      <xdr:rowOff>57149</xdr:rowOff>
    </xdr:from>
    <xdr:to>
      <xdr:col>20</xdr:col>
      <xdr:colOff>142874</xdr:colOff>
      <xdr:row>37</xdr:row>
      <xdr:rowOff>123649</xdr:rowOff>
    </xdr:to>
    <xdr:graphicFrame macro="">
      <xdr:nvGraphicFramePr>
        <xdr:cNvPr id="8" name="Gráfico 7">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373062</xdr:colOff>
      <xdr:row>25</xdr:row>
      <xdr:rowOff>184149</xdr:rowOff>
    </xdr:from>
    <xdr:to>
      <xdr:col>28</xdr:col>
      <xdr:colOff>190499</xdr:colOff>
      <xdr:row>37</xdr:row>
      <xdr:rowOff>250649</xdr:rowOff>
    </xdr:to>
    <xdr:graphicFrame macro="">
      <xdr:nvGraphicFramePr>
        <xdr:cNvPr id="9" name="Gráfico 8">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708025</xdr:colOff>
      <xdr:row>3</xdr:row>
      <xdr:rowOff>133350</xdr:rowOff>
    </xdr:from>
    <xdr:to>
      <xdr:col>9</xdr:col>
      <xdr:colOff>708025</xdr:colOff>
      <xdr:row>19</xdr:row>
      <xdr:rowOff>31750</xdr:rowOff>
    </xdr:to>
    <xdr:graphicFrame macro="">
      <xdr:nvGraphicFramePr>
        <xdr:cNvPr id="2" name="Gráfico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1434348</xdr:colOff>
      <xdr:row>0</xdr:row>
      <xdr:rowOff>60386</xdr:rowOff>
    </xdr:from>
    <xdr:to>
      <xdr:col>1</xdr:col>
      <xdr:colOff>1868264</xdr:colOff>
      <xdr:row>0</xdr:row>
      <xdr:rowOff>463798</xdr:rowOff>
    </xdr:to>
    <xdr:sp macro="" textlink="">
      <xdr:nvSpPr>
        <xdr:cNvPr id="3" name="Flecha a la derecha con bandas 2">
          <a:hlinkClick xmlns:r="http://schemas.openxmlformats.org/officeDocument/2006/relationships" r:id="rId1"/>
          <a:extLst>
            <a:ext uri="{FF2B5EF4-FFF2-40B4-BE49-F238E27FC236}">
              <a16:creationId xmlns:a16="http://schemas.microsoft.com/office/drawing/2014/main" id="{00000000-0008-0000-0A00-000003000000}"/>
            </a:ext>
          </a:extLst>
        </xdr:cNvPr>
        <xdr:cNvSpPr/>
      </xdr:nvSpPr>
      <xdr:spPr>
        <a:xfrm>
          <a:off x="1815348" y="60386"/>
          <a:ext cx="433916" cy="403412"/>
        </a:xfrm>
        <a:prstGeom prst="stripedRightArrow">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753277</xdr:colOff>
      <xdr:row>0</xdr:row>
      <xdr:rowOff>56530</xdr:rowOff>
    </xdr:from>
    <xdr:to>
      <xdr:col>1</xdr:col>
      <xdr:colOff>1180844</xdr:colOff>
      <xdr:row>0</xdr:row>
      <xdr:rowOff>459942</xdr:rowOff>
    </xdr:to>
    <xdr:sp macro="" textlink="">
      <xdr:nvSpPr>
        <xdr:cNvPr id="4" name="Flecha a la derecha con bandas 3">
          <a:hlinkClick xmlns:r="http://schemas.openxmlformats.org/officeDocument/2006/relationships" r:id="rId2"/>
          <a:extLst>
            <a:ext uri="{FF2B5EF4-FFF2-40B4-BE49-F238E27FC236}">
              <a16:creationId xmlns:a16="http://schemas.microsoft.com/office/drawing/2014/main" id="{00000000-0008-0000-0A00-000004000000}"/>
            </a:ext>
          </a:extLst>
        </xdr:cNvPr>
        <xdr:cNvSpPr/>
      </xdr:nvSpPr>
      <xdr:spPr>
        <a:xfrm flipH="1">
          <a:off x="1134277" y="56530"/>
          <a:ext cx="427567" cy="403412"/>
        </a:xfrm>
        <a:prstGeom prst="striped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476250</xdr:colOff>
      <xdr:row>1</xdr:row>
      <xdr:rowOff>171450</xdr:rowOff>
    </xdr:from>
    <xdr:to>
      <xdr:col>2</xdr:col>
      <xdr:colOff>103717</xdr:colOff>
      <xdr:row>3</xdr:row>
      <xdr:rowOff>70037</xdr:rowOff>
    </xdr:to>
    <xdr:sp macro="" textlink="">
      <xdr:nvSpPr>
        <xdr:cNvPr id="2" name="Flecha a la derecha con bandas 1">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flipH="1">
          <a:off x="733425" y="333375"/>
          <a:ext cx="427567" cy="422462"/>
        </a:xfrm>
        <a:prstGeom prst="striped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885266</xdr:colOff>
      <xdr:row>4</xdr:row>
      <xdr:rowOff>129987</xdr:rowOff>
    </xdr:from>
    <xdr:to>
      <xdr:col>11</xdr:col>
      <xdr:colOff>156883</xdr:colOff>
      <xdr:row>20</xdr:row>
      <xdr:rowOff>145674</xdr:rowOff>
    </xdr:to>
    <xdr:graphicFrame macro="">
      <xdr:nvGraphicFramePr>
        <xdr:cNvPr id="3" name="Gráfico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laneacion/Desktop/1.%20Planeaci&#243;n/Plan%20de%20acci&#243;n%202023/FUG%202023/PROGRAMAS/ADMINISTRACI&#211;N%20DE%20EMPRESA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laneacion/Desktop/1.%20Planeaci&#243;n/Plan%20de%20acci&#243;n%202023/FUG%202023/PROGRAMAS/ARQUITECTURA%20PO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dir.arquitectura/Downloads/V.5%20FO-PL-007%20FUG%20AREAS-DECANATURAS-PROGRAMAS%20ARQUITECTURA%201%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direccion.planeacion/Desktop/1.%20Planeaci&#243;n/Plan%20de%20acci&#243;n%202023/FUG%202023/FACULTADES/FAC%20INGENIERIAS%20Y%20ARQUITECTURA.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direccion.planeacion/Desktop/1.%20Planeaci&#243;n/Plan%20de%20acci&#243;n%202023/1.%20FUG%20FINALES%202023/FACULTADES/FAC.%20CIENCIAS%20SOCIALES%20Y%20HUMANA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direccion.planeacion/Desktop/1.%20Planeaci&#243;n/Plan%20de%20acci&#243;n%202023/1.%20FUG%20FINALES%202023/FACULTADES/FAC.%20FACECA.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direccion.planeacion/Desktop/1.%20Planeaci&#243;n/Plan%20de%20acci&#243;n%202023/1.%20FUG%20FINALES%202023/ESPECIALIZACIONES/ESP%20DERECHO%20CONSTITUCIONAL.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direccion.planeacion/Desktop/1.%20Planeaci&#243;n/Plan%20de%20acci&#243;n%202023/1.%20FUG%20FINALES%202023/ESPECIALIZACIONES/ESP%20DERECHO%20PROCESAL.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direccion.planeacion/Desktop/1.%20Planeaci&#243;n/Plan%20de%20acci&#243;n%202023/1.%20FUG%20FINALES%202023/ESPECIALIZACIONES/ESP%20GERENCIA%20SOCIAL.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direccion.planeacion/Desktop/1.%20Planeaci&#243;n/Plan%20de%20acci&#243;n%202023/1.%20FUG%20FINALES%202023/ESPECIALIZACIONES/ESP%20GERENCIA%20TH.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direccion.planeacion/Desktop/1.%20Planeaci&#243;n/Plan%20de%20acci&#243;n%202023/1.%20FUG%20FINALES%202023/ESPECIALIZACIONES/ESP%20PSICOLOGIA%20SOCIAL%20COMUNITARI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direccion.planeacion/Desktop/1.%20Planeaci&#243;n/Plan%20de%20acci&#243;n%202023/1.%20FUG%20FINALES%202023/AREAS/VICE%20ACAD&#201;MIC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direccion.planeacion/Desktop/1.%20Planeaci&#243;n/Plan%20de%20acci&#243;n%202023/1.%20FUG%20FINALES%202023/AREAS/UNIVID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direccion.planeacion/Desktop/1.%20Planeaci&#243;n/Plan%20de%20acci&#243;n%202023/1.%20FUG%20FINALES%202023/AREAS/EFTDH%20INFORMU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direccion.planeacion/Desktop/1.%20Planeaci&#243;n/Plan%20de%20acci&#243;n%202023/1.%20FUG%20FINALES%202023/ESPECIALIZACIONES/ESP.%20EDUCATIV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direccion.planeacion/Desktop/1.%20Planeaci&#243;n/Plan%20de%20acci&#243;n%202023/1.%20FUG%20FINALES%202023/ESPECIALIZACIONES/ESP%20DATA%20ANALYTICS.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direccion.planeacion/Desktop/1.%20Planeaci&#243;n/Plan%20de%20acci&#243;n%202023/1.%20FUG%20FINALES%202023/FACULTADES/FAC.%20DE%20EDUCACI&#211;N.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direccion.planeacion/Desktop/1.%20Planeaci&#243;n/Plan%20de%20acci&#243;n%202023/1.%20FUG%20FINALES%202023/PROGRAMAS/ADEMAGRO.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direccion.planeacion/Desktop/1.%20Planeaci&#243;n/Plan%20de%20acci&#243;n%202023/1.%20FUG%20FINALES%202023/FACULTADES/FAC.%20AGRARIAS%20Y%20AMBIENTALES.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Planeacion/Downloads/Trabajo%20Social%20Santander%20de%20Quilichao%20(Sin%20Presupuesto%20Aprobado).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Planeacion/Desktop/1.%20Planeaci&#243;n/Plan%20de%20acci&#243;n%202023/FUG%202023/PROGRAMAS/Trabajo_social_Popay&#225;n_Presencial_2023.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Planeacion/Desktop/1.%20Planeaci&#243;n/Plan%20de%20acci&#243;n%202023/FUG%202023/PROGRAMAS/PSICOLOG&#205;A%20SDER.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Planeacion/Desktop/1.%20Planeaci&#243;n/Plan%20de%20acci&#243;n%202023/FUG%202023/PROGRAMAS/LICENCIATURA%20POP.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Planeacion/Desktop/1.%20Planeaci&#243;n/Plan%20de%20acci&#243;n%202023/FUG%202023/PROGRAMAS/ING.%20INDUSTRIAL%20SDER.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Planeacion/Desktop/1.%20Planeaci&#243;n/Plan%20de%20acci&#243;n%202023/FUG%202023/PROGRAMAS/DERECHO%20SDER.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Planeacion/Desktop/1.%20Planeaci&#243;n/Plan%20de%20acci&#243;n%202023/FUG%202023/PROGRAMAS/Comunicaci&#243;n_Social_Presencial_2023.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Planeacion/Desktop/1.%20Planeaci&#243;n/Plan%20de%20acci&#243;n%202023/FUG%202023/PROGRAMAS/COMUNICACI&#211;N%20VIRTUAL.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ers/Planeacion/Desktop/1.%20Planeaci&#243;n/Plan%20de%20acci&#243;n%202023/FUG%202023/PROGRAMAS/ADEMAGRO%20VIRTU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alarial"/>
      <sheetName val="Convencionales"/>
      <sheetName val="INI"/>
      <sheetName val="ADM"/>
      <sheetName val="PRE"/>
      <sheetName val="POS"/>
      <sheetName val="DOC"/>
      <sheetName val="INV"/>
      <sheetName val="EXT"/>
      <sheetName val="COM"/>
      <sheetName val="M&amp;E"/>
      <sheetName val="RES"/>
      <sheetName val="velGr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
      <sheetName val="ADM"/>
      <sheetName val="PRE"/>
      <sheetName val="POS"/>
      <sheetName val="DOC"/>
      <sheetName val="INV"/>
      <sheetName val="EXT"/>
      <sheetName val="COM"/>
      <sheetName val="M&amp;E"/>
      <sheetName val="RES"/>
      <sheetName val="velGr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
      <sheetName val="ADM"/>
      <sheetName val="PRE"/>
      <sheetName val="POS"/>
      <sheetName val="DOC"/>
      <sheetName val="INV"/>
      <sheetName val="EXT"/>
      <sheetName val="COM"/>
      <sheetName val="M&amp;E"/>
      <sheetName val="RES"/>
      <sheetName val="velGr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
      <sheetName val="ADM"/>
      <sheetName val="PRE"/>
      <sheetName val="POS"/>
      <sheetName val="DOC"/>
      <sheetName val="INV"/>
      <sheetName val="EXT"/>
      <sheetName val="COM"/>
      <sheetName val="M&amp;E"/>
      <sheetName val="RES"/>
      <sheetName val="velGr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
      <sheetName val="ADM"/>
      <sheetName val="PRE"/>
      <sheetName val="POS"/>
      <sheetName val="DOC"/>
      <sheetName val="INV"/>
      <sheetName val="EXT"/>
      <sheetName val="COM"/>
      <sheetName val="M&amp;E"/>
      <sheetName val="RES"/>
      <sheetName val="velGr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
      <sheetName val="ADM"/>
      <sheetName val="PRE"/>
      <sheetName val="POS"/>
      <sheetName val="DOC"/>
      <sheetName val="INV"/>
      <sheetName val="EXT"/>
      <sheetName val="COM"/>
      <sheetName val="M&amp;E"/>
      <sheetName val="RES"/>
      <sheetName val="velGr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
      <sheetName val="ADM"/>
      <sheetName val="PRE"/>
      <sheetName val="POS"/>
      <sheetName val="DOC"/>
      <sheetName val="INV"/>
      <sheetName val="EXT"/>
      <sheetName val="COM"/>
      <sheetName val="M&amp;E"/>
      <sheetName val="RES"/>
      <sheetName val="velGr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
      <sheetName val="ADM"/>
      <sheetName val="PRE"/>
      <sheetName val="POS"/>
      <sheetName val="DOC"/>
      <sheetName val="INV"/>
      <sheetName val="EXT"/>
      <sheetName val="COM"/>
      <sheetName val="M&amp;E"/>
      <sheetName val="RES"/>
      <sheetName val="velGr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
      <sheetName val="ADM"/>
      <sheetName val="PRE"/>
      <sheetName val="POS"/>
      <sheetName val="DOC"/>
      <sheetName val="INV"/>
      <sheetName val="EXT"/>
      <sheetName val="COM"/>
      <sheetName val="M&amp;E"/>
      <sheetName val="RES"/>
      <sheetName val="velGr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
      <sheetName val="ADM"/>
      <sheetName val="PRE"/>
      <sheetName val="POS"/>
      <sheetName val="INV"/>
      <sheetName val="DOC"/>
      <sheetName val="EXT"/>
      <sheetName val="COM"/>
      <sheetName val="M&amp;E"/>
      <sheetName val="RES"/>
      <sheetName val="velGr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
      <sheetName val="ADM"/>
      <sheetName val="PRE"/>
      <sheetName val="POS"/>
      <sheetName val="DOC"/>
      <sheetName val="INV"/>
      <sheetName val="EXT"/>
      <sheetName val="COM"/>
      <sheetName val="M&amp;E"/>
      <sheetName val="RES"/>
      <sheetName val="velGr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
      <sheetName val="ADM"/>
      <sheetName val="PRE"/>
      <sheetName val="POS"/>
      <sheetName val="DOC"/>
      <sheetName val="INV"/>
      <sheetName val="EXT"/>
      <sheetName val="COM"/>
      <sheetName val="M&amp;E"/>
      <sheetName val="RES"/>
      <sheetName val="velGr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
      <sheetName val="ADM"/>
      <sheetName val="PRE"/>
      <sheetName val="POS"/>
      <sheetName val="DOC"/>
      <sheetName val="INV"/>
      <sheetName val="EXT"/>
      <sheetName val="COM"/>
      <sheetName val="M&amp;E"/>
      <sheetName val="RES"/>
      <sheetName val="velGr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
      <sheetName val="ADM"/>
      <sheetName val="PRE"/>
      <sheetName val="POS"/>
      <sheetName val="DOC"/>
      <sheetName val="INV"/>
      <sheetName val="EXT"/>
      <sheetName val="COM"/>
      <sheetName val="M&amp;E"/>
      <sheetName val="RES"/>
      <sheetName val="velGr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
      <sheetName val="ADM"/>
      <sheetName val="PRE"/>
      <sheetName val="POS"/>
      <sheetName val="DOC"/>
      <sheetName val="INV"/>
      <sheetName val="EXT"/>
      <sheetName val="COM"/>
      <sheetName val="M&amp;E"/>
      <sheetName val="RES"/>
      <sheetName val="velGr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
      <sheetName val="ADM"/>
      <sheetName val="PRE"/>
      <sheetName val="POS"/>
      <sheetName val="DOC"/>
      <sheetName val="INV"/>
      <sheetName val="EXT"/>
      <sheetName val="COM"/>
      <sheetName val="M&amp;E"/>
      <sheetName val="RES"/>
      <sheetName val="velGr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
      <sheetName val="ADM"/>
      <sheetName val="PRE"/>
      <sheetName val="POS"/>
      <sheetName val="DOC"/>
      <sheetName val="INV"/>
      <sheetName val="EXT"/>
      <sheetName val="COM"/>
      <sheetName val="M&amp;E"/>
      <sheetName val="RES"/>
      <sheetName val="velGr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fupedu-my.sharepoint.com/:w:/g/personal/bienestar_fup_edu_co/EQAazrsDlzZOtPYiy73tkYMBvnkLFlaRpkZOR-5r1RDzXg?e=Z66F1M" TargetMode="External"/><Relationship Id="rId13" Type="http://schemas.openxmlformats.org/officeDocument/2006/relationships/hyperlink" Target="https://fupedu-my.sharepoint.com/:w:/g/personal/bienestar_fup_edu_co/EYisDXH__zBCuPLFRo9KolEB_rqC00Iyg598g1MWTHQ7bQ?e=oR4B8J" TargetMode="External"/><Relationship Id="rId3" Type="http://schemas.openxmlformats.org/officeDocument/2006/relationships/hyperlink" Target="https://fupedu-my.sharepoint.com/:w:/g/personal/bienestar_fup_edu_co/EXVpKlQPJV9Pm7jCTNRcWRgBL3A37X6U-xs9-03xcNqPPQ?e=eeMhn8" TargetMode="External"/><Relationship Id="rId7" Type="http://schemas.openxmlformats.org/officeDocument/2006/relationships/hyperlink" Target="https://fupedu-my.sharepoint.com/:w:/g/personal/bienestar_fup_edu_co/EWuYSryU8rBEj1uiEy82-TUBZnwiU9TGGZpJyIYmLF_YXw?e=aoovRE" TargetMode="External"/><Relationship Id="rId12" Type="http://schemas.openxmlformats.org/officeDocument/2006/relationships/hyperlink" Target="https://fupedu-my.sharepoint.com/:w:/g/personal/bienestar_fup_edu_co/EeLpDCQy_RtOh7OBJYmpjkEB1z3KG_wiWj0_Pl-virRnGQ?e=8eNPqe" TargetMode="External"/><Relationship Id="rId17" Type="http://schemas.openxmlformats.org/officeDocument/2006/relationships/comments" Target="../comments1.xml"/><Relationship Id="rId2" Type="http://schemas.openxmlformats.org/officeDocument/2006/relationships/hyperlink" Target="https://fupedu-my.sharepoint.com/:w:/g/personal/bienestar_fup_edu_co/EZKDVUUEPi5EohcqjdtShd8Bid6PpVN4c3fz9acOoZd3Og?e=5aB2qh" TargetMode="External"/><Relationship Id="rId16" Type="http://schemas.openxmlformats.org/officeDocument/2006/relationships/vmlDrawing" Target="../drawings/vmlDrawing2.vml"/><Relationship Id="rId1" Type="http://schemas.openxmlformats.org/officeDocument/2006/relationships/hyperlink" Target="https://fupedu-my.sharepoint.com/:w:/g/personal/bienestar_fup_edu_co/Ebez0QCGlQJGrUyi2JJ-niMBHP3H0eXAu8THDK1PhpNsfA?e=J1eYtB" TargetMode="External"/><Relationship Id="rId6" Type="http://schemas.openxmlformats.org/officeDocument/2006/relationships/hyperlink" Target="https://fupedu-my.sharepoint.com/:w:/g/personal/bienestar_fup_edu_co/EYAqHHc3gMJDpHq1rWFIjJMBDpvdRNd8SfxpyVy4Qis1vw?e=2q0Q34" TargetMode="External"/><Relationship Id="rId11" Type="http://schemas.openxmlformats.org/officeDocument/2006/relationships/hyperlink" Target="https://fupedu-my.sharepoint.com/:x:/g/personal/bienestar_fup_edu_co/EYsN3FcyZctNv7DEsN4sUekBerRYg_yWR0gGBYKIsn_VZg?e=7vjgRm" TargetMode="External"/><Relationship Id="rId5" Type="http://schemas.openxmlformats.org/officeDocument/2006/relationships/hyperlink" Target="https://fupedu-my.sharepoint.com/:w:/g/personal/bienestar_fup_edu_co/ERBXTPqblX1CpLcPfuYPgc0BfrpmEtVsDa1Pt10SxRgktg?e=eBdhcE" TargetMode="External"/><Relationship Id="rId15" Type="http://schemas.openxmlformats.org/officeDocument/2006/relationships/drawing" Target="../drawings/drawing4.xml"/><Relationship Id="rId10" Type="http://schemas.openxmlformats.org/officeDocument/2006/relationships/hyperlink" Target="https://fupedu-my.sharepoint.com/:w:/g/personal/bienestar_fup_edu_co/EfrxsC0PwelNnUbaUgBduBkB3kQJZby4_6tfwanmVw-iCQ?e=AV5cd5" TargetMode="External"/><Relationship Id="rId4" Type="http://schemas.openxmlformats.org/officeDocument/2006/relationships/hyperlink" Target="https://fupedu-my.sharepoint.com/:w:/g/personal/bienestar_fup_edu_co/EdUF9eh-Oo1IvK60HEQJ9-YBSBZOAEGWT7d9SKk0GZn99Q?e=p9XERJ" TargetMode="External"/><Relationship Id="rId9" Type="http://schemas.openxmlformats.org/officeDocument/2006/relationships/hyperlink" Target="https://fupedu-my.sharepoint.com/:w:/g/personal/bienestar_fup_edu_co/EV1T5nQez-RKi98Pp5cOTpEBbXgFjemsBSTvVkpZ9dsaLQ?e=rwU2yI" TargetMode="External"/><Relationship Id="rId1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9"/>
  <sheetViews>
    <sheetView showGridLines="0" topLeftCell="N208" zoomScale="115" zoomScaleNormal="115" workbookViewId="0">
      <selection activeCell="N219" sqref="N219"/>
    </sheetView>
  </sheetViews>
  <sheetFormatPr baseColWidth="10" defaultColWidth="11.28515625" defaultRowHeight="12" customHeight="1" x14ac:dyDescent="0.15"/>
  <cols>
    <col min="1" max="1" width="19.140625" style="203" customWidth="1"/>
    <col min="2" max="3" width="11.28515625" style="203"/>
    <col min="4" max="4" width="9" style="203" customWidth="1"/>
    <col min="5" max="5" width="7" style="203" customWidth="1"/>
    <col min="6" max="6" width="11.28515625" style="203"/>
    <col min="7" max="7" width="16.5703125" style="203" customWidth="1"/>
    <col min="8" max="9" width="11.28515625" style="203"/>
    <col min="10" max="10" width="24.42578125" style="203" customWidth="1"/>
    <col min="11" max="13" width="11.28515625" style="203"/>
    <col min="14" max="14" width="36.5703125" style="203" customWidth="1"/>
    <col min="15" max="15" width="27.85546875" style="203" customWidth="1"/>
    <col min="16" max="16384" width="11.28515625" style="203"/>
  </cols>
  <sheetData>
    <row r="1" spans="1:15" ht="12" customHeight="1" x14ac:dyDescent="0.15">
      <c r="G1" s="203" t="s">
        <v>667</v>
      </c>
    </row>
    <row r="2" spans="1:15" ht="12" customHeight="1" x14ac:dyDescent="0.15">
      <c r="B2" s="203" t="s">
        <v>14</v>
      </c>
      <c r="D2" s="204" t="s">
        <v>41</v>
      </c>
      <c r="E2" s="204" t="s">
        <v>42</v>
      </c>
      <c r="F2" s="204" t="s">
        <v>43</v>
      </c>
      <c r="G2" s="205" t="s">
        <v>14</v>
      </c>
      <c r="H2" s="205"/>
      <c r="I2" s="206" t="s">
        <v>120</v>
      </c>
      <c r="K2" s="206" t="s">
        <v>127</v>
      </c>
      <c r="M2" s="206" t="s">
        <v>175</v>
      </c>
      <c r="O2" s="206" t="s">
        <v>342</v>
      </c>
    </row>
    <row r="3" spans="1:15" ht="12" customHeight="1" x14ac:dyDescent="0.15">
      <c r="A3" s="203" t="s">
        <v>14</v>
      </c>
      <c r="B3" s="203" t="s">
        <v>5</v>
      </c>
      <c r="C3" s="203" t="s">
        <v>14</v>
      </c>
      <c r="D3" s="203">
        <v>1</v>
      </c>
      <c r="E3" s="203" t="s">
        <v>44</v>
      </c>
      <c r="F3" s="203">
        <v>2019</v>
      </c>
      <c r="G3" s="205" t="s">
        <v>396</v>
      </c>
      <c r="I3" s="207" t="s">
        <v>14</v>
      </c>
      <c r="K3" s="203" t="s">
        <v>14</v>
      </c>
      <c r="M3" s="203" t="s">
        <v>14</v>
      </c>
      <c r="O3" s="203" t="s">
        <v>14</v>
      </c>
    </row>
    <row r="4" spans="1:15" ht="12" customHeight="1" x14ac:dyDescent="0.15">
      <c r="A4" s="203" t="s">
        <v>80</v>
      </c>
      <c r="B4" s="203" t="s">
        <v>6</v>
      </c>
      <c r="C4" s="203" t="s">
        <v>12</v>
      </c>
      <c r="D4" s="203">
        <v>2</v>
      </c>
      <c r="E4" s="203" t="s">
        <v>45</v>
      </c>
      <c r="F4" s="203">
        <v>2020</v>
      </c>
      <c r="G4" s="205" t="s">
        <v>101</v>
      </c>
      <c r="I4" s="203" t="s">
        <v>106</v>
      </c>
      <c r="K4" s="203" t="s">
        <v>126</v>
      </c>
      <c r="M4" s="203" t="s">
        <v>129</v>
      </c>
      <c r="O4" s="203" t="s">
        <v>267</v>
      </c>
    </row>
    <row r="5" spans="1:15" ht="12" customHeight="1" x14ac:dyDescent="0.15">
      <c r="A5" s="203" t="s">
        <v>94</v>
      </c>
      <c r="B5" s="203" t="s">
        <v>404</v>
      </c>
      <c r="C5" s="203" t="s">
        <v>13</v>
      </c>
      <c r="D5" s="203">
        <v>3</v>
      </c>
      <c r="E5" s="203" t="s">
        <v>46</v>
      </c>
      <c r="F5" s="203">
        <v>2021</v>
      </c>
      <c r="G5" s="205" t="s">
        <v>395</v>
      </c>
      <c r="I5" s="203" t="s">
        <v>107</v>
      </c>
      <c r="K5" s="203" t="s">
        <v>128</v>
      </c>
      <c r="M5" s="203" t="s">
        <v>130</v>
      </c>
      <c r="O5" s="203" t="s">
        <v>191</v>
      </c>
    </row>
    <row r="6" spans="1:15" ht="12" customHeight="1" x14ac:dyDescent="0.15">
      <c r="A6" s="203" t="s">
        <v>78</v>
      </c>
      <c r="C6" s="203" t="s">
        <v>10</v>
      </c>
      <c r="D6" s="203">
        <v>4</v>
      </c>
      <c r="E6" s="203" t="s">
        <v>47</v>
      </c>
      <c r="F6" s="203">
        <v>2022</v>
      </c>
      <c r="G6" s="205" t="s">
        <v>95</v>
      </c>
      <c r="I6" s="203" t="s">
        <v>108</v>
      </c>
      <c r="M6" s="203" t="s">
        <v>131</v>
      </c>
      <c r="O6" s="203" t="s">
        <v>337</v>
      </c>
    </row>
    <row r="7" spans="1:15" ht="12" customHeight="1" x14ac:dyDescent="0.15">
      <c r="A7" s="203" t="s">
        <v>79</v>
      </c>
      <c r="C7" s="203" t="s">
        <v>11</v>
      </c>
      <c r="D7" s="203">
        <v>5</v>
      </c>
      <c r="E7" s="203" t="s">
        <v>48</v>
      </c>
      <c r="F7" s="203">
        <v>2023</v>
      </c>
      <c r="G7" s="205" t="s">
        <v>24</v>
      </c>
      <c r="I7" s="203" t="s">
        <v>109</v>
      </c>
      <c r="M7" s="203" t="s">
        <v>124</v>
      </c>
      <c r="O7" s="203" t="s">
        <v>186</v>
      </c>
    </row>
    <row r="8" spans="1:15" ht="12" customHeight="1" x14ac:dyDescent="0.15">
      <c r="C8" s="203" t="s">
        <v>73</v>
      </c>
      <c r="D8" s="203">
        <v>6</v>
      </c>
      <c r="E8" s="203" t="s">
        <v>49</v>
      </c>
      <c r="G8" s="205" t="s">
        <v>102</v>
      </c>
      <c r="I8" s="203" t="s">
        <v>110</v>
      </c>
      <c r="M8" s="203" t="s">
        <v>132</v>
      </c>
      <c r="O8" s="203" t="s">
        <v>334</v>
      </c>
    </row>
    <row r="9" spans="1:15" ht="12" customHeight="1" x14ac:dyDescent="0.15">
      <c r="C9" s="203" t="s">
        <v>74</v>
      </c>
      <c r="D9" s="203">
        <v>7</v>
      </c>
      <c r="E9" s="203" t="s">
        <v>50</v>
      </c>
      <c r="G9" s="205" t="s">
        <v>25</v>
      </c>
      <c r="I9" s="203" t="s">
        <v>111</v>
      </c>
      <c r="M9" s="203" t="s">
        <v>133</v>
      </c>
      <c r="O9" s="203" t="s">
        <v>257</v>
      </c>
    </row>
    <row r="10" spans="1:15" ht="12" customHeight="1" x14ac:dyDescent="0.15">
      <c r="A10" s="203" t="s">
        <v>14</v>
      </c>
      <c r="C10" s="203" t="s">
        <v>253</v>
      </c>
      <c r="D10" s="203">
        <v>8</v>
      </c>
      <c r="E10" s="203" t="s">
        <v>51</v>
      </c>
      <c r="G10" s="205" t="s">
        <v>26</v>
      </c>
      <c r="I10" s="203" t="s">
        <v>112</v>
      </c>
      <c r="M10" s="203" t="s">
        <v>134</v>
      </c>
      <c r="O10" s="203" t="s">
        <v>405</v>
      </c>
    </row>
    <row r="11" spans="1:15" ht="12" customHeight="1" x14ac:dyDescent="0.15">
      <c r="A11" s="203" t="s">
        <v>94</v>
      </c>
      <c r="D11" s="203">
        <v>9</v>
      </c>
      <c r="E11" s="203" t="s">
        <v>52</v>
      </c>
      <c r="G11" s="205" t="s">
        <v>343</v>
      </c>
      <c r="I11" s="203" t="s">
        <v>113</v>
      </c>
      <c r="M11" s="203" t="s">
        <v>135</v>
      </c>
      <c r="O11" s="203" t="s">
        <v>340</v>
      </c>
    </row>
    <row r="12" spans="1:15" ht="12" customHeight="1" x14ac:dyDescent="0.15">
      <c r="A12" s="203" t="s">
        <v>78</v>
      </c>
      <c r="C12" s="203" t="s">
        <v>14</v>
      </c>
      <c r="D12" s="203">
        <v>10</v>
      </c>
      <c r="E12" s="203" t="s">
        <v>53</v>
      </c>
      <c r="G12" s="205" t="s">
        <v>389</v>
      </c>
      <c r="I12" s="203" t="s">
        <v>114</v>
      </c>
      <c r="M12" s="203" t="s">
        <v>456</v>
      </c>
      <c r="O12" s="203" t="s">
        <v>421</v>
      </c>
    </row>
    <row r="13" spans="1:15" ht="12" customHeight="1" x14ac:dyDescent="0.15">
      <c r="A13" s="203" t="s">
        <v>79</v>
      </c>
      <c r="C13" s="203" t="s">
        <v>8</v>
      </c>
      <c r="D13" s="203">
        <v>11</v>
      </c>
      <c r="E13" s="203" t="s">
        <v>54</v>
      </c>
      <c r="G13" s="205" t="s">
        <v>384</v>
      </c>
      <c r="I13" s="203" t="s">
        <v>115</v>
      </c>
      <c r="M13" s="203" t="s">
        <v>331</v>
      </c>
      <c r="O13" s="203" t="s">
        <v>333</v>
      </c>
    </row>
    <row r="14" spans="1:15" ht="12" customHeight="1" x14ac:dyDescent="0.15">
      <c r="C14" s="203" t="s">
        <v>9</v>
      </c>
      <c r="D14" s="203">
        <v>12</v>
      </c>
      <c r="E14" s="203" t="s">
        <v>55</v>
      </c>
      <c r="G14" s="203" t="s">
        <v>367</v>
      </c>
      <c r="I14" s="203" t="s">
        <v>116</v>
      </c>
      <c r="M14" s="203" t="s">
        <v>136</v>
      </c>
      <c r="O14" s="203" t="s">
        <v>185</v>
      </c>
    </row>
    <row r="15" spans="1:15" ht="12" customHeight="1" x14ac:dyDescent="0.15">
      <c r="A15" s="203" t="s">
        <v>14</v>
      </c>
      <c r="C15" s="203" t="s">
        <v>39</v>
      </c>
      <c r="D15" s="203">
        <v>13</v>
      </c>
      <c r="G15" s="203" t="s">
        <v>385</v>
      </c>
      <c r="I15" s="203" t="s">
        <v>117</v>
      </c>
      <c r="M15" s="203" t="s">
        <v>137</v>
      </c>
      <c r="O15" s="203" t="s">
        <v>183</v>
      </c>
    </row>
    <row r="16" spans="1:15" ht="12" customHeight="1" x14ac:dyDescent="0.15">
      <c r="A16" s="203" t="s">
        <v>254</v>
      </c>
      <c r="D16" s="203">
        <v>14</v>
      </c>
      <c r="G16" s="203" t="s">
        <v>400</v>
      </c>
      <c r="I16" s="203" t="s">
        <v>118</v>
      </c>
      <c r="M16" s="203" t="s">
        <v>263</v>
      </c>
      <c r="O16" s="203" t="s">
        <v>339</v>
      </c>
    </row>
    <row r="17" spans="1:15" ht="12" customHeight="1" x14ac:dyDescent="0.15">
      <c r="A17" s="203" t="s">
        <v>255</v>
      </c>
      <c r="D17" s="203">
        <v>15</v>
      </c>
      <c r="G17" s="203" t="s">
        <v>386</v>
      </c>
      <c r="I17" s="203" t="s">
        <v>119</v>
      </c>
      <c r="M17" s="203" t="s">
        <v>138</v>
      </c>
      <c r="O17" s="203" t="s">
        <v>192</v>
      </c>
    </row>
    <row r="18" spans="1:15" ht="12" customHeight="1" x14ac:dyDescent="0.15">
      <c r="D18" s="203">
        <v>16</v>
      </c>
      <c r="G18" s="203" t="s">
        <v>27</v>
      </c>
      <c r="M18" s="203" t="s">
        <v>139</v>
      </c>
      <c r="O18" s="203" t="s">
        <v>408</v>
      </c>
    </row>
    <row r="19" spans="1:15" ht="12" customHeight="1" x14ac:dyDescent="0.15">
      <c r="A19" s="203" t="s">
        <v>414</v>
      </c>
      <c r="D19" s="203">
        <v>17</v>
      </c>
      <c r="G19" s="203" t="s">
        <v>96</v>
      </c>
      <c r="M19" s="203" t="s">
        <v>140</v>
      </c>
      <c r="O19" s="203" t="s">
        <v>335</v>
      </c>
    </row>
    <row r="20" spans="1:15" ht="12" customHeight="1" x14ac:dyDescent="0.15">
      <c r="A20" s="203" t="s">
        <v>362</v>
      </c>
      <c r="D20" s="203">
        <v>18</v>
      </c>
      <c r="G20" s="203" t="s">
        <v>380</v>
      </c>
      <c r="M20" s="203" t="s">
        <v>141</v>
      </c>
      <c r="O20" s="203" t="s">
        <v>190</v>
      </c>
    </row>
    <row r="21" spans="1:15" ht="12" customHeight="1" x14ac:dyDescent="0.15">
      <c r="A21" s="203" t="s">
        <v>410</v>
      </c>
      <c r="D21" s="203">
        <v>19</v>
      </c>
      <c r="G21" s="203" t="s">
        <v>28</v>
      </c>
      <c r="M21" s="203" t="s">
        <v>142</v>
      </c>
      <c r="O21" s="203" t="s">
        <v>422</v>
      </c>
    </row>
    <row r="22" spans="1:15" ht="12" customHeight="1" x14ac:dyDescent="0.15">
      <c r="A22" s="203" t="s">
        <v>411</v>
      </c>
      <c r="D22" s="203">
        <v>20</v>
      </c>
      <c r="G22" s="203" t="s">
        <v>376</v>
      </c>
      <c r="M22" s="203" t="s">
        <v>256</v>
      </c>
      <c r="O22" s="203" t="s">
        <v>409</v>
      </c>
    </row>
    <row r="23" spans="1:15" ht="12" customHeight="1" x14ac:dyDescent="0.15">
      <c r="A23" s="203" t="s">
        <v>412</v>
      </c>
      <c r="D23" s="203">
        <v>21</v>
      </c>
      <c r="G23" s="203" t="s">
        <v>387</v>
      </c>
      <c r="M23" s="203" t="s">
        <v>143</v>
      </c>
      <c r="O23" s="203" t="s">
        <v>182</v>
      </c>
    </row>
    <row r="24" spans="1:15" ht="12" customHeight="1" x14ac:dyDescent="0.15">
      <c r="A24" s="203" t="s">
        <v>413</v>
      </c>
      <c r="D24" s="203">
        <v>22</v>
      </c>
      <c r="G24" s="203" t="s">
        <v>103</v>
      </c>
      <c r="M24" s="203" t="s">
        <v>144</v>
      </c>
      <c r="O24" s="203" t="s">
        <v>266</v>
      </c>
    </row>
    <row r="25" spans="1:15" ht="12" customHeight="1" x14ac:dyDescent="0.15">
      <c r="A25" s="203" t="s">
        <v>415</v>
      </c>
      <c r="D25" s="203">
        <v>23</v>
      </c>
      <c r="G25" s="203" t="s">
        <v>29</v>
      </c>
      <c r="M25" s="203" t="s">
        <v>145</v>
      </c>
      <c r="O25" s="203" t="s">
        <v>179</v>
      </c>
    </row>
    <row r="26" spans="1:15" ht="12" customHeight="1" x14ac:dyDescent="0.15">
      <c r="D26" s="203">
        <v>24</v>
      </c>
      <c r="G26" s="203" t="s">
        <v>402</v>
      </c>
      <c r="M26" s="203" t="s">
        <v>146</v>
      </c>
      <c r="O26" s="203" t="s">
        <v>348</v>
      </c>
    </row>
    <row r="27" spans="1:15" ht="12" customHeight="1" x14ac:dyDescent="0.15">
      <c r="D27" s="203">
        <v>25</v>
      </c>
      <c r="G27" s="203" t="s">
        <v>365</v>
      </c>
      <c r="M27" s="203" t="s">
        <v>147</v>
      </c>
      <c r="O27" s="203" t="s">
        <v>423</v>
      </c>
    </row>
    <row r="28" spans="1:15" ht="12" customHeight="1" x14ac:dyDescent="0.15">
      <c r="D28" s="203">
        <v>26</v>
      </c>
      <c r="G28" s="203" t="s">
        <v>30</v>
      </c>
      <c r="M28" s="203" t="s">
        <v>148</v>
      </c>
      <c r="O28" s="203" t="s">
        <v>424</v>
      </c>
    </row>
    <row r="29" spans="1:15" ht="12" customHeight="1" x14ac:dyDescent="0.15">
      <c r="D29" s="203">
        <v>27</v>
      </c>
      <c r="G29" s="203" t="s">
        <v>382</v>
      </c>
      <c r="M29" s="203" t="s">
        <v>149</v>
      </c>
      <c r="O29" s="203" t="s">
        <v>193</v>
      </c>
    </row>
    <row r="30" spans="1:15" ht="12" customHeight="1" x14ac:dyDescent="0.15">
      <c r="D30" s="203">
        <v>28</v>
      </c>
      <c r="G30" s="203" t="s">
        <v>391</v>
      </c>
      <c r="M30" s="203" t="s">
        <v>150</v>
      </c>
      <c r="O30" s="203" t="s">
        <v>338</v>
      </c>
    </row>
    <row r="31" spans="1:15" ht="12" customHeight="1" x14ac:dyDescent="0.15">
      <c r="D31" s="203">
        <v>29</v>
      </c>
      <c r="G31" s="203" t="s">
        <v>397</v>
      </c>
      <c r="M31" s="203" t="s">
        <v>151</v>
      </c>
      <c r="O31" s="203" t="s">
        <v>187</v>
      </c>
    </row>
    <row r="32" spans="1:15" ht="12" customHeight="1" x14ac:dyDescent="0.15">
      <c r="D32" s="203">
        <v>30</v>
      </c>
      <c r="G32" s="203" t="s">
        <v>368</v>
      </c>
      <c r="M32" s="203" t="s">
        <v>152</v>
      </c>
      <c r="O32" s="203" t="s">
        <v>425</v>
      </c>
    </row>
    <row r="33" spans="4:15" ht="12" customHeight="1" x14ac:dyDescent="0.15">
      <c r="D33" s="203">
        <v>31</v>
      </c>
      <c r="G33" s="203" t="s">
        <v>344</v>
      </c>
      <c r="M33" s="203" t="s">
        <v>153</v>
      </c>
      <c r="O33" s="203" t="s">
        <v>180</v>
      </c>
    </row>
    <row r="34" spans="4:15" ht="12" customHeight="1" x14ac:dyDescent="0.15">
      <c r="G34" s="203" t="s">
        <v>379</v>
      </c>
      <c r="M34" s="203" t="s">
        <v>154</v>
      </c>
      <c r="O34" s="203" t="s">
        <v>262</v>
      </c>
    </row>
    <row r="35" spans="4:15" ht="12" customHeight="1" x14ac:dyDescent="0.15">
      <c r="G35" s="203" t="s">
        <v>378</v>
      </c>
      <c r="M35" s="203" t="s">
        <v>155</v>
      </c>
      <c r="O35" s="203" t="s">
        <v>177</v>
      </c>
    </row>
    <row r="36" spans="4:15" ht="12" customHeight="1" x14ac:dyDescent="0.15">
      <c r="G36" s="203" t="s">
        <v>399</v>
      </c>
      <c r="M36" s="203" t="s">
        <v>156</v>
      </c>
      <c r="O36" s="203" t="s">
        <v>406</v>
      </c>
    </row>
    <row r="37" spans="4:15" ht="12" customHeight="1" x14ac:dyDescent="0.15">
      <c r="G37" s="203" t="s">
        <v>372</v>
      </c>
      <c r="M37" s="203" t="s">
        <v>332</v>
      </c>
      <c r="O37" s="203" t="s">
        <v>426</v>
      </c>
    </row>
    <row r="38" spans="4:15" ht="12" customHeight="1" x14ac:dyDescent="0.15">
      <c r="G38" s="203" t="s">
        <v>366</v>
      </c>
      <c r="M38" s="203" t="s">
        <v>157</v>
      </c>
      <c r="O38" s="203" t="s">
        <v>407</v>
      </c>
    </row>
    <row r="39" spans="4:15" ht="12" customHeight="1" x14ac:dyDescent="0.15">
      <c r="G39" s="203" t="s">
        <v>104</v>
      </c>
      <c r="M39" s="203" t="s">
        <v>455</v>
      </c>
      <c r="O39" s="203" t="s">
        <v>184</v>
      </c>
    </row>
    <row r="40" spans="4:15" ht="12" customHeight="1" x14ac:dyDescent="0.15">
      <c r="G40" s="203" t="s">
        <v>394</v>
      </c>
      <c r="M40" s="203" t="s">
        <v>158</v>
      </c>
      <c r="O40" s="203" t="s">
        <v>181</v>
      </c>
    </row>
    <row r="41" spans="4:15" ht="12" customHeight="1" x14ac:dyDescent="0.15">
      <c r="G41" s="203" t="s">
        <v>31</v>
      </c>
      <c r="M41" s="203" t="s">
        <v>159</v>
      </c>
      <c r="O41" s="203" t="s">
        <v>178</v>
      </c>
    </row>
    <row r="42" spans="4:15" ht="12" customHeight="1" x14ac:dyDescent="0.15">
      <c r="G42" s="203" t="s">
        <v>401</v>
      </c>
      <c r="M42" s="203" t="s">
        <v>328</v>
      </c>
      <c r="O42" s="203" t="s">
        <v>336</v>
      </c>
    </row>
    <row r="43" spans="4:15" ht="12" customHeight="1" x14ac:dyDescent="0.15">
      <c r="G43" s="203" t="s">
        <v>430</v>
      </c>
      <c r="M43" s="203" t="s">
        <v>259</v>
      </c>
      <c r="O43" s="203" t="s">
        <v>189</v>
      </c>
    </row>
    <row r="44" spans="4:15" ht="12" customHeight="1" x14ac:dyDescent="0.15">
      <c r="G44" s="203" t="s">
        <v>431</v>
      </c>
      <c r="M44" s="203" t="s">
        <v>329</v>
      </c>
      <c r="O44" s="203" t="s">
        <v>265</v>
      </c>
    </row>
    <row r="45" spans="4:15" ht="12" customHeight="1" x14ac:dyDescent="0.15">
      <c r="G45" s="203" t="s">
        <v>345</v>
      </c>
      <c r="M45" s="203" t="s">
        <v>258</v>
      </c>
      <c r="O45" s="203" t="s">
        <v>188</v>
      </c>
    </row>
    <row r="46" spans="4:15" ht="12" customHeight="1" x14ac:dyDescent="0.15">
      <c r="G46" s="203" t="s">
        <v>432</v>
      </c>
      <c r="M46" s="203" t="s">
        <v>260</v>
      </c>
      <c r="O46" s="203" t="s">
        <v>427</v>
      </c>
    </row>
    <row r="47" spans="4:15" ht="12" customHeight="1" x14ac:dyDescent="0.15">
      <c r="G47" s="203" t="s">
        <v>392</v>
      </c>
      <c r="M47" s="203" t="s">
        <v>160</v>
      </c>
      <c r="O47" s="203" t="s">
        <v>194</v>
      </c>
    </row>
    <row r="48" spans="4:15" ht="12" customHeight="1" x14ac:dyDescent="0.15">
      <c r="G48" s="203" t="s">
        <v>433</v>
      </c>
      <c r="M48" s="203" t="s">
        <v>361</v>
      </c>
      <c r="O48" s="203" t="s">
        <v>264</v>
      </c>
    </row>
    <row r="49" spans="7:15" ht="12" customHeight="1" x14ac:dyDescent="0.15">
      <c r="G49" s="203" t="s">
        <v>434</v>
      </c>
      <c r="M49" s="203" t="s">
        <v>163</v>
      </c>
      <c r="O49" s="203" t="s">
        <v>428</v>
      </c>
    </row>
    <row r="50" spans="7:15" ht="12" customHeight="1" x14ac:dyDescent="0.15">
      <c r="G50" s="203" t="s">
        <v>435</v>
      </c>
      <c r="M50" s="203" t="s">
        <v>161</v>
      </c>
      <c r="O50" s="203" t="s">
        <v>349</v>
      </c>
    </row>
    <row r="51" spans="7:15" ht="12" customHeight="1" x14ac:dyDescent="0.15">
      <c r="G51" s="203" t="s">
        <v>377</v>
      </c>
      <c r="M51" s="203" t="s">
        <v>162</v>
      </c>
      <c r="O51" s="203" t="s">
        <v>429</v>
      </c>
    </row>
    <row r="52" spans="7:15" ht="12" customHeight="1" x14ac:dyDescent="0.15">
      <c r="G52" s="203" t="s">
        <v>393</v>
      </c>
      <c r="M52" s="203" t="s">
        <v>164</v>
      </c>
      <c r="O52" s="203" t="s">
        <v>341</v>
      </c>
    </row>
    <row r="53" spans="7:15" ht="12" customHeight="1" x14ac:dyDescent="0.15">
      <c r="G53" s="203" t="s">
        <v>346</v>
      </c>
      <c r="M53" s="203" t="s">
        <v>165</v>
      </c>
      <c r="O53" s="203" t="s">
        <v>458</v>
      </c>
    </row>
    <row r="54" spans="7:15" ht="12" customHeight="1" x14ac:dyDescent="0.15">
      <c r="G54" s="203" t="s">
        <v>416</v>
      </c>
      <c r="M54" s="203" t="s">
        <v>166</v>
      </c>
      <c r="O54" s="203" t="s">
        <v>459</v>
      </c>
    </row>
    <row r="55" spans="7:15" ht="12" customHeight="1" x14ac:dyDescent="0.15">
      <c r="G55" s="203" t="s">
        <v>347</v>
      </c>
      <c r="M55" s="203" t="s">
        <v>252</v>
      </c>
      <c r="O55" s="203" t="s">
        <v>460</v>
      </c>
    </row>
    <row r="56" spans="7:15" ht="12" customHeight="1" x14ac:dyDescent="0.15">
      <c r="G56" s="203" t="s">
        <v>195</v>
      </c>
      <c r="M56" s="203" t="s">
        <v>167</v>
      </c>
    </row>
    <row r="57" spans="7:15" ht="12" customHeight="1" x14ac:dyDescent="0.15">
      <c r="G57" s="203" t="s">
        <v>375</v>
      </c>
      <c r="M57" s="203" t="s">
        <v>98</v>
      </c>
    </row>
    <row r="58" spans="7:15" ht="12" customHeight="1" x14ac:dyDescent="0.15">
      <c r="G58" s="203" t="s">
        <v>364</v>
      </c>
      <c r="M58" s="203" t="s">
        <v>261</v>
      </c>
    </row>
    <row r="59" spans="7:15" ht="12" customHeight="1" x14ac:dyDescent="0.15">
      <c r="G59" s="203" t="s">
        <v>32</v>
      </c>
      <c r="M59" s="203" t="s">
        <v>168</v>
      </c>
    </row>
    <row r="60" spans="7:15" ht="12" customHeight="1" x14ac:dyDescent="0.15">
      <c r="G60" s="203" t="s">
        <v>33</v>
      </c>
      <c r="M60" s="203" t="s">
        <v>169</v>
      </c>
    </row>
    <row r="61" spans="7:15" ht="12" customHeight="1" x14ac:dyDescent="0.15">
      <c r="G61" s="203" t="s">
        <v>418</v>
      </c>
      <c r="M61" s="203" t="s">
        <v>457</v>
      </c>
    </row>
    <row r="62" spans="7:15" ht="12" customHeight="1" x14ac:dyDescent="0.15">
      <c r="G62" s="203" t="s">
        <v>34</v>
      </c>
      <c r="M62" s="203" t="s">
        <v>170</v>
      </c>
    </row>
    <row r="63" spans="7:15" ht="12" customHeight="1" x14ac:dyDescent="0.15">
      <c r="G63" s="203" t="s">
        <v>417</v>
      </c>
      <c r="M63" s="203" t="s">
        <v>171</v>
      </c>
    </row>
    <row r="64" spans="7:15" ht="12" customHeight="1" x14ac:dyDescent="0.15">
      <c r="G64" s="203" t="s">
        <v>420</v>
      </c>
      <c r="M64" s="203" t="s">
        <v>172</v>
      </c>
    </row>
    <row r="65" spans="7:13" ht="12" customHeight="1" x14ac:dyDescent="0.15">
      <c r="G65" s="203" t="s">
        <v>370</v>
      </c>
      <c r="M65" s="203" t="s">
        <v>173</v>
      </c>
    </row>
    <row r="66" spans="7:13" ht="12" customHeight="1" x14ac:dyDescent="0.15">
      <c r="G66" s="203" t="s">
        <v>388</v>
      </c>
      <c r="M66" s="203" t="s">
        <v>174</v>
      </c>
    </row>
    <row r="67" spans="7:13" ht="12" customHeight="1" x14ac:dyDescent="0.15">
      <c r="G67" s="203" t="s">
        <v>373</v>
      </c>
      <c r="M67" s="203" t="s">
        <v>330</v>
      </c>
    </row>
    <row r="68" spans="7:13" ht="12" customHeight="1" x14ac:dyDescent="0.15">
      <c r="G68" s="203" t="s">
        <v>97</v>
      </c>
    </row>
    <row r="69" spans="7:13" ht="12" customHeight="1" x14ac:dyDescent="0.15">
      <c r="G69" s="203" t="s">
        <v>369</v>
      </c>
    </row>
    <row r="70" spans="7:13" ht="12" customHeight="1" x14ac:dyDescent="0.15">
      <c r="G70" s="203" t="s">
        <v>390</v>
      </c>
    </row>
    <row r="71" spans="7:13" ht="12" customHeight="1" x14ac:dyDescent="0.15">
      <c r="G71" s="203" t="s">
        <v>381</v>
      </c>
    </row>
    <row r="72" spans="7:13" ht="12" customHeight="1" x14ac:dyDescent="0.15">
      <c r="G72" s="203" t="s">
        <v>374</v>
      </c>
    </row>
    <row r="73" spans="7:13" ht="12" customHeight="1" x14ac:dyDescent="0.15">
      <c r="G73" s="203" t="s">
        <v>398</v>
      </c>
    </row>
    <row r="74" spans="7:13" ht="12" customHeight="1" x14ac:dyDescent="0.15">
      <c r="G74" s="203" t="s">
        <v>35</v>
      </c>
    </row>
    <row r="75" spans="7:13" ht="12" customHeight="1" x14ac:dyDescent="0.15">
      <c r="G75" s="203" t="s">
        <v>371</v>
      </c>
    </row>
    <row r="76" spans="7:13" ht="12" customHeight="1" x14ac:dyDescent="0.15">
      <c r="G76" s="203" t="s">
        <v>196</v>
      </c>
    </row>
    <row r="77" spans="7:13" ht="12" customHeight="1" x14ac:dyDescent="0.15">
      <c r="G77" s="203" t="s">
        <v>98</v>
      </c>
      <c r="M77" s="203" t="s">
        <v>661</v>
      </c>
    </row>
    <row r="78" spans="7:13" ht="12" customHeight="1" x14ac:dyDescent="0.15">
      <c r="G78" s="203" t="s">
        <v>383</v>
      </c>
      <c r="M78" s="203" t="s">
        <v>14</v>
      </c>
    </row>
    <row r="79" spans="7:13" ht="12" customHeight="1" x14ac:dyDescent="0.15">
      <c r="G79" s="203" t="s">
        <v>36</v>
      </c>
      <c r="M79" s="203" t="s">
        <v>662</v>
      </c>
    </row>
    <row r="80" spans="7:13" ht="12" customHeight="1" x14ac:dyDescent="0.15">
      <c r="G80" s="203" t="s">
        <v>197</v>
      </c>
      <c r="M80" s="203" t="s">
        <v>663</v>
      </c>
    </row>
    <row r="81" spans="7:14" ht="12" customHeight="1" x14ac:dyDescent="0.15">
      <c r="G81" s="203" t="s">
        <v>419</v>
      </c>
      <c r="M81" s="203" t="s">
        <v>664</v>
      </c>
    </row>
    <row r="82" spans="7:14" ht="12" customHeight="1" x14ac:dyDescent="0.15">
      <c r="M82" s="203" t="s">
        <v>665</v>
      </c>
    </row>
    <row r="85" spans="7:14" ht="12" customHeight="1" x14ac:dyDescent="0.15">
      <c r="M85" s="203" t="s">
        <v>464</v>
      </c>
    </row>
    <row r="86" spans="7:14" ht="12" customHeight="1" x14ac:dyDescent="0.15">
      <c r="M86" s="203" t="s">
        <v>14</v>
      </c>
    </row>
    <row r="87" spans="7:14" ht="12" customHeight="1" x14ac:dyDescent="0.15">
      <c r="M87" s="203" t="s">
        <v>471</v>
      </c>
    </row>
    <row r="88" spans="7:14" ht="12" customHeight="1" x14ac:dyDescent="0.15">
      <c r="M88" s="203" t="s">
        <v>465</v>
      </c>
    </row>
    <row r="89" spans="7:14" ht="12" customHeight="1" x14ac:dyDescent="0.15">
      <c r="M89" s="203" t="s">
        <v>466</v>
      </c>
    </row>
    <row r="90" spans="7:14" ht="12" customHeight="1" x14ac:dyDescent="0.15">
      <c r="M90" s="203" t="s">
        <v>467</v>
      </c>
    </row>
    <row r="91" spans="7:14" ht="12" customHeight="1" x14ac:dyDescent="0.15">
      <c r="M91" s="203" t="s">
        <v>468</v>
      </c>
    </row>
    <row r="92" spans="7:14" ht="12" customHeight="1" x14ac:dyDescent="0.15">
      <c r="M92" s="203" t="s">
        <v>469</v>
      </c>
    </row>
    <row r="93" spans="7:14" ht="12" customHeight="1" x14ac:dyDescent="0.15">
      <c r="M93" s="203" t="s">
        <v>470</v>
      </c>
    </row>
    <row r="95" spans="7:14" ht="12" customHeight="1" x14ac:dyDescent="0.15">
      <c r="N95" s="203" t="s">
        <v>472</v>
      </c>
    </row>
    <row r="96" spans="7:14" ht="12" customHeight="1" x14ac:dyDescent="0.15">
      <c r="N96" s="203" t="s">
        <v>14</v>
      </c>
    </row>
    <row r="97" spans="14:14" ht="12" customHeight="1" x14ac:dyDescent="0.15">
      <c r="N97" s="203" t="s">
        <v>473</v>
      </c>
    </row>
    <row r="98" spans="14:14" ht="12" customHeight="1" x14ac:dyDescent="0.15">
      <c r="N98" s="203" t="s">
        <v>474</v>
      </c>
    </row>
    <row r="99" spans="14:14" ht="12" customHeight="1" x14ac:dyDescent="0.15">
      <c r="N99" s="203" t="s">
        <v>475</v>
      </c>
    </row>
    <row r="100" spans="14:14" ht="12" customHeight="1" x14ac:dyDescent="0.15">
      <c r="N100" s="203" t="s">
        <v>476</v>
      </c>
    </row>
    <row r="101" spans="14:14" ht="12" customHeight="1" x14ac:dyDescent="0.15">
      <c r="N101" s="203" t="s">
        <v>493</v>
      </c>
    </row>
    <row r="102" spans="14:14" ht="12" customHeight="1" x14ac:dyDescent="0.15">
      <c r="N102" s="203" t="s">
        <v>477</v>
      </c>
    </row>
    <row r="103" spans="14:14" ht="12" customHeight="1" x14ac:dyDescent="0.15">
      <c r="N103" s="203" t="s">
        <v>478</v>
      </c>
    </row>
    <row r="104" spans="14:14" ht="12" customHeight="1" x14ac:dyDescent="0.15">
      <c r="N104" s="203" t="s">
        <v>479</v>
      </c>
    </row>
    <row r="105" spans="14:14" ht="12" customHeight="1" x14ac:dyDescent="0.15">
      <c r="N105" s="203" t="s">
        <v>480</v>
      </c>
    </row>
    <row r="106" spans="14:14" ht="12" customHeight="1" x14ac:dyDescent="0.15">
      <c r="N106" s="203" t="s">
        <v>481</v>
      </c>
    </row>
    <row r="107" spans="14:14" ht="12" customHeight="1" x14ac:dyDescent="0.15">
      <c r="N107" s="203" t="s">
        <v>482</v>
      </c>
    </row>
    <row r="108" spans="14:14" ht="12" customHeight="1" x14ac:dyDescent="0.15">
      <c r="N108" s="203" t="s">
        <v>483</v>
      </c>
    </row>
    <row r="109" spans="14:14" ht="12" customHeight="1" x14ac:dyDescent="0.15">
      <c r="N109" s="203" t="s">
        <v>484</v>
      </c>
    </row>
    <row r="110" spans="14:14" ht="12" customHeight="1" x14ac:dyDescent="0.15">
      <c r="N110" s="203" t="s">
        <v>485</v>
      </c>
    </row>
    <row r="111" spans="14:14" ht="12" customHeight="1" x14ac:dyDescent="0.15">
      <c r="N111" s="203" t="s">
        <v>486</v>
      </c>
    </row>
    <row r="112" spans="14:14" ht="12" customHeight="1" x14ac:dyDescent="0.15">
      <c r="N112" s="203" t="s">
        <v>487</v>
      </c>
    </row>
    <row r="113" spans="14:14" ht="12" customHeight="1" x14ac:dyDescent="0.15">
      <c r="N113" s="203" t="s">
        <v>488</v>
      </c>
    </row>
    <row r="114" spans="14:14" ht="12" customHeight="1" x14ac:dyDescent="0.15">
      <c r="N114" s="203" t="s">
        <v>489</v>
      </c>
    </row>
    <row r="115" spans="14:14" ht="12" customHeight="1" x14ac:dyDescent="0.15">
      <c r="N115" s="203" t="s">
        <v>490</v>
      </c>
    </row>
    <row r="116" spans="14:14" ht="12" customHeight="1" x14ac:dyDescent="0.15">
      <c r="N116" s="203" t="s">
        <v>491</v>
      </c>
    </row>
    <row r="117" spans="14:14" ht="12" customHeight="1" x14ac:dyDescent="0.15">
      <c r="N117" s="203" t="s">
        <v>492</v>
      </c>
    </row>
    <row r="118" spans="14:14" ht="12" customHeight="1" x14ac:dyDescent="0.15">
      <c r="N118" s="203" t="s">
        <v>494</v>
      </c>
    </row>
    <row r="119" spans="14:14" ht="12" customHeight="1" x14ac:dyDescent="0.15">
      <c r="N119" s="203" t="s">
        <v>495</v>
      </c>
    </row>
    <row r="120" spans="14:14" ht="12" customHeight="1" x14ac:dyDescent="0.15">
      <c r="N120" s="203" t="s">
        <v>496</v>
      </c>
    </row>
    <row r="121" spans="14:14" ht="12" customHeight="1" x14ac:dyDescent="0.15">
      <c r="N121" s="203" t="s">
        <v>497</v>
      </c>
    </row>
    <row r="122" spans="14:14" ht="12" customHeight="1" x14ac:dyDescent="0.15">
      <c r="N122" s="203" t="s">
        <v>498</v>
      </c>
    </row>
    <row r="123" spans="14:14" ht="12" customHeight="1" x14ac:dyDescent="0.15">
      <c r="N123" s="203" t="s">
        <v>499</v>
      </c>
    </row>
    <row r="124" spans="14:14" ht="12" customHeight="1" x14ac:dyDescent="0.15">
      <c r="N124" s="203" t="s">
        <v>500</v>
      </c>
    </row>
    <row r="125" spans="14:14" ht="12" customHeight="1" x14ac:dyDescent="0.15">
      <c r="N125" s="203" t="s">
        <v>501</v>
      </c>
    </row>
    <row r="126" spans="14:14" ht="12" customHeight="1" x14ac:dyDescent="0.15">
      <c r="N126" s="203" t="s">
        <v>502</v>
      </c>
    </row>
    <row r="127" spans="14:14" ht="12" customHeight="1" x14ac:dyDescent="0.15">
      <c r="N127" s="203" t="s">
        <v>503</v>
      </c>
    </row>
    <row r="128" spans="14:14" ht="12" customHeight="1" x14ac:dyDescent="0.15">
      <c r="N128" s="203" t="s">
        <v>504</v>
      </c>
    </row>
    <row r="129" spans="14:14" ht="12" customHeight="1" x14ac:dyDescent="0.15">
      <c r="N129" s="203" t="s">
        <v>505</v>
      </c>
    </row>
    <row r="130" spans="14:14" ht="12" customHeight="1" x14ac:dyDescent="0.15">
      <c r="N130" s="203" t="s">
        <v>506</v>
      </c>
    </row>
    <row r="131" spans="14:14" ht="12" customHeight="1" x14ac:dyDescent="0.15">
      <c r="N131" s="203" t="s">
        <v>507</v>
      </c>
    </row>
    <row r="132" spans="14:14" ht="12" customHeight="1" x14ac:dyDescent="0.15">
      <c r="N132" s="203" t="s">
        <v>508</v>
      </c>
    </row>
    <row r="133" spans="14:14" ht="12" customHeight="1" x14ac:dyDescent="0.15">
      <c r="N133" s="203" t="s">
        <v>509</v>
      </c>
    </row>
    <row r="134" spans="14:14" ht="12" customHeight="1" x14ac:dyDescent="0.15">
      <c r="N134" s="203" t="s">
        <v>510</v>
      </c>
    </row>
    <row r="135" spans="14:14" ht="12" customHeight="1" x14ac:dyDescent="0.15">
      <c r="N135" s="203" t="s">
        <v>511</v>
      </c>
    </row>
    <row r="136" spans="14:14" ht="12" customHeight="1" x14ac:dyDescent="0.15">
      <c r="N136" s="203" t="s">
        <v>512</v>
      </c>
    </row>
    <row r="137" spans="14:14" ht="12" customHeight="1" x14ac:dyDescent="0.15">
      <c r="N137" s="203" t="s">
        <v>513</v>
      </c>
    </row>
    <row r="138" spans="14:14" ht="12" customHeight="1" x14ac:dyDescent="0.15">
      <c r="N138" s="203" t="s">
        <v>514</v>
      </c>
    </row>
    <row r="139" spans="14:14" ht="12" customHeight="1" x14ac:dyDescent="0.15">
      <c r="N139" s="203" t="s">
        <v>515</v>
      </c>
    </row>
    <row r="140" spans="14:14" ht="12" customHeight="1" x14ac:dyDescent="0.15">
      <c r="N140" s="203" t="s">
        <v>516</v>
      </c>
    </row>
    <row r="141" spans="14:14" ht="12" customHeight="1" x14ac:dyDescent="0.15">
      <c r="N141" s="203" t="s">
        <v>517</v>
      </c>
    </row>
    <row r="142" spans="14:14" ht="12" customHeight="1" x14ac:dyDescent="0.15">
      <c r="N142" s="203" t="s">
        <v>518</v>
      </c>
    </row>
    <row r="143" spans="14:14" ht="12" customHeight="1" x14ac:dyDescent="0.15">
      <c r="N143" s="203" t="s">
        <v>519</v>
      </c>
    </row>
    <row r="144" spans="14:14" ht="12" customHeight="1" x14ac:dyDescent="0.15">
      <c r="N144" s="203" t="s">
        <v>520</v>
      </c>
    </row>
    <row r="145" spans="14:14" ht="12" customHeight="1" x14ac:dyDescent="0.15">
      <c r="N145" s="203" t="s">
        <v>521</v>
      </c>
    </row>
    <row r="146" spans="14:14" ht="12" customHeight="1" x14ac:dyDescent="0.15">
      <c r="N146" s="203" t="s">
        <v>522</v>
      </c>
    </row>
    <row r="147" spans="14:14" ht="12" customHeight="1" x14ac:dyDescent="0.15">
      <c r="N147" s="203" t="s">
        <v>523</v>
      </c>
    </row>
    <row r="148" spans="14:14" ht="12" customHeight="1" x14ac:dyDescent="0.15">
      <c r="N148" s="203" t="s">
        <v>524</v>
      </c>
    </row>
    <row r="149" spans="14:14" ht="12" customHeight="1" x14ac:dyDescent="0.15">
      <c r="N149" s="203" t="s">
        <v>525</v>
      </c>
    </row>
    <row r="150" spans="14:14" ht="12" customHeight="1" x14ac:dyDescent="0.15">
      <c r="N150" s="203" t="s">
        <v>526</v>
      </c>
    </row>
    <row r="151" spans="14:14" ht="12" customHeight="1" x14ac:dyDescent="0.15">
      <c r="N151" s="203" t="s">
        <v>527</v>
      </c>
    </row>
    <row r="152" spans="14:14" ht="12" customHeight="1" x14ac:dyDescent="0.15">
      <c r="N152" s="203" t="s">
        <v>528</v>
      </c>
    </row>
    <row r="153" spans="14:14" ht="12" customHeight="1" x14ac:dyDescent="0.15">
      <c r="N153" s="203" t="s">
        <v>529</v>
      </c>
    </row>
    <row r="154" spans="14:14" ht="12" customHeight="1" x14ac:dyDescent="0.15">
      <c r="N154" s="203" t="s">
        <v>530</v>
      </c>
    </row>
    <row r="155" spans="14:14" ht="12" customHeight="1" x14ac:dyDescent="0.15">
      <c r="N155" s="203" t="s">
        <v>531</v>
      </c>
    </row>
    <row r="156" spans="14:14" ht="12" customHeight="1" x14ac:dyDescent="0.15">
      <c r="N156" s="203" t="s">
        <v>532</v>
      </c>
    </row>
    <row r="157" spans="14:14" ht="12" customHeight="1" x14ac:dyDescent="0.15">
      <c r="N157" s="203" t="s">
        <v>533</v>
      </c>
    </row>
    <row r="158" spans="14:14" ht="12" customHeight="1" x14ac:dyDescent="0.15">
      <c r="N158" s="203" t="s">
        <v>534</v>
      </c>
    </row>
    <row r="159" spans="14:14" ht="12" customHeight="1" x14ac:dyDescent="0.15">
      <c r="N159" s="203" t="s">
        <v>535</v>
      </c>
    </row>
    <row r="160" spans="14:14" ht="12" customHeight="1" x14ac:dyDescent="0.15">
      <c r="N160" s="203" t="s">
        <v>536</v>
      </c>
    </row>
    <row r="161" spans="14:14" ht="12" customHeight="1" x14ac:dyDescent="0.15">
      <c r="N161" s="203" t="s">
        <v>537</v>
      </c>
    </row>
    <row r="162" spans="14:14" ht="12" customHeight="1" x14ac:dyDescent="0.15">
      <c r="N162" s="203" t="s">
        <v>538</v>
      </c>
    </row>
    <row r="163" spans="14:14" ht="12" customHeight="1" x14ac:dyDescent="0.15">
      <c r="N163" s="203" t="s">
        <v>539</v>
      </c>
    </row>
    <row r="164" spans="14:14" ht="12" customHeight="1" x14ac:dyDescent="0.15">
      <c r="N164" s="203" t="s">
        <v>540</v>
      </c>
    </row>
    <row r="165" spans="14:14" ht="12" customHeight="1" x14ac:dyDescent="0.15">
      <c r="N165" s="203" t="s">
        <v>541</v>
      </c>
    </row>
    <row r="166" spans="14:14" ht="12" customHeight="1" x14ac:dyDescent="0.15">
      <c r="N166" s="203" t="s">
        <v>542</v>
      </c>
    </row>
    <row r="167" spans="14:14" ht="12" customHeight="1" x14ac:dyDescent="0.15">
      <c r="N167" s="203" t="s">
        <v>543</v>
      </c>
    </row>
    <row r="168" spans="14:14" ht="12" customHeight="1" x14ac:dyDescent="0.15">
      <c r="N168" s="203" t="s">
        <v>544</v>
      </c>
    </row>
    <row r="169" spans="14:14" ht="12" customHeight="1" x14ac:dyDescent="0.15">
      <c r="N169" s="203" t="s">
        <v>545</v>
      </c>
    </row>
    <row r="170" spans="14:14" ht="12" customHeight="1" x14ac:dyDescent="0.15">
      <c r="N170" s="203" t="s">
        <v>546</v>
      </c>
    </row>
    <row r="171" spans="14:14" ht="12" customHeight="1" x14ac:dyDescent="0.15">
      <c r="N171" s="203" t="s">
        <v>547</v>
      </c>
    </row>
    <row r="172" spans="14:14" ht="12" customHeight="1" x14ac:dyDescent="0.15">
      <c r="N172" s="203" t="s">
        <v>548</v>
      </c>
    </row>
    <row r="173" spans="14:14" ht="12" customHeight="1" x14ac:dyDescent="0.15">
      <c r="N173" s="203" t="s">
        <v>549</v>
      </c>
    </row>
    <row r="174" spans="14:14" ht="12" customHeight="1" x14ac:dyDescent="0.15">
      <c r="N174" s="203" t="s">
        <v>550</v>
      </c>
    </row>
    <row r="175" spans="14:14" ht="12" customHeight="1" x14ac:dyDescent="0.15">
      <c r="N175" s="203" t="s">
        <v>551</v>
      </c>
    </row>
    <row r="176" spans="14:14" ht="12" customHeight="1" x14ac:dyDescent="0.15">
      <c r="N176" s="203" t="s">
        <v>552</v>
      </c>
    </row>
    <row r="177" spans="14:14" ht="12" customHeight="1" x14ac:dyDescent="0.15">
      <c r="N177" s="203" t="s">
        <v>553</v>
      </c>
    </row>
    <row r="178" spans="14:14" ht="12" customHeight="1" x14ac:dyDescent="0.15">
      <c r="N178" s="203" t="s">
        <v>554</v>
      </c>
    </row>
    <row r="179" spans="14:14" ht="12" customHeight="1" x14ac:dyDescent="0.15">
      <c r="N179" s="203" t="s">
        <v>555</v>
      </c>
    </row>
    <row r="180" spans="14:14" ht="12" customHeight="1" x14ac:dyDescent="0.15">
      <c r="N180" s="203" t="s">
        <v>556</v>
      </c>
    </row>
    <row r="181" spans="14:14" ht="12" customHeight="1" x14ac:dyDescent="0.15">
      <c r="N181" s="203" t="s">
        <v>557</v>
      </c>
    </row>
    <row r="182" spans="14:14" ht="12" customHeight="1" x14ac:dyDescent="0.15">
      <c r="N182" s="203" t="s">
        <v>558</v>
      </c>
    </row>
    <row r="183" spans="14:14" ht="12" customHeight="1" x14ac:dyDescent="0.15">
      <c r="N183" s="203" t="s">
        <v>559</v>
      </c>
    </row>
    <row r="184" spans="14:14" ht="12" customHeight="1" x14ac:dyDescent="0.15">
      <c r="N184" s="203" t="s">
        <v>560</v>
      </c>
    </row>
    <row r="185" spans="14:14" ht="12" customHeight="1" x14ac:dyDescent="0.15">
      <c r="N185" s="203" t="s">
        <v>561</v>
      </c>
    </row>
    <row r="186" spans="14:14" ht="12" customHeight="1" x14ac:dyDescent="0.15">
      <c r="N186" s="203" t="s">
        <v>562</v>
      </c>
    </row>
    <row r="187" spans="14:14" ht="12" customHeight="1" x14ac:dyDescent="0.15">
      <c r="N187" s="203" t="s">
        <v>563</v>
      </c>
    </row>
    <row r="188" spans="14:14" ht="12" customHeight="1" x14ac:dyDescent="0.15">
      <c r="N188" s="203" t="s">
        <v>564</v>
      </c>
    </row>
    <row r="189" spans="14:14" ht="12" customHeight="1" x14ac:dyDescent="0.15">
      <c r="N189" s="203" t="s">
        <v>565</v>
      </c>
    </row>
    <row r="190" spans="14:14" ht="12" customHeight="1" x14ac:dyDescent="0.15">
      <c r="N190" s="203" t="s">
        <v>566</v>
      </c>
    </row>
    <row r="191" spans="14:14" ht="12" customHeight="1" x14ac:dyDescent="0.15">
      <c r="N191" s="203" t="s">
        <v>567</v>
      </c>
    </row>
    <row r="192" spans="14:14" ht="12" customHeight="1" x14ac:dyDescent="0.15">
      <c r="N192" s="203" t="s">
        <v>568</v>
      </c>
    </row>
    <row r="193" spans="14:14" ht="12" customHeight="1" x14ac:dyDescent="0.15">
      <c r="N193" s="203" t="s">
        <v>569</v>
      </c>
    </row>
    <row r="194" spans="14:14" ht="12" customHeight="1" x14ac:dyDescent="0.15">
      <c r="N194" s="203" t="s">
        <v>570</v>
      </c>
    </row>
    <row r="195" spans="14:14" ht="12" customHeight="1" x14ac:dyDescent="0.15">
      <c r="N195" s="203" t="s">
        <v>571</v>
      </c>
    </row>
    <row r="196" spans="14:14" ht="12" customHeight="1" x14ac:dyDescent="0.15">
      <c r="N196" s="203" t="s">
        <v>572</v>
      </c>
    </row>
    <row r="197" spans="14:14" ht="12" customHeight="1" x14ac:dyDescent="0.15">
      <c r="N197" s="203" t="s">
        <v>573</v>
      </c>
    </row>
    <row r="198" spans="14:14" ht="12" customHeight="1" x14ac:dyDescent="0.15">
      <c r="N198" s="203" t="s">
        <v>574</v>
      </c>
    </row>
    <row r="199" spans="14:14" ht="12" customHeight="1" x14ac:dyDescent="0.15">
      <c r="N199" s="203" t="s">
        <v>575</v>
      </c>
    </row>
    <row r="200" spans="14:14" ht="12" customHeight="1" x14ac:dyDescent="0.15">
      <c r="N200" s="203" t="s">
        <v>576</v>
      </c>
    </row>
    <row r="201" spans="14:14" ht="12" customHeight="1" x14ac:dyDescent="0.15">
      <c r="N201" s="203" t="s">
        <v>577</v>
      </c>
    </row>
    <row r="202" spans="14:14" ht="12" customHeight="1" x14ac:dyDescent="0.15">
      <c r="N202" s="203" t="s">
        <v>578</v>
      </c>
    </row>
    <row r="203" spans="14:14" ht="12" customHeight="1" x14ac:dyDescent="0.15">
      <c r="N203" s="203" t="s">
        <v>579</v>
      </c>
    </row>
    <row r="204" spans="14:14" ht="12" customHeight="1" x14ac:dyDescent="0.15">
      <c r="N204" s="203" t="s">
        <v>580</v>
      </c>
    </row>
    <row r="205" spans="14:14" ht="12" customHeight="1" x14ac:dyDescent="0.15">
      <c r="N205" s="203" t="s">
        <v>581</v>
      </c>
    </row>
    <row r="206" spans="14:14" ht="12" customHeight="1" x14ac:dyDescent="0.15">
      <c r="N206" s="203" t="s">
        <v>582</v>
      </c>
    </row>
    <row r="207" spans="14:14" ht="12" customHeight="1" x14ac:dyDescent="0.15">
      <c r="N207" s="203" t="s">
        <v>583</v>
      </c>
    </row>
    <row r="208" spans="14:14" ht="12" customHeight="1" x14ac:dyDescent="0.15">
      <c r="N208" s="203" t="s">
        <v>584</v>
      </c>
    </row>
    <row r="209" spans="14:14" ht="12" customHeight="1" x14ac:dyDescent="0.15">
      <c r="N209" s="203" t="s">
        <v>597</v>
      </c>
    </row>
    <row r="210" spans="14:14" ht="12" customHeight="1" x14ac:dyDescent="0.15">
      <c r="N210" s="203" t="s">
        <v>585</v>
      </c>
    </row>
    <row r="211" spans="14:14" ht="12" customHeight="1" x14ac:dyDescent="0.15">
      <c r="N211" s="203" t="s">
        <v>586</v>
      </c>
    </row>
    <row r="212" spans="14:14" ht="12" customHeight="1" x14ac:dyDescent="0.15">
      <c r="N212" s="203" t="s">
        <v>587</v>
      </c>
    </row>
    <row r="213" spans="14:14" ht="12" customHeight="1" x14ac:dyDescent="0.15">
      <c r="N213" s="203" t="s">
        <v>588</v>
      </c>
    </row>
    <row r="214" spans="14:14" ht="12" customHeight="1" x14ac:dyDescent="0.15">
      <c r="N214" s="203" t="s">
        <v>589</v>
      </c>
    </row>
    <row r="215" spans="14:14" ht="12" customHeight="1" x14ac:dyDescent="0.15">
      <c r="N215" s="203" t="s">
        <v>590</v>
      </c>
    </row>
    <row r="216" spans="14:14" ht="12" customHeight="1" x14ac:dyDescent="0.15">
      <c r="N216" s="203" t="s">
        <v>591</v>
      </c>
    </row>
    <row r="217" spans="14:14" ht="12" customHeight="1" x14ac:dyDescent="0.15">
      <c r="N217" s="203" t="s">
        <v>592</v>
      </c>
    </row>
    <row r="218" spans="14:14" ht="12" customHeight="1" x14ac:dyDescent="0.15">
      <c r="N218" s="203" t="s">
        <v>593</v>
      </c>
    </row>
    <row r="219" spans="14:14" ht="12" customHeight="1" x14ac:dyDescent="0.15">
      <c r="N219" s="203" t="s">
        <v>594</v>
      </c>
    </row>
    <row r="220" spans="14:14" ht="12" customHeight="1" x14ac:dyDescent="0.15">
      <c r="N220" s="203" t="s">
        <v>595</v>
      </c>
    </row>
    <row r="221" spans="14:14" ht="12" customHeight="1" x14ac:dyDescent="0.15">
      <c r="N221" s="203" t="s">
        <v>596</v>
      </c>
    </row>
    <row r="222" spans="14:14" ht="12" customHeight="1" x14ac:dyDescent="0.15">
      <c r="N222" s="203" t="s">
        <v>598</v>
      </c>
    </row>
    <row r="223" spans="14:14" ht="12" customHeight="1" x14ac:dyDescent="0.15">
      <c r="N223" s="203" t="s">
        <v>599</v>
      </c>
    </row>
    <row r="224" spans="14:14" ht="12" customHeight="1" x14ac:dyDescent="0.15">
      <c r="N224" s="203" t="s">
        <v>600</v>
      </c>
    </row>
    <row r="225" spans="14:14" ht="12" customHeight="1" x14ac:dyDescent="0.15">
      <c r="N225" s="203" t="s">
        <v>601</v>
      </c>
    </row>
    <row r="226" spans="14:14" ht="12" customHeight="1" x14ac:dyDescent="0.15">
      <c r="N226" s="203" t="s">
        <v>602</v>
      </c>
    </row>
    <row r="227" spans="14:14" ht="12" customHeight="1" x14ac:dyDescent="0.15">
      <c r="N227" s="203" t="s">
        <v>603</v>
      </c>
    </row>
    <row r="228" spans="14:14" ht="12" customHeight="1" x14ac:dyDescent="0.15">
      <c r="N228" s="203" t="s">
        <v>604</v>
      </c>
    </row>
    <row r="229" spans="14:14" ht="12" customHeight="1" x14ac:dyDescent="0.15">
      <c r="N229" s="203" t="s">
        <v>605</v>
      </c>
    </row>
    <row r="230" spans="14:14" ht="12" customHeight="1" x14ac:dyDescent="0.15">
      <c r="N230" s="203" t="s">
        <v>606</v>
      </c>
    </row>
    <row r="231" spans="14:14" ht="12" customHeight="1" x14ac:dyDescent="0.15">
      <c r="N231" s="203" t="s">
        <v>607</v>
      </c>
    </row>
    <row r="232" spans="14:14" ht="12" customHeight="1" x14ac:dyDescent="0.15">
      <c r="N232" s="203" t="s">
        <v>608</v>
      </c>
    </row>
    <row r="233" spans="14:14" ht="12" customHeight="1" x14ac:dyDescent="0.15">
      <c r="N233" s="203" t="s">
        <v>609</v>
      </c>
    </row>
    <row r="234" spans="14:14" ht="12" customHeight="1" x14ac:dyDescent="0.15">
      <c r="N234" s="203" t="s">
        <v>610</v>
      </c>
    </row>
    <row r="235" spans="14:14" ht="12" customHeight="1" x14ac:dyDescent="0.15">
      <c r="N235" s="203" t="s">
        <v>611</v>
      </c>
    </row>
    <row r="236" spans="14:14" ht="12" customHeight="1" x14ac:dyDescent="0.15">
      <c r="N236" s="203" t="s">
        <v>612</v>
      </c>
    </row>
    <row r="237" spans="14:14" ht="12" customHeight="1" x14ac:dyDescent="0.15">
      <c r="N237" s="203" t="s">
        <v>613</v>
      </c>
    </row>
    <row r="238" spans="14:14" ht="12" customHeight="1" x14ac:dyDescent="0.15">
      <c r="N238" s="203" t="s">
        <v>614</v>
      </c>
    </row>
    <row r="239" spans="14:14" ht="12" customHeight="1" x14ac:dyDescent="0.15">
      <c r="N239" s="203" t="s">
        <v>615</v>
      </c>
    </row>
    <row r="240" spans="14:14" ht="12" customHeight="1" x14ac:dyDescent="0.15">
      <c r="N240" s="203" t="s">
        <v>616</v>
      </c>
    </row>
    <row r="241" spans="14:14" ht="12" customHeight="1" x14ac:dyDescent="0.15">
      <c r="N241" s="203" t="s">
        <v>617</v>
      </c>
    </row>
    <row r="242" spans="14:14" ht="12" customHeight="1" x14ac:dyDescent="0.15">
      <c r="N242" s="203" t="s">
        <v>618</v>
      </c>
    </row>
    <row r="243" spans="14:14" ht="12" customHeight="1" x14ac:dyDescent="0.15">
      <c r="N243" s="203" t="s">
        <v>619</v>
      </c>
    </row>
    <row r="244" spans="14:14" ht="12" customHeight="1" x14ac:dyDescent="0.15">
      <c r="N244" s="203" t="s">
        <v>620</v>
      </c>
    </row>
    <row r="245" spans="14:14" ht="12" customHeight="1" x14ac:dyDescent="0.15">
      <c r="N245" s="203" t="s">
        <v>621</v>
      </c>
    </row>
    <row r="246" spans="14:14" ht="12" customHeight="1" x14ac:dyDescent="0.15">
      <c r="N246" s="203" t="s">
        <v>622</v>
      </c>
    </row>
    <row r="247" spans="14:14" ht="12" customHeight="1" x14ac:dyDescent="0.15">
      <c r="N247" s="203" t="s">
        <v>623</v>
      </c>
    </row>
    <row r="248" spans="14:14" ht="12" customHeight="1" x14ac:dyDescent="0.15">
      <c r="N248" s="203" t="s">
        <v>624</v>
      </c>
    </row>
    <row r="249" spans="14:14" ht="12" customHeight="1" x14ac:dyDescent="0.15">
      <c r="N249" s="203" t="s">
        <v>625</v>
      </c>
    </row>
    <row r="250" spans="14:14" ht="12" customHeight="1" x14ac:dyDescent="0.15">
      <c r="N250" s="203" t="s">
        <v>626</v>
      </c>
    </row>
    <row r="251" spans="14:14" ht="12" customHeight="1" x14ac:dyDescent="0.15">
      <c r="N251" s="203" t="s">
        <v>627</v>
      </c>
    </row>
    <row r="252" spans="14:14" ht="12" customHeight="1" x14ac:dyDescent="0.15">
      <c r="N252" s="203" t="s">
        <v>628</v>
      </c>
    </row>
    <row r="253" spans="14:14" ht="12" customHeight="1" x14ac:dyDescent="0.15">
      <c r="N253" s="203" t="s">
        <v>629</v>
      </c>
    </row>
    <row r="254" spans="14:14" ht="12" customHeight="1" x14ac:dyDescent="0.15">
      <c r="N254" s="203" t="s">
        <v>630</v>
      </c>
    </row>
    <row r="255" spans="14:14" ht="12" customHeight="1" x14ac:dyDescent="0.15">
      <c r="N255" s="203" t="s">
        <v>631</v>
      </c>
    </row>
    <row r="256" spans="14:14" ht="12" customHeight="1" x14ac:dyDescent="0.15">
      <c r="N256" s="203" t="s">
        <v>632</v>
      </c>
    </row>
    <row r="257" spans="14:14" ht="12" customHeight="1" x14ac:dyDescent="0.15">
      <c r="N257" s="203" t="s">
        <v>633</v>
      </c>
    </row>
    <row r="258" spans="14:14" ht="12" customHeight="1" x14ac:dyDescent="0.15">
      <c r="N258" s="203" t="s">
        <v>634</v>
      </c>
    </row>
    <row r="259" spans="14:14" ht="12" customHeight="1" x14ac:dyDescent="0.15">
      <c r="N259" s="203" t="s">
        <v>635</v>
      </c>
    </row>
    <row r="260" spans="14:14" ht="12" customHeight="1" x14ac:dyDescent="0.15">
      <c r="N260" s="203" t="s">
        <v>636</v>
      </c>
    </row>
    <row r="261" spans="14:14" ht="12" customHeight="1" x14ac:dyDescent="0.15">
      <c r="N261" s="203" t="s">
        <v>637</v>
      </c>
    </row>
    <row r="262" spans="14:14" ht="12" customHeight="1" x14ac:dyDescent="0.15">
      <c r="N262" s="203" t="s">
        <v>668</v>
      </c>
    </row>
    <row r="263" spans="14:14" ht="12" customHeight="1" x14ac:dyDescent="0.15">
      <c r="N263" s="203" t="s">
        <v>669</v>
      </c>
    </row>
    <row r="264" spans="14:14" ht="12" customHeight="1" x14ac:dyDescent="0.15">
      <c r="N264" s="203" t="s">
        <v>670</v>
      </c>
    </row>
    <row r="265" spans="14:14" ht="12" customHeight="1" x14ac:dyDescent="0.15">
      <c r="N265" s="203" t="s">
        <v>671</v>
      </c>
    </row>
    <row r="266" spans="14:14" ht="12" customHeight="1" x14ac:dyDescent="0.15">
      <c r="N266" s="203" t="s">
        <v>672</v>
      </c>
    </row>
    <row r="267" spans="14:14" ht="12" customHeight="1" x14ac:dyDescent="0.15">
      <c r="N267" s="203" t="s">
        <v>638</v>
      </c>
    </row>
    <row r="268" spans="14:14" ht="12" customHeight="1" x14ac:dyDescent="0.15">
      <c r="N268" s="203" t="s">
        <v>639</v>
      </c>
    </row>
    <row r="269" spans="14:14" ht="12" customHeight="1" x14ac:dyDescent="0.15">
      <c r="N269" s="203" t="s">
        <v>640</v>
      </c>
    </row>
    <row r="270" spans="14:14" ht="12" customHeight="1" x14ac:dyDescent="0.15">
      <c r="N270" s="203" t="s">
        <v>641</v>
      </c>
    </row>
    <row r="271" spans="14:14" ht="12" customHeight="1" x14ac:dyDescent="0.15">
      <c r="N271" s="203" t="s">
        <v>642</v>
      </c>
    </row>
    <row r="272" spans="14:14" ht="12" customHeight="1" x14ac:dyDescent="0.15">
      <c r="N272" s="203" t="s">
        <v>643</v>
      </c>
    </row>
    <row r="273" spans="14:14" ht="12" customHeight="1" x14ac:dyDescent="0.15">
      <c r="N273" s="203" t="s">
        <v>644</v>
      </c>
    </row>
    <row r="274" spans="14:14" ht="12" customHeight="1" x14ac:dyDescent="0.15">
      <c r="N274" s="203" t="s">
        <v>645</v>
      </c>
    </row>
    <row r="275" spans="14:14" ht="12" customHeight="1" x14ac:dyDescent="0.15">
      <c r="N275" s="203" t="s">
        <v>646</v>
      </c>
    </row>
    <row r="276" spans="14:14" ht="12" customHeight="1" x14ac:dyDescent="0.15">
      <c r="N276" s="203" t="s">
        <v>647</v>
      </c>
    </row>
    <row r="277" spans="14:14" ht="12" customHeight="1" x14ac:dyDescent="0.15">
      <c r="N277" s="203" t="s">
        <v>648</v>
      </c>
    </row>
    <row r="278" spans="14:14" ht="12" customHeight="1" x14ac:dyDescent="0.15">
      <c r="N278" s="203" t="s">
        <v>649</v>
      </c>
    </row>
    <row r="279" spans="14:14" ht="12" customHeight="1" x14ac:dyDescent="0.15">
      <c r="N279" s="203" t="s">
        <v>650</v>
      </c>
    </row>
    <row r="280" spans="14:14" ht="12" customHeight="1" x14ac:dyDescent="0.15">
      <c r="N280" s="203" t="s">
        <v>651</v>
      </c>
    </row>
    <row r="281" spans="14:14" ht="12" customHeight="1" x14ac:dyDescent="0.15">
      <c r="N281" s="203" t="s">
        <v>652</v>
      </c>
    </row>
    <row r="282" spans="14:14" ht="12" customHeight="1" x14ac:dyDescent="0.15">
      <c r="N282" s="203" t="s">
        <v>653</v>
      </c>
    </row>
    <row r="283" spans="14:14" ht="12" customHeight="1" x14ac:dyDescent="0.15">
      <c r="N283" s="203" t="s">
        <v>654</v>
      </c>
    </row>
    <row r="284" spans="14:14" ht="12" customHeight="1" x14ac:dyDescent="0.15">
      <c r="N284" s="203" t="s">
        <v>655</v>
      </c>
    </row>
    <row r="285" spans="14:14" ht="12" customHeight="1" x14ac:dyDescent="0.15">
      <c r="N285" s="203" t="s">
        <v>656</v>
      </c>
    </row>
    <row r="286" spans="14:14" ht="12" customHeight="1" x14ac:dyDescent="0.15">
      <c r="N286" s="203" t="s">
        <v>657</v>
      </c>
    </row>
    <row r="287" spans="14:14" ht="12" customHeight="1" x14ac:dyDescent="0.15">
      <c r="N287" s="203" t="s">
        <v>658</v>
      </c>
    </row>
    <row r="288" spans="14:14" ht="12" customHeight="1" x14ac:dyDescent="0.15">
      <c r="N288" s="203" t="s">
        <v>659</v>
      </c>
    </row>
    <row r="289" spans="14:14" ht="12" customHeight="1" x14ac:dyDescent="0.15">
      <c r="N289" s="203" t="s">
        <v>660</v>
      </c>
    </row>
  </sheetData>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58"/>
  <sheetViews>
    <sheetView showGridLines="0" topLeftCell="A7" zoomScale="80" zoomScaleNormal="80" workbookViewId="0">
      <selection activeCell="H26" sqref="H26"/>
    </sheetView>
  </sheetViews>
  <sheetFormatPr baseColWidth="10" defaultColWidth="11.42578125" defaultRowHeight="14.25" x14ac:dyDescent="0.2"/>
  <cols>
    <col min="1" max="1" width="2.42578125" style="1" customWidth="1"/>
    <col min="2" max="2" width="30" style="1" customWidth="1"/>
    <col min="3" max="10" width="18.85546875" style="1" customWidth="1"/>
    <col min="11" max="11" width="19" style="1" customWidth="1"/>
    <col min="12" max="16384" width="11.42578125" style="1"/>
  </cols>
  <sheetData>
    <row r="1" spans="2:11" ht="11.25" customHeight="1" x14ac:dyDescent="0.2"/>
    <row r="2" spans="2:11" s="9" customFormat="1" ht="17.25" customHeight="1" x14ac:dyDescent="0.25">
      <c r="B2" s="10" t="s">
        <v>17</v>
      </c>
      <c r="C2" s="11"/>
      <c r="D2" s="12">
        <v>1.0900000000000001</v>
      </c>
    </row>
    <row r="3" spans="2:11" s="9" customFormat="1" ht="17.25" customHeight="1" x14ac:dyDescent="0.25">
      <c r="B3" s="13" t="s">
        <v>18</v>
      </c>
      <c r="C3" s="14"/>
      <c r="D3" s="12">
        <v>1.52</v>
      </c>
    </row>
    <row r="4" spans="2:11" s="9" customFormat="1" ht="17.25" customHeight="1" x14ac:dyDescent="0.25">
      <c r="B4" s="15" t="s">
        <v>19</v>
      </c>
      <c r="C4" s="16"/>
      <c r="D4" s="17">
        <v>1200000</v>
      </c>
    </row>
    <row r="5" spans="2:11" s="9" customFormat="1" ht="17.25" customHeight="1" x14ac:dyDescent="0.25">
      <c r="B5" s="18" t="s">
        <v>93</v>
      </c>
      <c r="C5" s="19"/>
      <c r="D5" s="20">
        <v>140606</v>
      </c>
    </row>
    <row r="6" spans="2:11" s="9" customFormat="1" ht="17.25" customHeight="1" x14ac:dyDescent="0.25">
      <c r="B6" s="33" t="s">
        <v>88</v>
      </c>
      <c r="C6" s="34"/>
      <c r="D6" s="32">
        <v>40</v>
      </c>
    </row>
    <row r="7" spans="2:11" s="9" customFormat="1" ht="17.25" customHeight="1" x14ac:dyDescent="0.25">
      <c r="B7" s="10" t="s">
        <v>89</v>
      </c>
      <c r="C7" s="11"/>
      <c r="D7" s="45">
        <f>D6/2</f>
        <v>20</v>
      </c>
    </row>
    <row r="8" spans="2:11" s="2" customFormat="1" ht="17.25" customHeight="1" x14ac:dyDescent="0.2">
      <c r="B8" s="10" t="s">
        <v>90</v>
      </c>
      <c r="C8" s="11"/>
      <c r="D8" s="45">
        <f>D7/2</f>
        <v>10</v>
      </c>
    </row>
    <row r="9" spans="2:11" s="2" customFormat="1" ht="18" customHeight="1" x14ac:dyDescent="0.2">
      <c r="B9" s="10" t="s">
        <v>38</v>
      </c>
      <c r="C9" s="11"/>
      <c r="D9" s="46">
        <f>(D2*D4)/30</f>
        <v>43600</v>
      </c>
    </row>
    <row r="10" spans="2:11" s="2" customFormat="1" ht="12.75" x14ac:dyDescent="0.2"/>
    <row r="11" spans="2:11" s="2" customFormat="1" ht="13.5" thickBot="1" x14ac:dyDescent="0.25"/>
    <row r="12" spans="2:11" s="2" customFormat="1" ht="42.75" x14ac:dyDescent="0.2">
      <c r="B12" s="84" t="s">
        <v>82</v>
      </c>
      <c r="C12" s="126" t="s">
        <v>272</v>
      </c>
      <c r="D12" s="85" t="s">
        <v>83</v>
      </c>
      <c r="E12" s="85" t="s">
        <v>84</v>
      </c>
      <c r="F12" s="86" t="s">
        <v>37</v>
      </c>
      <c r="G12" s="125" t="s">
        <v>273</v>
      </c>
      <c r="H12" s="85" t="s">
        <v>85</v>
      </c>
      <c r="I12" s="85" t="s">
        <v>86</v>
      </c>
      <c r="J12" s="86" t="s">
        <v>87</v>
      </c>
      <c r="K12" s="83" t="s">
        <v>91</v>
      </c>
    </row>
    <row r="13" spans="2:11" s="2" customFormat="1" x14ac:dyDescent="0.2">
      <c r="B13" s="89" t="s">
        <v>80</v>
      </c>
      <c r="C13" s="87">
        <v>2531429</v>
      </c>
      <c r="D13" s="47">
        <f>C13*$D$2</f>
        <v>2759257.6100000003</v>
      </c>
      <c r="E13" s="48">
        <f>+D13*$D$3</f>
        <v>4194071.5672000004</v>
      </c>
      <c r="F13" s="49">
        <f>E13/$D$6</f>
        <v>104851.78918000001</v>
      </c>
      <c r="G13" s="50">
        <f>C13/2</f>
        <v>1265714.5</v>
      </c>
      <c r="H13" s="47">
        <f>G13*$D$2</f>
        <v>1379628.8050000002</v>
      </c>
      <c r="I13" s="48">
        <f>(H13*$D$3)+$D$5</f>
        <v>2237641.7836000002</v>
      </c>
      <c r="J13" s="49">
        <f>I13/$D$7</f>
        <v>111882.08918000001</v>
      </c>
      <c r="K13" s="51">
        <f>I13/$D$8</f>
        <v>223764.17836000002</v>
      </c>
    </row>
    <row r="14" spans="2:11" s="2" customFormat="1" x14ac:dyDescent="0.2">
      <c r="B14" s="89" t="s">
        <v>94</v>
      </c>
      <c r="C14" s="87">
        <v>2703909</v>
      </c>
      <c r="D14" s="47">
        <f>C14*$D$2</f>
        <v>2947260.81</v>
      </c>
      <c r="E14" s="48">
        <f>+D14*$D$3</f>
        <v>4479836.4312000005</v>
      </c>
      <c r="F14" s="49">
        <f>E14/$D$6</f>
        <v>111995.91078000001</v>
      </c>
      <c r="G14" s="50">
        <f>C14/2</f>
        <v>1351954.5</v>
      </c>
      <c r="H14" s="47">
        <f>G14*$D$2</f>
        <v>1473630.405</v>
      </c>
      <c r="I14" s="48">
        <f>(H14*$D$3)+$D$5</f>
        <v>2380524.2156000002</v>
      </c>
      <c r="J14" s="49">
        <f>I14/$D$7</f>
        <v>119026.21078000001</v>
      </c>
      <c r="K14" s="51">
        <f>I14/$D$8</f>
        <v>238052.42156000002</v>
      </c>
    </row>
    <row r="15" spans="2:11" s="2" customFormat="1" x14ac:dyDescent="0.2">
      <c r="B15" s="89" t="s">
        <v>78</v>
      </c>
      <c r="C15" s="87">
        <v>2876389</v>
      </c>
      <c r="D15" s="47">
        <f>C15*$D$2</f>
        <v>3135264.0100000002</v>
      </c>
      <c r="E15" s="48">
        <f>+D15*$D$3</f>
        <v>4765601.2952000005</v>
      </c>
      <c r="F15" s="49">
        <f>E15/$D$6</f>
        <v>119140.03238000002</v>
      </c>
      <c r="G15" s="50">
        <f>C15/2</f>
        <v>1438194.5</v>
      </c>
      <c r="H15" s="47">
        <f>G15*$D$2</f>
        <v>1567632.0050000001</v>
      </c>
      <c r="I15" s="48">
        <f>(H15*$D$3)+$D$5</f>
        <v>2523406.6476000003</v>
      </c>
      <c r="J15" s="49">
        <f>I15/$D$7</f>
        <v>126170.33238000001</v>
      </c>
      <c r="K15" s="51">
        <f>I15/$D$8</f>
        <v>252340.66476000001</v>
      </c>
    </row>
    <row r="16" spans="2:11" s="2" customFormat="1" ht="15" thickBot="1" x14ac:dyDescent="0.25">
      <c r="B16" s="90" t="s">
        <v>79</v>
      </c>
      <c r="C16" s="88">
        <v>3048868</v>
      </c>
      <c r="D16" s="52">
        <f>C16*$D$2</f>
        <v>3323266.12</v>
      </c>
      <c r="E16" s="53">
        <f>+D16*$D$3</f>
        <v>5051364.5024000006</v>
      </c>
      <c r="F16" s="54">
        <f>E16/$D$6</f>
        <v>126284.11256000001</v>
      </c>
      <c r="G16" s="55">
        <f>C16/2</f>
        <v>1524434</v>
      </c>
      <c r="H16" s="52">
        <f>G16*$D$2</f>
        <v>1661633.06</v>
      </c>
      <c r="I16" s="53">
        <f>(H16*$D$3)+$D$5</f>
        <v>2666288.2512000003</v>
      </c>
      <c r="J16" s="54">
        <f>I16/$D$7</f>
        <v>133314.41256000003</v>
      </c>
      <c r="K16" s="56">
        <f>I16/$D$8</f>
        <v>266628.82512000005</v>
      </c>
    </row>
    <row r="19" spans="2:12" ht="28.5" x14ac:dyDescent="0.2">
      <c r="B19" s="82" t="s">
        <v>20</v>
      </c>
      <c r="C19" s="152" t="s">
        <v>403</v>
      </c>
      <c r="D19" s="82" t="s">
        <v>21</v>
      </c>
      <c r="E19" s="82" t="s">
        <v>22</v>
      </c>
      <c r="G19" s="82" t="s">
        <v>82</v>
      </c>
      <c r="H19" s="82" t="s">
        <v>237</v>
      </c>
    </row>
    <row r="20" spans="2:12" s="7" customFormat="1" x14ac:dyDescent="0.2">
      <c r="B20" s="5" t="s">
        <v>198</v>
      </c>
      <c r="C20" s="6">
        <v>4476389</v>
      </c>
      <c r="D20" s="48">
        <f>C20*$D$2</f>
        <v>4879264.0100000007</v>
      </c>
      <c r="E20" s="48">
        <f>+D20*$D$3</f>
        <v>7416481.2952000014</v>
      </c>
      <c r="G20" s="91" t="s">
        <v>94</v>
      </c>
      <c r="H20" s="6">
        <v>100000</v>
      </c>
      <c r="I20" s="1"/>
      <c r="J20" s="1"/>
      <c r="K20" s="1"/>
      <c r="L20" s="1"/>
    </row>
    <row r="21" spans="2:12" s="7" customFormat="1" x14ac:dyDescent="0.2">
      <c r="B21" s="5" t="s">
        <v>199</v>
      </c>
      <c r="C21" s="6">
        <v>4303910</v>
      </c>
      <c r="D21" s="48">
        <f t="shared" ref="D21:D30" si="0">C21*$D$2</f>
        <v>4691261.9000000004</v>
      </c>
      <c r="E21" s="48">
        <f t="shared" ref="E21:E49" si="1">+D21*$D$3</f>
        <v>7130718.0880000005</v>
      </c>
      <c r="G21" s="91" t="s">
        <v>78</v>
      </c>
      <c r="H21" s="6">
        <v>120000</v>
      </c>
      <c r="I21" s="1"/>
      <c r="J21" s="1"/>
      <c r="K21" s="1"/>
      <c r="L21" s="1"/>
    </row>
    <row r="22" spans="2:12" s="7" customFormat="1" x14ac:dyDescent="0.25">
      <c r="B22" s="5" t="s">
        <v>200</v>
      </c>
      <c r="C22" s="6">
        <v>4273788</v>
      </c>
      <c r="D22" s="48">
        <f t="shared" si="0"/>
        <v>4658428.92</v>
      </c>
      <c r="E22" s="48">
        <f t="shared" si="1"/>
        <v>7080811.9583999999</v>
      </c>
      <c r="G22" s="91" t="s">
        <v>79</v>
      </c>
      <c r="H22" s="6">
        <v>150000</v>
      </c>
    </row>
    <row r="23" spans="2:12" s="7" customFormat="1" x14ac:dyDescent="0.25">
      <c r="B23" s="5" t="s">
        <v>201</v>
      </c>
      <c r="C23" s="6">
        <v>4131429</v>
      </c>
      <c r="D23" s="48">
        <f t="shared" si="0"/>
        <v>4503257.6100000003</v>
      </c>
      <c r="E23" s="48">
        <f t="shared" si="1"/>
        <v>6844951.5672000004</v>
      </c>
      <c r="G23" s="21"/>
    </row>
    <row r="24" spans="2:12" s="7" customFormat="1" x14ac:dyDescent="0.25">
      <c r="B24" s="5" t="s">
        <v>202</v>
      </c>
      <c r="C24" s="6">
        <v>3900489</v>
      </c>
      <c r="D24" s="48">
        <f t="shared" si="0"/>
        <v>4251533.0100000007</v>
      </c>
      <c r="E24" s="48">
        <f t="shared" si="1"/>
        <v>6462330.1752000013</v>
      </c>
      <c r="G24" s="21"/>
    </row>
    <row r="25" spans="2:12" s="7" customFormat="1" x14ac:dyDescent="0.25">
      <c r="B25" s="5" t="s">
        <v>203</v>
      </c>
      <c r="C25" s="6">
        <v>3720033</v>
      </c>
      <c r="D25" s="48">
        <f t="shared" si="0"/>
        <v>4054835.97</v>
      </c>
      <c r="E25" s="48">
        <f t="shared" si="1"/>
        <v>6163350.6744000008</v>
      </c>
      <c r="G25" s="21"/>
    </row>
    <row r="26" spans="2:12" s="7" customFormat="1" x14ac:dyDescent="0.25">
      <c r="B26" s="5" t="s">
        <v>204</v>
      </c>
      <c r="C26" s="6">
        <v>3676389</v>
      </c>
      <c r="D26" s="48">
        <f t="shared" si="0"/>
        <v>4007264.0100000002</v>
      </c>
      <c r="E26" s="48">
        <f t="shared" si="1"/>
        <v>6091041.2952000005</v>
      </c>
      <c r="G26" s="21"/>
    </row>
    <row r="27" spans="2:12" s="7" customFormat="1" x14ac:dyDescent="0.25">
      <c r="B27" s="5" t="s">
        <v>205</v>
      </c>
      <c r="C27" s="6">
        <v>3578221</v>
      </c>
      <c r="D27" s="48">
        <f t="shared" si="0"/>
        <v>3900260.89</v>
      </c>
      <c r="E27" s="48">
        <f t="shared" si="1"/>
        <v>5928396.5528000006</v>
      </c>
      <c r="G27" s="21"/>
    </row>
    <row r="28" spans="2:12" s="7" customFormat="1" x14ac:dyDescent="0.25">
      <c r="B28" s="5" t="s">
        <v>206</v>
      </c>
      <c r="C28" s="6">
        <v>3503910</v>
      </c>
      <c r="D28" s="48">
        <f t="shared" si="0"/>
        <v>3819261.9000000004</v>
      </c>
      <c r="E28" s="48">
        <f t="shared" si="1"/>
        <v>5805278.0880000005</v>
      </c>
      <c r="G28" s="21"/>
    </row>
    <row r="29" spans="2:12" s="7" customFormat="1" x14ac:dyDescent="0.25">
      <c r="B29" s="5" t="s">
        <v>207</v>
      </c>
      <c r="C29" s="6">
        <v>3473868</v>
      </c>
      <c r="D29" s="48">
        <f t="shared" si="0"/>
        <v>3786516.12</v>
      </c>
      <c r="E29" s="48">
        <f t="shared" si="1"/>
        <v>5755504.5024000006</v>
      </c>
      <c r="G29" s="21"/>
    </row>
    <row r="30" spans="2:12" s="7" customFormat="1" x14ac:dyDescent="0.2">
      <c r="B30" s="5" t="s">
        <v>208</v>
      </c>
      <c r="C30" s="6">
        <v>3458389</v>
      </c>
      <c r="D30" s="48">
        <f t="shared" si="0"/>
        <v>3769644.0100000002</v>
      </c>
      <c r="E30" s="48">
        <f t="shared" si="1"/>
        <v>5729858.8952000001</v>
      </c>
      <c r="G30" s="1"/>
      <c r="H30" s="1"/>
    </row>
    <row r="31" spans="2:12" x14ac:dyDescent="0.2">
      <c r="B31" s="5" t="s">
        <v>209</v>
      </c>
      <c r="C31" s="44">
        <v>3331429</v>
      </c>
      <c r="D31" s="48">
        <f t="shared" ref="D31:D49" si="2">C31*$D$2</f>
        <v>3631257.6100000003</v>
      </c>
      <c r="E31" s="48">
        <f t="shared" si="1"/>
        <v>5519511.5672000004</v>
      </c>
    </row>
    <row r="32" spans="2:12" ht="15.75" customHeight="1" x14ac:dyDescent="0.2">
      <c r="B32" s="5" t="s">
        <v>210</v>
      </c>
      <c r="C32" s="44">
        <v>3285910</v>
      </c>
      <c r="D32" s="48">
        <f t="shared" si="2"/>
        <v>3581641.9000000004</v>
      </c>
      <c r="E32" s="48">
        <f t="shared" si="1"/>
        <v>5444095.688000001</v>
      </c>
    </row>
    <row r="33" spans="2:5" ht="15.75" customHeight="1" x14ac:dyDescent="0.2">
      <c r="B33" s="5" t="s">
        <v>211</v>
      </c>
      <c r="C33" s="44">
        <v>3126389</v>
      </c>
      <c r="D33" s="48">
        <f t="shared" si="2"/>
        <v>3407764.0100000002</v>
      </c>
      <c r="E33" s="48">
        <f t="shared" si="1"/>
        <v>5179801.2952000005</v>
      </c>
    </row>
    <row r="34" spans="2:5" ht="15.75" customHeight="1" x14ac:dyDescent="0.2">
      <c r="B34" s="5" t="s">
        <v>212</v>
      </c>
      <c r="C34" s="44">
        <v>3113429</v>
      </c>
      <c r="D34" s="48">
        <f t="shared" si="2"/>
        <v>3393637.6100000003</v>
      </c>
      <c r="E34" s="48">
        <f t="shared" si="1"/>
        <v>5158329.167200001</v>
      </c>
    </row>
    <row r="35" spans="2:5" ht="15.75" customHeight="1" x14ac:dyDescent="0.2">
      <c r="B35" s="5" t="s">
        <v>213</v>
      </c>
      <c r="C35" s="44">
        <v>3093749</v>
      </c>
      <c r="D35" s="48">
        <f t="shared" si="2"/>
        <v>3372186.41</v>
      </c>
      <c r="E35" s="48">
        <f t="shared" si="1"/>
        <v>5125723.3432</v>
      </c>
    </row>
    <row r="36" spans="2:5" ht="15.75" customHeight="1" x14ac:dyDescent="0.2">
      <c r="B36" s="5" t="s">
        <v>214</v>
      </c>
      <c r="C36" s="44">
        <v>3076389</v>
      </c>
      <c r="D36" s="48">
        <f t="shared" si="2"/>
        <v>3353264.0100000002</v>
      </c>
      <c r="E36" s="48">
        <f t="shared" si="1"/>
        <v>5096961.2952000005</v>
      </c>
    </row>
    <row r="37" spans="2:5" ht="15.75" customHeight="1" x14ac:dyDescent="0.2">
      <c r="B37" s="5" t="s">
        <v>215</v>
      </c>
      <c r="C37" s="44">
        <v>3048868</v>
      </c>
      <c r="D37" s="48">
        <f t="shared" si="2"/>
        <v>3323266.12</v>
      </c>
      <c r="E37" s="48">
        <f t="shared" si="1"/>
        <v>5051364.5024000006</v>
      </c>
    </row>
    <row r="38" spans="2:5" ht="15.75" customHeight="1" x14ac:dyDescent="0.2">
      <c r="B38" s="5" t="s">
        <v>216</v>
      </c>
      <c r="C38" s="44">
        <v>3048668</v>
      </c>
      <c r="D38" s="48">
        <f t="shared" si="2"/>
        <v>3323048.12</v>
      </c>
      <c r="E38" s="48">
        <f t="shared" si="1"/>
        <v>5051033.1424000002</v>
      </c>
    </row>
    <row r="39" spans="2:5" ht="15.75" customHeight="1" x14ac:dyDescent="0.2">
      <c r="B39" s="5" t="s">
        <v>217</v>
      </c>
      <c r="C39" s="44">
        <v>3026389</v>
      </c>
      <c r="D39" s="48">
        <f t="shared" si="2"/>
        <v>3298764.0100000002</v>
      </c>
      <c r="E39" s="48">
        <f t="shared" si="1"/>
        <v>5014121.2952000005</v>
      </c>
    </row>
    <row r="40" spans="2:5" ht="15.75" customHeight="1" x14ac:dyDescent="0.2">
      <c r="B40" s="5" t="s">
        <v>218</v>
      </c>
      <c r="C40" s="44">
        <v>2876389</v>
      </c>
      <c r="D40" s="48">
        <f t="shared" si="2"/>
        <v>3135264.0100000002</v>
      </c>
      <c r="E40" s="48">
        <f t="shared" si="1"/>
        <v>4765601.2952000005</v>
      </c>
    </row>
    <row r="41" spans="2:5" ht="15.75" customHeight="1" x14ac:dyDescent="0.2">
      <c r="B41" s="5" t="s">
        <v>219</v>
      </c>
      <c r="C41" s="44">
        <v>2853909</v>
      </c>
      <c r="D41" s="48">
        <f t="shared" si="2"/>
        <v>3110760.81</v>
      </c>
      <c r="E41" s="48">
        <f t="shared" si="1"/>
        <v>4728356.4312000005</v>
      </c>
    </row>
    <row r="42" spans="2:5" ht="15.75" customHeight="1" x14ac:dyDescent="0.2">
      <c r="B42" s="5" t="s">
        <v>220</v>
      </c>
      <c r="C42" s="44">
        <v>2703910</v>
      </c>
      <c r="D42" s="48">
        <f t="shared" si="2"/>
        <v>2947261.9000000004</v>
      </c>
      <c r="E42" s="48">
        <f t="shared" si="1"/>
        <v>4479838.0880000005</v>
      </c>
    </row>
    <row r="43" spans="2:5" ht="15.75" customHeight="1" x14ac:dyDescent="0.2">
      <c r="B43" s="5" t="s">
        <v>221</v>
      </c>
      <c r="C43" s="44">
        <v>2703909</v>
      </c>
      <c r="D43" s="48">
        <f t="shared" si="2"/>
        <v>2947260.81</v>
      </c>
      <c r="E43" s="48">
        <f t="shared" si="1"/>
        <v>4479836.4312000005</v>
      </c>
    </row>
    <row r="44" spans="2:5" ht="15.75" customHeight="1" x14ac:dyDescent="0.2">
      <c r="B44" s="5" t="s">
        <v>222</v>
      </c>
      <c r="C44" s="44">
        <v>2531429</v>
      </c>
      <c r="D44" s="48">
        <f t="shared" si="2"/>
        <v>2759257.6100000003</v>
      </c>
      <c r="E44" s="48">
        <f t="shared" si="1"/>
        <v>4194071.5672000004</v>
      </c>
    </row>
    <row r="45" spans="2:5" ht="15.75" customHeight="1" x14ac:dyDescent="0.2">
      <c r="B45" s="5" t="s">
        <v>223</v>
      </c>
      <c r="C45" s="44">
        <v>2531421</v>
      </c>
      <c r="D45" s="48">
        <f t="shared" si="2"/>
        <v>2759248.89</v>
      </c>
      <c r="E45" s="48">
        <f t="shared" si="1"/>
        <v>4194058.3128000004</v>
      </c>
    </row>
    <row r="46" spans="2:5" ht="15.75" customHeight="1" x14ac:dyDescent="0.2">
      <c r="B46" s="5" t="s">
        <v>224</v>
      </c>
      <c r="C46" s="44">
        <v>2449485</v>
      </c>
      <c r="D46" s="48">
        <f t="shared" si="2"/>
        <v>2669938.6500000004</v>
      </c>
      <c r="E46" s="48">
        <f t="shared" si="1"/>
        <v>4058306.7480000006</v>
      </c>
    </row>
    <row r="47" spans="2:5" ht="15.75" customHeight="1" x14ac:dyDescent="0.2">
      <c r="B47" s="5" t="s">
        <v>225</v>
      </c>
      <c r="C47" s="44">
        <v>1973320</v>
      </c>
      <c r="D47" s="48">
        <f t="shared" si="2"/>
        <v>2150918.8000000003</v>
      </c>
      <c r="E47" s="48">
        <f t="shared" si="1"/>
        <v>3269396.5760000004</v>
      </c>
    </row>
    <row r="48" spans="2:5" ht="15.75" customHeight="1" x14ac:dyDescent="0.2">
      <c r="B48" s="5" t="s">
        <v>226</v>
      </c>
      <c r="C48" s="44">
        <v>1945369</v>
      </c>
      <c r="D48" s="48">
        <f t="shared" si="2"/>
        <v>2120452.21</v>
      </c>
      <c r="E48" s="48">
        <f t="shared" si="1"/>
        <v>3223087.3591999998</v>
      </c>
    </row>
    <row r="49" spans="2:5" ht="15.75" customHeight="1" x14ac:dyDescent="0.2">
      <c r="B49" s="5" t="s">
        <v>227</v>
      </c>
      <c r="C49" s="44">
        <v>1919337</v>
      </c>
      <c r="D49" s="48">
        <f t="shared" si="2"/>
        <v>2092077.33</v>
      </c>
      <c r="E49" s="48">
        <f t="shared" si="1"/>
        <v>3179957.5416000001</v>
      </c>
    </row>
    <row r="50" spans="2:5" ht="15.75" customHeight="1" x14ac:dyDescent="0.2">
      <c r="B50" s="5" t="s">
        <v>228</v>
      </c>
      <c r="C50" s="44">
        <v>1438195</v>
      </c>
      <c r="D50" s="48">
        <f>C50*$D$2</f>
        <v>1567632.55</v>
      </c>
      <c r="E50" s="48">
        <f>+D50*$D$3</f>
        <v>2382801.4760000003</v>
      </c>
    </row>
    <row r="51" spans="2:5" ht="15.75" customHeight="1" x14ac:dyDescent="0.2">
      <c r="B51" s="5" t="s">
        <v>229</v>
      </c>
      <c r="C51" s="44">
        <v>1351954</v>
      </c>
      <c r="D51" s="48">
        <f>C51*$D$2</f>
        <v>1473629.86</v>
      </c>
      <c r="E51" s="48">
        <f>+D51*$D$3</f>
        <v>2239917.3872000002</v>
      </c>
    </row>
    <row r="52" spans="2:5" ht="15.75" customHeight="1" x14ac:dyDescent="0.2">
      <c r="B52" s="5" t="s">
        <v>230</v>
      </c>
      <c r="C52" s="44">
        <v>1330009</v>
      </c>
      <c r="D52" s="48">
        <f>C52*$D$2</f>
        <v>1449709.81</v>
      </c>
      <c r="E52" s="48">
        <f>+D52*$D$3</f>
        <v>2203558.9112</v>
      </c>
    </row>
    <row r="53" spans="2:5" ht="15.75" customHeight="1" x14ac:dyDescent="0.2">
      <c r="B53" s="5" t="s">
        <v>231</v>
      </c>
      <c r="C53" s="44">
        <v>1288353</v>
      </c>
      <c r="D53" s="48">
        <f>C53*$D$2</f>
        <v>1404304.77</v>
      </c>
      <c r="E53" s="48">
        <f>+D53*$D$3</f>
        <v>2134543.2504000003</v>
      </c>
    </row>
    <row r="54" spans="2:5" ht="15.75" customHeight="1" x14ac:dyDescent="0.2">
      <c r="B54" s="5" t="s">
        <v>232</v>
      </c>
      <c r="C54" s="44">
        <v>1287297</v>
      </c>
      <c r="D54" s="48">
        <f>C54*$D$2</f>
        <v>1403153.7300000002</v>
      </c>
      <c r="E54" s="48">
        <f>+D54*$D$3</f>
        <v>2132793.6696000001</v>
      </c>
    </row>
    <row r="55" spans="2:5" ht="15.75" customHeight="1" x14ac:dyDescent="0.2">
      <c r="B55" s="5" t="s">
        <v>233</v>
      </c>
      <c r="C55" s="44">
        <v>1115949</v>
      </c>
      <c r="D55" s="48">
        <f t="shared" ref="D55:D58" si="3">C55*$D$2</f>
        <v>1216384.4100000001</v>
      </c>
      <c r="E55" s="48">
        <f t="shared" ref="E55:E58" si="4">+D55*$D$3</f>
        <v>1848904.3032000002</v>
      </c>
    </row>
    <row r="56" spans="2:5" ht="15.75" customHeight="1" x14ac:dyDescent="0.2">
      <c r="B56" s="5" t="s">
        <v>234</v>
      </c>
      <c r="C56" s="44">
        <v>1000000</v>
      </c>
      <c r="D56" s="48">
        <f t="shared" si="3"/>
        <v>1090000</v>
      </c>
      <c r="E56" s="48">
        <f t="shared" si="4"/>
        <v>1656800</v>
      </c>
    </row>
    <row r="57" spans="2:5" ht="15.75" customHeight="1" x14ac:dyDescent="0.2">
      <c r="B57" s="5" t="s">
        <v>235</v>
      </c>
      <c r="C57" s="44">
        <v>750000</v>
      </c>
      <c r="D57" s="48">
        <f t="shared" si="3"/>
        <v>817500.00000000012</v>
      </c>
      <c r="E57" s="48">
        <f t="shared" si="4"/>
        <v>1242600.0000000002</v>
      </c>
    </row>
    <row r="58" spans="2:5" ht="15.75" customHeight="1" x14ac:dyDescent="0.2">
      <c r="B58" s="5" t="s">
        <v>236</v>
      </c>
      <c r="C58" s="44">
        <v>500000</v>
      </c>
      <c r="D58" s="48">
        <f t="shared" si="3"/>
        <v>545000</v>
      </c>
      <c r="E58" s="48">
        <f t="shared" si="4"/>
        <v>828400</v>
      </c>
    </row>
  </sheetData>
  <sheetProtection algorithmName="SHA-512" hashValue="hGh6OIVGflVgS8pKGN0wSKN7GSjdbAJp9lORwkbLPRWJNmr5udfAN1aLMKMnRu0G5rYwMK24UjE97KcGTQ44Iw==" saltValue="cgXxBYegrYfMLMIy/+LLYw==" spinCount="100000" sheet="1" objects="1" scenarios="1"/>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S21"/>
  <sheetViews>
    <sheetView showGridLines="0" zoomScale="70" zoomScaleNormal="70" workbookViewId="0">
      <pane ySplit="2" topLeftCell="A3" activePane="bottomLeft" state="frozen"/>
      <selection pane="bottomLeft" activeCell="B1" sqref="B1:T1048576"/>
    </sheetView>
  </sheetViews>
  <sheetFormatPr baseColWidth="10" defaultColWidth="11.42578125" defaultRowHeight="12.75" x14ac:dyDescent="0.2"/>
  <cols>
    <col min="1" max="1" width="11.42578125" style="2"/>
    <col min="2" max="2" width="23.85546875" style="2" hidden="1" customWidth="1"/>
    <col min="3" max="3" width="30" style="2" hidden="1" customWidth="1"/>
    <col min="4" max="5" width="12.5703125" style="2" hidden="1" customWidth="1"/>
    <col min="6" max="6" width="18.85546875" style="2" hidden="1" customWidth="1"/>
    <col min="7" max="7" width="13.28515625" style="2" hidden="1" customWidth="1"/>
    <col min="8" max="8" width="20.85546875" style="2" hidden="1" customWidth="1"/>
    <col min="9" max="10" width="20.42578125" style="2" hidden="1" customWidth="1"/>
    <col min="11" max="11" width="11.42578125" style="2" hidden="1" customWidth="1"/>
    <col min="12" max="13" width="20.42578125" style="2" hidden="1" customWidth="1"/>
    <col min="14" max="14" width="35.85546875" style="2" hidden="1" customWidth="1"/>
    <col min="15" max="15" width="16.140625" style="2" hidden="1" customWidth="1"/>
    <col min="16" max="16" width="39.7109375" style="2" hidden="1" customWidth="1"/>
    <col min="17" max="17" width="0" style="2" hidden="1" customWidth="1"/>
    <col min="18" max="18" width="13.140625" style="2" hidden="1" customWidth="1"/>
    <col min="19" max="19" width="13.42578125" style="2" hidden="1" customWidth="1"/>
    <col min="20" max="20" width="0" style="2" hidden="1" customWidth="1"/>
    <col min="21" max="16384" width="11.42578125" style="2"/>
  </cols>
  <sheetData>
    <row r="1" spans="2:18" ht="42" customHeight="1" thickBot="1" x14ac:dyDescent="0.25"/>
    <row r="2" spans="2:18" ht="29.25" customHeight="1" thickBot="1" x14ac:dyDescent="0.25">
      <c r="B2" s="187" t="s">
        <v>363</v>
      </c>
      <c r="C2" s="188" t="s">
        <v>56</v>
      </c>
      <c r="D2" s="189" t="s">
        <v>57</v>
      </c>
      <c r="E2" s="190" t="s">
        <v>58</v>
      </c>
      <c r="F2" s="191" t="s">
        <v>75</v>
      </c>
      <c r="G2" s="192" t="s">
        <v>59</v>
      </c>
      <c r="H2" s="193" t="s">
        <v>60</v>
      </c>
      <c r="I2" s="194" t="s">
        <v>15</v>
      </c>
      <c r="J2" s="198" t="s">
        <v>16</v>
      </c>
      <c r="K2" s="163" t="s">
        <v>4</v>
      </c>
      <c r="L2" s="151" t="s">
        <v>0</v>
      </c>
      <c r="M2" s="151" t="s">
        <v>1</v>
      </c>
      <c r="N2" s="151" t="s">
        <v>7</v>
      </c>
      <c r="O2" s="151" t="s">
        <v>250</v>
      </c>
      <c r="P2" s="151" t="s">
        <v>251</v>
      </c>
    </row>
    <row r="3" spans="2:18" s="9" customFormat="1" ht="16.5" customHeight="1" x14ac:dyDescent="0.25">
      <c r="B3" s="180"/>
      <c r="C3" s="181" t="s">
        <v>14</v>
      </c>
      <c r="D3" s="182"/>
      <c r="E3" s="183"/>
      <c r="F3" s="184" t="s">
        <v>14</v>
      </c>
      <c r="G3" s="185">
        <f>IF(F3="4 MESES Semestre 1",4,IF(F3="4 MESES Semestre 2",4,IF(F3="8 Meses",4,IF(F3="10 Meses",5,IF(F3="11 Meses",5.5,IF(F3="1 año",6,IF(F3="Indefinido",6,0)))))))</f>
        <v>0</v>
      </c>
      <c r="H3" s="186">
        <f>(E3*G3*(IFERROR(VLOOKUP(D3,BaseSalarial!$B$20:$E$58,4,0)/G3,"0")))</f>
        <v>0</v>
      </c>
      <c r="I3" s="195">
        <f t="shared" ref="I3:I17" si="0">IF(F3="4 MESES Semestre 1",H3*G3,IF(F3="4 MESES Semestre 2",0,IF(F3="8 Meses",H3*G3,IF(F3="10 Meses",H3*G3,IF(F3="11 Meses",H3*G3,IF(F3="1 Año",H3*G3,IF(F3="Indefinido",H3*G3,0)))))))</f>
        <v>0</v>
      </c>
      <c r="J3" s="179">
        <f t="shared" ref="J3:J17" si="1">IF(F3="4 MESES Semestre 1",0,IF(F3="4 MESES Semestre 2",H3*G3,IF(F3="8 Meses",H3*G3,IF(F3="10 Meses",H3*G3,IF(F3="11 Meses",H3*G3,IF(F3="1 Año",H3*G3,IF(F3="Indefinido",H3*G3,0)))))))</f>
        <v>0</v>
      </c>
      <c r="K3" s="164" t="s">
        <v>6</v>
      </c>
      <c r="L3" s="40">
        <f>IF(K3="SI",I3,IF(K3="NO",0,"Sin comprobar"))</f>
        <v>0</v>
      </c>
      <c r="M3" s="40">
        <f>IF(K3="SI",J3,IF(K3="NO",0,"Sin comprobar"))</f>
        <v>0</v>
      </c>
      <c r="N3" s="123"/>
      <c r="O3" s="29"/>
      <c r="P3" s="114"/>
    </row>
    <row r="4" spans="2:18" s="9" customFormat="1" ht="16.5" customHeight="1" x14ac:dyDescent="0.25">
      <c r="B4" s="166"/>
      <c r="C4" s="168" t="s">
        <v>14</v>
      </c>
      <c r="D4" s="170"/>
      <c r="E4" s="174"/>
      <c r="F4" s="172" t="s">
        <v>14</v>
      </c>
      <c r="G4" s="28">
        <f t="shared" ref="G4:G17" si="2">IF(F4="4 MESES Semestre 1",4,IF(F4="4 MESES Semestre 2",4,IF(F4="8 Meses",4,IF(F4="10 Meses",5,IF(F4="11 Meses",5.5,IF(F4="1 año",6,IF(F4="Indefinido",6,0)))))))</f>
        <v>0</v>
      </c>
      <c r="H4" s="176">
        <f>(E4*G4*(IFERROR(VLOOKUP(D4,BaseSalarial!$B$20:$E$58,4,0)/G4,"0")))</f>
        <v>0</v>
      </c>
      <c r="I4" s="196">
        <f t="shared" si="0"/>
        <v>0</v>
      </c>
      <c r="J4" s="178">
        <f t="shared" si="1"/>
        <v>0</v>
      </c>
      <c r="K4" s="164" t="s">
        <v>6</v>
      </c>
      <c r="L4" s="40">
        <f t="shared" ref="L4:L17" si="3">IF(K4="SI",I4,IF(K4="NO",0,"Sin comprobar"))</f>
        <v>0</v>
      </c>
      <c r="M4" s="40">
        <f t="shared" ref="M4:M17" si="4">IF(K4="SI",J4,IF(K4="NO",0,"Sin comprobar"))</f>
        <v>0</v>
      </c>
      <c r="N4" s="123"/>
      <c r="O4" s="29"/>
      <c r="P4" s="114"/>
    </row>
    <row r="5" spans="2:18" s="9" customFormat="1" ht="16.5" customHeight="1" x14ac:dyDescent="0.25">
      <c r="B5" s="166"/>
      <c r="C5" s="168" t="s">
        <v>14</v>
      </c>
      <c r="D5" s="170"/>
      <c r="E5" s="174"/>
      <c r="F5" s="172" t="s">
        <v>14</v>
      </c>
      <c r="G5" s="28">
        <f t="shared" si="2"/>
        <v>0</v>
      </c>
      <c r="H5" s="176">
        <f>(E5*G5*(IFERROR(VLOOKUP(D5,BaseSalarial!$B$20:$E$58,4,0)/G5,"0")))</f>
        <v>0</v>
      </c>
      <c r="I5" s="196">
        <f t="shared" si="0"/>
        <v>0</v>
      </c>
      <c r="J5" s="178">
        <f t="shared" si="1"/>
        <v>0</v>
      </c>
      <c r="K5" s="164" t="s">
        <v>6</v>
      </c>
      <c r="L5" s="40">
        <f t="shared" si="3"/>
        <v>0</v>
      </c>
      <c r="M5" s="40">
        <f t="shared" si="4"/>
        <v>0</v>
      </c>
      <c r="N5" s="123"/>
      <c r="O5" s="29"/>
      <c r="P5" s="114"/>
    </row>
    <row r="6" spans="2:18" s="9" customFormat="1" ht="16.5" customHeight="1" x14ac:dyDescent="0.25">
      <c r="B6" s="166"/>
      <c r="C6" s="168" t="s">
        <v>14</v>
      </c>
      <c r="D6" s="170"/>
      <c r="E6" s="174"/>
      <c r="F6" s="172" t="s">
        <v>14</v>
      </c>
      <c r="G6" s="28">
        <f t="shared" si="2"/>
        <v>0</v>
      </c>
      <c r="H6" s="176">
        <f>(E6*G6*(IFERROR(VLOOKUP(D6,BaseSalarial!$B$20:$E$58,4,0)/G6,"0")))</f>
        <v>0</v>
      </c>
      <c r="I6" s="196">
        <f t="shared" si="0"/>
        <v>0</v>
      </c>
      <c r="J6" s="178">
        <f t="shared" si="1"/>
        <v>0</v>
      </c>
      <c r="K6" s="164" t="s">
        <v>6</v>
      </c>
      <c r="L6" s="40">
        <f t="shared" si="3"/>
        <v>0</v>
      </c>
      <c r="M6" s="40">
        <f t="shared" si="4"/>
        <v>0</v>
      </c>
      <c r="N6" s="123"/>
      <c r="O6" s="29"/>
      <c r="P6" s="114"/>
    </row>
    <row r="7" spans="2:18" s="9" customFormat="1" ht="16.5" customHeight="1" x14ac:dyDescent="0.25">
      <c r="B7" s="166"/>
      <c r="C7" s="168" t="s">
        <v>14</v>
      </c>
      <c r="D7" s="170"/>
      <c r="E7" s="174"/>
      <c r="F7" s="172" t="s">
        <v>14</v>
      </c>
      <c r="G7" s="28">
        <f t="shared" si="2"/>
        <v>0</v>
      </c>
      <c r="H7" s="176">
        <f>(E7*G7*(IFERROR(VLOOKUP(D7,BaseSalarial!$B$20:$E$58,4,0)/G7,"0")))</f>
        <v>0</v>
      </c>
      <c r="I7" s="196">
        <f t="shared" si="0"/>
        <v>0</v>
      </c>
      <c r="J7" s="178">
        <f t="shared" si="1"/>
        <v>0</v>
      </c>
      <c r="K7" s="164" t="s">
        <v>6</v>
      </c>
      <c r="L7" s="40">
        <f t="shared" si="3"/>
        <v>0</v>
      </c>
      <c r="M7" s="40">
        <f t="shared" si="4"/>
        <v>0</v>
      </c>
      <c r="N7" s="123"/>
      <c r="O7" s="29"/>
      <c r="P7" s="114"/>
    </row>
    <row r="8" spans="2:18" s="9" customFormat="1" ht="16.5" customHeight="1" x14ac:dyDescent="0.25">
      <c r="B8" s="166"/>
      <c r="C8" s="168" t="s">
        <v>14</v>
      </c>
      <c r="D8" s="170"/>
      <c r="E8" s="174"/>
      <c r="F8" s="172" t="s">
        <v>14</v>
      </c>
      <c r="G8" s="28">
        <f t="shared" si="2"/>
        <v>0</v>
      </c>
      <c r="H8" s="176">
        <f>(E8*G8*(IFERROR(VLOOKUP(D8,BaseSalarial!$B$20:$E$58,4,0)/G8,"0")))</f>
        <v>0</v>
      </c>
      <c r="I8" s="196">
        <f t="shared" si="0"/>
        <v>0</v>
      </c>
      <c r="J8" s="178">
        <f t="shared" si="1"/>
        <v>0</v>
      </c>
      <c r="K8" s="164" t="s">
        <v>6</v>
      </c>
      <c r="L8" s="40">
        <f t="shared" si="3"/>
        <v>0</v>
      </c>
      <c r="M8" s="40">
        <f t="shared" si="4"/>
        <v>0</v>
      </c>
      <c r="N8" s="123"/>
      <c r="O8" s="29"/>
      <c r="P8" s="114"/>
    </row>
    <row r="9" spans="2:18" s="9" customFormat="1" ht="16.5" customHeight="1" x14ac:dyDescent="0.25">
      <c r="B9" s="166"/>
      <c r="C9" s="168" t="s">
        <v>14</v>
      </c>
      <c r="D9" s="170"/>
      <c r="E9" s="174"/>
      <c r="F9" s="172" t="s">
        <v>14</v>
      </c>
      <c r="G9" s="28">
        <f t="shared" si="2"/>
        <v>0</v>
      </c>
      <c r="H9" s="176">
        <f>(E9*G9*(IFERROR(VLOOKUP(D9,BaseSalarial!$B$20:$E$58,4,0)/G9,"0")))</f>
        <v>0</v>
      </c>
      <c r="I9" s="196">
        <f t="shared" si="0"/>
        <v>0</v>
      </c>
      <c r="J9" s="178">
        <f t="shared" si="1"/>
        <v>0</v>
      </c>
      <c r="K9" s="164" t="s">
        <v>6</v>
      </c>
      <c r="L9" s="40">
        <f t="shared" si="3"/>
        <v>0</v>
      </c>
      <c r="M9" s="40">
        <f t="shared" si="4"/>
        <v>0</v>
      </c>
      <c r="N9" s="123"/>
      <c r="O9" s="29"/>
      <c r="P9" s="114"/>
    </row>
    <row r="10" spans="2:18" s="9" customFormat="1" ht="16.5" customHeight="1" x14ac:dyDescent="0.25">
      <c r="B10" s="166"/>
      <c r="C10" s="168" t="s">
        <v>14</v>
      </c>
      <c r="D10" s="170"/>
      <c r="E10" s="174"/>
      <c r="F10" s="172" t="s">
        <v>14</v>
      </c>
      <c r="G10" s="28">
        <f t="shared" si="2"/>
        <v>0</v>
      </c>
      <c r="H10" s="176">
        <f>(E10*G10*(IFERROR(VLOOKUP(D10,BaseSalarial!$B$20:$E$58,4,0)/G10,"0")))</f>
        <v>0</v>
      </c>
      <c r="I10" s="196">
        <f t="shared" si="0"/>
        <v>0</v>
      </c>
      <c r="J10" s="178">
        <f t="shared" si="1"/>
        <v>0</v>
      </c>
      <c r="K10" s="164" t="s">
        <v>6</v>
      </c>
      <c r="L10" s="40">
        <f t="shared" si="3"/>
        <v>0</v>
      </c>
      <c r="M10" s="40">
        <f t="shared" si="4"/>
        <v>0</v>
      </c>
      <c r="N10" s="123"/>
      <c r="O10" s="29"/>
      <c r="P10" s="114"/>
    </row>
    <row r="11" spans="2:18" s="9" customFormat="1" ht="16.5" customHeight="1" x14ac:dyDescent="0.25">
      <c r="B11" s="166"/>
      <c r="C11" s="168" t="s">
        <v>14</v>
      </c>
      <c r="D11" s="170"/>
      <c r="E11" s="174"/>
      <c r="F11" s="172" t="s">
        <v>14</v>
      </c>
      <c r="G11" s="28">
        <f t="shared" si="2"/>
        <v>0</v>
      </c>
      <c r="H11" s="176">
        <f>(E11*G11*(IFERROR(VLOOKUP(D11,BaseSalarial!$B$20:$E$58,4,0)/G11,"0")))</f>
        <v>0</v>
      </c>
      <c r="I11" s="196">
        <f t="shared" si="0"/>
        <v>0</v>
      </c>
      <c r="J11" s="178">
        <f t="shared" si="1"/>
        <v>0</v>
      </c>
      <c r="K11" s="164" t="s">
        <v>6</v>
      </c>
      <c r="L11" s="40">
        <f t="shared" si="3"/>
        <v>0</v>
      </c>
      <c r="M11" s="40">
        <f t="shared" si="4"/>
        <v>0</v>
      </c>
      <c r="N11" s="123"/>
      <c r="O11" s="29"/>
      <c r="P11" s="114"/>
    </row>
    <row r="12" spans="2:18" s="9" customFormat="1" ht="16.5" customHeight="1" x14ac:dyDescent="0.25">
      <c r="B12" s="166"/>
      <c r="C12" s="168" t="s">
        <v>14</v>
      </c>
      <c r="D12" s="170"/>
      <c r="E12" s="174"/>
      <c r="F12" s="172" t="s">
        <v>14</v>
      </c>
      <c r="G12" s="28">
        <f t="shared" si="2"/>
        <v>0</v>
      </c>
      <c r="H12" s="176">
        <f>(E12*G12*(IFERROR(VLOOKUP(D12,BaseSalarial!$B$20:$E$58,4,0)/G12,"0")))</f>
        <v>0</v>
      </c>
      <c r="I12" s="196">
        <f t="shared" si="0"/>
        <v>0</v>
      </c>
      <c r="J12" s="178">
        <f t="shared" si="1"/>
        <v>0</v>
      </c>
      <c r="K12" s="164" t="s">
        <v>6</v>
      </c>
      <c r="L12" s="40">
        <f t="shared" si="3"/>
        <v>0</v>
      </c>
      <c r="M12" s="40">
        <f t="shared" si="4"/>
        <v>0</v>
      </c>
      <c r="N12" s="123"/>
      <c r="O12" s="29"/>
      <c r="P12" s="114"/>
    </row>
    <row r="13" spans="2:18" s="9" customFormat="1" ht="16.5" customHeight="1" x14ac:dyDescent="0.25">
      <c r="B13" s="166"/>
      <c r="C13" s="168" t="s">
        <v>14</v>
      </c>
      <c r="D13" s="170"/>
      <c r="E13" s="174"/>
      <c r="F13" s="172" t="s">
        <v>14</v>
      </c>
      <c r="G13" s="28">
        <f t="shared" si="2"/>
        <v>0</v>
      </c>
      <c r="H13" s="176">
        <f>(E13*G13*(IFERROR(VLOOKUP(D13,BaseSalarial!$B$20:$E$58,4,0)/G13,"0")))</f>
        <v>0</v>
      </c>
      <c r="I13" s="196">
        <f t="shared" si="0"/>
        <v>0</v>
      </c>
      <c r="J13" s="178">
        <f t="shared" si="1"/>
        <v>0</v>
      </c>
      <c r="K13" s="164" t="s">
        <v>6</v>
      </c>
      <c r="L13" s="40">
        <f t="shared" si="3"/>
        <v>0</v>
      </c>
      <c r="M13" s="40">
        <f t="shared" si="4"/>
        <v>0</v>
      </c>
      <c r="N13" s="123"/>
      <c r="O13" s="29"/>
      <c r="P13" s="114"/>
    </row>
    <row r="14" spans="2:18" s="9" customFormat="1" ht="16.5" customHeight="1" x14ac:dyDescent="0.25">
      <c r="B14" s="166"/>
      <c r="C14" s="168" t="s">
        <v>14</v>
      </c>
      <c r="D14" s="170"/>
      <c r="E14" s="174"/>
      <c r="F14" s="172" t="s">
        <v>14</v>
      </c>
      <c r="G14" s="28">
        <f t="shared" si="2"/>
        <v>0</v>
      </c>
      <c r="H14" s="176">
        <f>(E14*G14*(IFERROR(VLOOKUP(D14,BaseSalarial!$B$20:$E$58,4,0)/G14,"0")))</f>
        <v>0</v>
      </c>
      <c r="I14" s="196">
        <f t="shared" si="0"/>
        <v>0</v>
      </c>
      <c r="J14" s="178">
        <f t="shared" si="1"/>
        <v>0</v>
      </c>
      <c r="K14" s="164" t="s">
        <v>6</v>
      </c>
      <c r="L14" s="40">
        <f t="shared" si="3"/>
        <v>0</v>
      </c>
      <c r="M14" s="40">
        <f t="shared" si="4"/>
        <v>0</v>
      </c>
      <c r="N14" s="123"/>
      <c r="O14" s="29"/>
      <c r="P14" s="114"/>
      <c r="R14" s="41"/>
    </row>
    <row r="15" spans="2:18" s="9" customFormat="1" ht="16.5" customHeight="1" x14ac:dyDescent="0.25">
      <c r="B15" s="166"/>
      <c r="C15" s="168" t="s">
        <v>14</v>
      </c>
      <c r="D15" s="170"/>
      <c r="E15" s="174"/>
      <c r="F15" s="172" t="s">
        <v>14</v>
      </c>
      <c r="G15" s="28">
        <f t="shared" si="2"/>
        <v>0</v>
      </c>
      <c r="H15" s="176">
        <f>(E15*G15*(IFERROR(VLOOKUP(D15,BaseSalarial!$B$20:$E$58,4,0)/G15,"0")))</f>
        <v>0</v>
      </c>
      <c r="I15" s="196">
        <f t="shared" si="0"/>
        <v>0</v>
      </c>
      <c r="J15" s="178">
        <f t="shared" si="1"/>
        <v>0</v>
      </c>
      <c r="K15" s="164" t="s">
        <v>6</v>
      </c>
      <c r="L15" s="40">
        <f t="shared" si="3"/>
        <v>0</v>
      </c>
      <c r="M15" s="40">
        <f t="shared" si="4"/>
        <v>0</v>
      </c>
      <c r="N15" s="123"/>
      <c r="O15" s="29"/>
      <c r="P15" s="114"/>
    </row>
    <row r="16" spans="2:18" s="9" customFormat="1" ht="16.5" customHeight="1" x14ac:dyDescent="0.25">
      <c r="B16" s="166"/>
      <c r="C16" s="168" t="s">
        <v>14</v>
      </c>
      <c r="D16" s="170"/>
      <c r="E16" s="174"/>
      <c r="F16" s="172" t="s">
        <v>14</v>
      </c>
      <c r="G16" s="28">
        <f t="shared" si="2"/>
        <v>0</v>
      </c>
      <c r="H16" s="176">
        <f>(E16*G16*(IFERROR(VLOOKUP(D16,BaseSalarial!$B$20:$E$58,4,0)/G16,"0")))</f>
        <v>0</v>
      </c>
      <c r="I16" s="196">
        <f t="shared" si="0"/>
        <v>0</v>
      </c>
      <c r="J16" s="178">
        <f t="shared" si="1"/>
        <v>0</v>
      </c>
      <c r="K16" s="164" t="s">
        <v>6</v>
      </c>
      <c r="L16" s="40">
        <f t="shared" si="3"/>
        <v>0</v>
      </c>
      <c r="M16" s="40">
        <f t="shared" si="4"/>
        <v>0</v>
      </c>
      <c r="N16" s="123"/>
      <c r="O16" s="29"/>
      <c r="P16" s="114"/>
    </row>
    <row r="17" spans="2:16" s="9" customFormat="1" ht="16.5" customHeight="1" thickBot="1" x14ac:dyDescent="0.3">
      <c r="B17" s="167"/>
      <c r="C17" s="169" t="s">
        <v>14</v>
      </c>
      <c r="D17" s="171"/>
      <c r="E17" s="175"/>
      <c r="F17" s="173" t="s">
        <v>14</v>
      </c>
      <c r="G17" s="165">
        <f t="shared" si="2"/>
        <v>0</v>
      </c>
      <c r="H17" s="177">
        <f>(E17*G17*(IFERROR(VLOOKUP(D17,BaseSalarial!$B$20:$E$58,4,0)/G17,"0")))</f>
        <v>0</v>
      </c>
      <c r="I17" s="197">
        <f t="shared" si="0"/>
        <v>0</v>
      </c>
      <c r="J17" s="200">
        <f t="shared" si="1"/>
        <v>0</v>
      </c>
      <c r="K17" s="164" t="s">
        <v>6</v>
      </c>
      <c r="L17" s="40">
        <f t="shared" si="3"/>
        <v>0</v>
      </c>
      <c r="M17" s="40">
        <f t="shared" si="4"/>
        <v>0</v>
      </c>
      <c r="N17" s="123"/>
      <c r="O17" s="29"/>
      <c r="P17" s="114"/>
    </row>
    <row r="18" spans="2:16" s="9" customFormat="1" ht="16.5" customHeight="1" thickBot="1" x14ac:dyDescent="0.25">
      <c r="I18" s="199">
        <f>SUM(I3:I17)</f>
        <v>0</v>
      </c>
      <c r="J18" s="201">
        <f>SUM(J3:J17)</f>
        <v>0</v>
      </c>
      <c r="L18" s="42">
        <f>SUM(L3:L17)</f>
        <v>0</v>
      </c>
      <c r="M18" s="42">
        <f>SUM(M3:M17)</f>
        <v>0</v>
      </c>
      <c r="O18" s="115">
        <f>SUM(O3:O17)</f>
        <v>0</v>
      </c>
    </row>
    <row r="19" spans="2:16" s="9" customFormat="1" ht="16.5" customHeight="1" x14ac:dyDescent="0.25"/>
    <row r="20" spans="2:16" s="9" customFormat="1" ht="16.5" customHeight="1" x14ac:dyDescent="0.25"/>
    <row r="21" spans="2:16" x14ac:dyDescent="0.2">
      <c r="H21" s="9"/>
      <c r="I21" s="9"/>
      <c r="J21" s="9"/>
      <c r="K21" s="9"/>
      <c r="L21" s="9"/>
      <c r="M21" s="9"/>
      <c r="N21" s="9"/>
      <c r="O21" s="9"/>
    </row>
  </sheetData>
  <sheetProtection algorithmName="SHA-512" hashValue="ZqTSu5DapDZTRkOmWh2JSSfD6E46169KlPRSysOH1cO69twHTNUAlKEAnULzl4PHOPIRbUBL3r2o3dUfh/980g==" saltValue="oK5eJcsvkh+R1QSC10gdTw==" spinCount="100000" sheet="1" objects="1" scenarios="1"/>
  <dataConsolidate link="1"/>
  <conditionalFormatting sqref="K3:K17">
    <cfRule type="containsText" dxfId="17" priority="12" operator="containsText" text="NO">
      <formula>NOT(ISERROR(SEARCH("NO",K3)))</formula>
    </cfRule>
    <cfRule type="containsText" dxfId="16" priority="13" operator="containsText" text="SI">
      <formula>NOT(ISERROR(SEARCH("SI",K3)))</formula>
    </cfRule>
  </conditionalFormatting>
  <conditionalFormatting sqref="L3:M17">
    <cfRule type="containsText" dxfId="15" priority="17" operator="containsText" text="Sin comprobar">
      <formula>NOT(ISERROR(SEARCH("Sin comprobar",L3)))</formula>
    </cfRule>
  </conditionalFormatting>
  <dataValidations count="1">
    <dataValidation type="whole" allowBlank="1" showInputMessage="1" showErrorMessage="1" sqref="E3:E17">
      <formula1>1</formula1>
      <formula2>50</formula2>
    </dataValidation>
  </dataValidations>
  <pageMargins left="0.7" right="0.7" top="0.75" bottom="0.75" header="0.3" footer="0.3"/>
  <pageSetup orientation="portrait" horizontalDpi="360" verticalDpi="360" r:id="rId1"/>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x14:formula1>
            <xm:f>Convencionales!$B$3:$B$4</xm:f>
          </x14:formula1>
          <xm:sqref>K3:K17</xm:sqref>
        </x14:dataValidation>
        <x14:dataValidation type="list" allowBlank="1" showInputMessage="1" showErrorMessage="1">
          <x14:formula1>
            <xm:f>Convencionales!$C$3:$C$10</xm:f>
          </x14:formula1>
          <xm:sqref>F3:F17</xm:sqref>
        </x14:dataValidation>
        <x14:dataValidation type="list" allowBlank="1" showInputMessage="1" showErrorMessage="1">
          <x14:formula1>
            <xm:f>Convencionales!$G$2:$G$73</xm:f>
          </x14:formula1>
          <xm:sqref>C4:C17</xm:sqref>
        </x14:dataValidation>
        <x14:dataValidation type="list" allowBlank="1" showInputMessage="1" showErrorMessage="1">
          <x14:formula1>
            <xm:f>BaseSalarial!$B$20:$B$58</xm:f>
          </x14:formula1>
          <xm:sqref>D3:D17</xm:sqref>
        </x14:dataValidation>
        <x14:dataValidation type="list" allowBlank="1" showInputMessage="1" showErrorMessage="1">
          <x14:formula1>
            <xm:f>Convencionales!$G$2:$G$78</xm:f>
          </x14:formula1>
          <xm:sqref>C3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48"/>
  <sheetViews>
    <sheetView showGridLines="0" zoomScale="60" zoomScaleNormal="60" workbookViewId="0">
      <selection sqref="A1:XFD1048576"/>
    </sheetView>
  </sheetViews>
  <sheetFormatPr baseColWidth="10" defaultColWidth="11.42578125" defaultRowHeight="12.75" x14ac:dyDescent="0.2"/>
  <cols>
    <col min="1" max="1" width="11.42578125" style="2"/>
    <col min="2" max="2" width="18.28515625" style="2" customWidth="1"/>
    <col min="3" max="3" width="24.140625" style="2" customWidth="1"/>
    <col min="4" max="4" width="17" style="2" hidden="1" customWidth="1"/>
    <col min="5" max="5" width="18.5703125" style="2" bestFit="1" customWidth="1"/>
    <col min="6" max="6" width="16.42578125" style="2" customWidth="1"/>
    <col min="7" max="7" width="23" style="2" bestFit="1" customWidth="1"/>
    <col min="8" max="8" width="18.28515625" style="2" bestFit="1" customWidth="1"/>
    <col min="9" max="9" width="19" style="2" hidden="1" customWidth="1"/>
    <col min="10" max="10" width="19.42578125" style="2" hidden="1" customWidth="1"/>
    <col min="11" max="11" width="16.5703125" style="2" hidden="1" customWidth="1"/>
    <col min="12" max="12" width="11.42578125" style="2" hidden="1" customWidth="1"/>
    <col min="13" max="13" width="29" style="2" hidden="1" customWidth="1"/>
    <col min="14" max="16" width="11.42578125" style="2" customWidth="1"/>
    <col min="17" max="16384" width="11.42578125" style="2"/>
  </cols>
  <sheetData>
    <row r="1" spans="2:13" ht="45" customHeight="1" x14ac:dyDescent="0.2">
      <c r="E1" s="127" t="s">
        <v>269</v>
      </c>
    </row>
    <row r="2" spans="2:13" ht="33.75" customHeight="1" x14ac:dyDescent="0.2">
      <c r="B2" s="155" t="s">
        <v>268</v>
      </c>
      <c r="C2" s="156" t="s">
        <v>77</v>
      </c>
      <c r="D2" s="155" t="s">
        <v>81</v>
      </c>
      <c r="E2" s="154" t="s">
        <v>75</v>
      </c>
      <c r="F2" s="78" t="s">
        <v>15</v>
      </c>
      <c r="G2" s="77" t="s">
        <v>16</v>
      </c>
      <c r="H2" s="151" t="s">
        <v>4</v>
      </c>
      <c r="I2" s="151" t="s">
        <v>0</v>
      </c>
      <c r="J2" s="151" t="s">
        <v>1</v>
      </c>
      <c r="K2" s="151" t="s">
        <v>7</v>
      </c>
      <c r="L2" s="151" t="s">
        <v>250</v>
      </c>
      <c r="M2" s="151" t="s">
        <v>251</v>
      </c>
    </row>
    <row r="3" spans="2:13" s="9" customFormat="1" ht="15" customHeight="1" x14ac:dyDescent="0.25">
      <c r="B3" s="26">
        <v>0</v>
      </c>
      <c r="C3" s="3" t="s">
        <v>14</v>
      </c>
      <c r="D3" s="43">
        <f>IFERROR(VLOOKUP(C3,BaseSalarial!$B$13:$E$16,4,FALSE),0)</f>
        <v>0</v>
      </c>
      <c r="E3" s="3" t="s">
        <v>14</v>
      </c>
      <c r="F3" s="4">
        <f>B3*(IF(E3="4 MESES Semestre 1",D3*4,IF(E3="4 MESES Semestre 2",0,IF(E3="8 Meses",D3*4,IF(E3="10 Meses",D3*5,IF(E3="11 Meses",D3*5.5,IF(E3="1 Año",D3*6,IF(E3="Indefinido",D3*6,0))))))))</f>
        <v>0</v>
      </c>
      <c r="G3" s="4">
        <f>B3*(IF(E3="4 MESES Semestre 1",0,IF(E3="4 MESES Semestre 2",D3*4,IF(E3="8 Meses",D3*4,IF(E3="10 Meses",D3*5,IF(E3="11 Meses",D3*5.5,IF(E3="1 Año",D3*6,IF(E3="Indefinido",D3*6,0))))))))</f>
        <v>0</v>
      </c>
      <c r="H3" s="39" t="s">
        <v>6</v>
      </c>
      <c r="I3" s="40">
        <f>IF(H3="SI",F3,IF(H3="NO",0,"Sin comprobar"))</f>
        <v>0</v>
      </c>
      <c r="J3" s="40">
        <f>IF(H3="SI",G3,IF(H3="NO",0,"Sin comprobar"))</f>
        <v>0</v>
      </c>
      <c r="K3" s="121"/>
      <c r="L3" s="40"/>
      <c r="M3" s="114"/>
    </row>
    <row r="4" spans="2:13" s="9" customFormat="1" ht="15" customHeight="1" x14ac:dyDescent="0.25">
      <c r="B4" s="26">
        <v>0</v>
      </c>
      <c r="C4" s="3" t="s">
        <v>14</v>
      </c>
      <c r="D4" s="43">
        <f>IFERROR(VLOOKUP(C4,BaseSalarial!$B$13:$E$16,4,FALSE),0)</f>
        <v>0</v>
      </c>
      <c r="E4" s="3" t="s">
        <v>14</v>
      </c>
      <c r="F4" s="4">
        <f t="shared" ref="F4:F17" si="0">B4*(IF(E4="4 MESES Semestre 1",D4*4,IF(E4="4 MESES Semestre 2",0,IF(E4="8 Meses",D4*4,IF(E4="10 Meses",D4*5,IF(E4="11 Meses",D4*5.5,IF(E4="1 Año",D4*6,IF(E4="Indefinido",D4*6,0))))))))</f>
        <v>0</v>
      </c>
      <c r="G4" s="4">
        <f t="shared" ref="G4:G17" si="1">B4*(IF(E4="4 MESES Semestre 1",0,IF(E4="4 MESES Semestre 2",D4*4,IF(E4="8 Meses",D4*4,IF(E4="10 Meses",D4*5,IF(E4="11 Meses",D4*5.5,IF(E4="1 Año",D4*6,IF(E4="Indefinido",D4*6,0))))))))</f>
        <v>0</v>
      </c>
      <c r="H4" s="39" t="s">
        <v>6</v>
      </c>
      <c r="I4" s="40">
        <f t="shared" ref="I4:I17" si="2">IF(H4="SI",F4,IF(H4="NO",0,"Sin comprobar"))</f>
        <v>0</v>
      </c>
      <c r="J4" s="40">
        <f t="shared" ref="J4:J17" si="3">IF(H4="SI",G4,IF(H4="NO",0,"Sin comprobar"))</f>
        <v>0</v>
      </c>
      <c r="K4" s="121"/>
      <c r="L4" s="40"/>
      <c r="M4" s="114"/>
    </row>
    <row r="5" spans="2:13" s="9" customFormat="1" ht="15" customHeight="1" x14ac:dyDescent="0.25">
      <c r="B5" s="26">
        <v>0</v>
      </c>
      <c r="C5" s="3" t="s">
        <v>14</v>
      </c>
      <c r="D5" s="43">
        <f>IFERROR(VLOOKUP(C5,BaseSalarial!$B$13:$E$16,4,FALSE),0)</f>
        <v>0</v>
      </c>
      <c r="E5" s="3" t="s">
        <v>14</v>
      </c>
      <c r="F5" s="4">
        <f t="shared" si="0"/>
        <v>0</v>
      </c>
      <c r="G5" s="4">
        <f t="shared" si="1"/>
        <v>0</v>
      </c>
      <c r="H5" s="39" t="s">
        <v>6</v>
      </c>
      <c r="I5" s="40">
        <f t="shared" si="2"/>
        <v>0</v>
      </c>
      <c r="J5" s="40">
        <f t="shared" si="3"/>
        <v>0</v>
      </c>
      <c r="K5" s="121"/>
      <c r="L5" s="40"/>
      <c r="M5" s="114"/>
    </row>
    <row r="6" spans="2:13" s="9" customFormat="1" ht="15" customHeight="1" x14ac:dyDescent="0.25">
      <c r="B6" s="26">
        <v>0</v>
      </c>
      <c r="C6" s="3" t="s">
        <v>14</v>
      </c>
      <c r="D6" s="43">
        <f>IFERROR(VLOOKUP(C6,BaseSalarial!$B$13:$E$16,4,FALSE),0)</f>
        <v>0</v>
      </c>
      <c r="E6" s="3" t="s">
        <v>14</v>
      </c>
      <c r="F6" s="4">
        <f t="shared" si="0"/>
        <v>0</v>
      </c>
      <c r="G6" s="4">
        <f t="shared" si="1"/>
        <v>0</v>
      </c>
      <c r="H6" s="39" t="s">
        <v>6</v>
      </c>
      <c r="I6" s="40">
        <f t="shared" si="2"/>
        <v>0</v>
      </c>
      <c r="J6" s="40">
        <f t="shared" si="3"/>
        <v>0</v>
      </c>
      <c r="K6" s="121"/>
      <c r="L6" s="40"/>
      <c r="M6" s="114"/>
    </row>
    <row r="7" spans="2:13" s="9" customFormat="1" ht="15" customHeight="1" x14ac:dyDescent="0.25">
      <c r="B7" s="26">
        <v>0</v>
      </c>
      <c r="C7" s="3" t="s">
        <v>14</v>
      </c>
      <c r="D7" s="43">
        <f>IFERROR(VLOOKUP(C7,BaseSalarial!$B$13:$E$16,4,FALSE),0)</f>
        <v>0</v>
      </c>
      <c r="E7" s="3" t="s">
        <v>14</v>
      </c>
      <c r="F7" s="4">
        <f t="shared" si="0"/>
        <v>0</v>
      </c>
      <c r="G7" s="4">
        <f t="shared" si="1"/>
        <v>0</v>
      </c>
      <c r="H7" s="39" t="s">
        <v>6</v>
      </c>
      <c r="I7" s="40">
        <f t="shared" si="2"/>
        <v>0</v>
      </c>
      <c r="J7" s="40">
        <f t="shared" si="3"/>
        <v>0</v>
      </c>
      <c r="K7" s="121"/>
      <c r="L7" s="40"/>
      <c r="M7" s="114"/>
    </row>
    <row r="8" spans="2:13" s="9" customFormat="1" ht="15" customHeight="1" x14ac:dyDescent="0.25">
      <c r="B8" s="26">
        <v>0</v>
      </c>
      <c r="C8" s="3" t="s">
        <v>14</v>
      </c>
      <c r="D8" s="43">
        <f>IFERROR(VLOOKUP(C8,BaseSalarial!$B$13:$E$16,4,FALSE),0)</f>
        <v>0</v>
      </c>
      <c r="E8" s="3" t="s">
        <v>14</v>
      </c>
      <c r="F8" s="4">
        <f t="shared" si="0"/>
        <v>0</v>
      </c>
      <c r="G8" s="4">
        <f t="shared" si="1"/>
        <v>0</v>
      </c>
      <c r="H8" s="39" t="s">
        <v>6</v>
      </c>
      <c r="I8" s="40">
        <f t="shared" si="2"/>
        <v>0</v>
      </c>
      <c r="J8" s="40">
        <f t="shared" si="3"/>
        <v>0</v>
      </c>
      <c r="K8" s="121"/>
      <c r="L8" s="40"/>
      <c r="M8" s="114"/>
    </row>
    <row r="9" spans="2:13" s="9" customFormat="1" ht="15" customHeight="1" x14ac:dyDescent="0.25">
      <c r="B9" s="26">
        <v>0</v>
      </c>
      <c r="C9" s="3" t="s">
        <v>14</v>
      </c>
      <c r="D9" s="43">
        <f>IFERROR(VLOOKUP(C9,BaseSalarial!$B$13:$E$16,4,FALSE),0)</f>
        <v>0</v>
      </c>
      <c r="E9" s="3" t="s">
        <v>14</v>
      </c>
      <c r="F9" s="4">
        <f t="shared" si="0"/>
        <v>0</v>
      </c>
      <c r="G9" s="4">
        <f t="shared" si="1"/>
        <v>0</v>
      </c>
      <c r="H9" s="39" t="s">
        <v>6</v>
      </c>
      <c r="I9" s="40">
        <f t="shared" si="2"/>
        <v>0</v>
      </c>
      <c r="J9" s="40">
        <f t="shared" si="3"/>
        <v>0</v>
      </c>
      <c r="K9" s="121"/>
      <c r="L9" s="40"/>
      <c r="M9" s="114"/>
    </row>
    <row r="10" spans="2:13" s="9" customFormat="1" ht="15" customHeight="1" x14ac:dyDescent="0.25">
      <c r="B10" s="26">
        <v>0</v>
      </c>
      <c r="C10" s="3" t="s">
        <v>14</v>
      </c>
      <c r="D10" s="43">
        <f>IFERROR(VLOOKUP(C10,BaseSalarial!$B$13:$E$16,4,FALSE),0)</f>
        <v>0</v>
      </c>
      <c r="E10" s="3" t="s">
        <v>14</v>
      </c>
      <c r="F10" s="4">
        <f t="shared" si="0"/>
        <v>0</v>
      </c>
      <c r="G10" s="4">
        <f t="shared" si="1"/>
        <v>0</v>
      </c>
      <c r="H10" s="39" t="s">
        <v>6</v>
      </c>
      <c r="I10" s="40">
        <f t="shared" si="2"/>
        <v>0</v>
      </c>
      <c r="J10" s="40">
        <f t="shared" si="3"/>
        <v>0</v>
      </c>
      <c r="K10" s="121"/>
      <c r="L10" s="40"/>
      <c r="M10" s="114"/>
    </row>
    <row r="11" spans="2:13" s="9" customFormat="1" ht="15" customHeight="1" x14ac:dyDescent="0.25">
      <c r="B11" s="26">
        <v>0</v>
      </c>
      <c r="C11" s="3" t="s">
        <v>14</v>
      </c>
      <c r="D11" s="43">
        <f>IFERROR(VLOOKUP(C11,BaseSalarial!$B$13:$E$16,4,FALSE),0)</f>
        <v>0</v>
      </c>
      <c r="E11" s="3" t="s">
        <v>14</v>
      </c>
      <c r="F11" s="4">
        <f t="shared" si="0"/>
        <v>0</v>
      </c>
      <c r="G11" s="4">
        <f t="shared" si="1"/>
        <v>0</v>
      </c>
      <c r="H11" s="39" t="s">
        <v>6</v>
      </c>
      <c r="I11" s="40">
        <f t="shared" si="2"/>
        <v>0</v>
      </c>
      <c r="J11" s="40">
        <f t="shared" si="3"/>
        <v>0</v>
      </c>
      <c r="K11" s="121"/>
      <c r="L11" s="40"/>
      <c r="M11" s="114"/>
    </row>
    <row r="12" spans="2:13" s="9" customFormat="1" ht="15" customHeight="1" x14ac:dyDescent="0.25">
      <c r="B12" s="26">
        <v>0</v>
      </c>
      <c r="C12" s="3" t="s">
        <v>14</v>
      </c>
      <c r="D12" s="43">
        <f>IFERROR(VLOOKUP(C12,BaseSalarial!$B$13:$E$16,4,FALSE),0)</f>
        <v>0</v>
      </c>
      <c r="E12" s="3" t="s">
        <v>14</v>
      </c>
      <c r="F12" s="4">
        <f t="shared" si="0"/>
        <v>0</v>
      </c>
      <c r="G12" s="4">
        <f t="shared" si="1"/>
        <v>0</v>
      </c>
      <c r="H12" s="39" t="s">
        <v>6</v>
      </c>
      <c r="I12" s="40">
        <f t="shared" si="2"/>
        <v>0</v>
      </c>
      <c r="J12" s="40">
        <f t="shared" si="3"/>
        <v>0</v>
      </c>
      <c r="K12" s="121"/>
      <c r="L12" s="40"/>
      <c r="M12" s="114"/>
    </row>
    <row r="13" spans="2:13" s="9" customFormat="1" ht="15" customHeight="1" x14ac:dyDescent="0.25">
      <c r="B13" s="26">
        <v>0</v>
      </c>
      <c r="C13" s="3" t="s">
        <v>14</v>
      </c>
      <c r="D13" s="43">
        <f>IFERROR(VLOOKUP(C13,BaseSalarial!$B$13:$E$16,4,FALSE),0)</f>
        <v>0</v>
      </c>
      <c r="E13" s="3" t="s">
        <v>14</v>
      </c>
      <c r="F13" s="4">
        <f t="shared" si="0"/>
        <v>0</v>
      </c>
      <c r="G13" s="4">
        <f t="shared" si="1"/>
        <v>0</v>
      </c>
      <c r="H13" s="39" t="s">
        <v>6</v>
      </c>
      <c r="I13" s="40">
        <f t="shared" si="2"/>
        <v>0</v>
      </c>
      <c r="J13" s="40">
        <f t="shared" si="3"/>
        <v>0</v>
      </c>
      <c r="K13" s="121"/>
      <c r="L13" s="40"/>
      <c r="M13" s="114"/>
    </row>
    <row r="14" spans="2:13" s="9" customFormat="1" ht="15" customHeight="1" x14ac:dyDescent="0.25">
      <c r="B14" s="26">
        <v>0</v>
      </c>
      <c r="C14" s="3" t="s">
        <v>14</v>
      </c>
      <c r="D14" s="43">
        <f>IFERROR(VLOOKUP(C14,BaseSalarial!$B$13:$E$16,4,FALSE),0)</f>
        <v>0</v>
      </c>
      <c r="E14" s="3" t="s">
        <v>14</v>
      </c>
      <c r="F14" s="4">
        <f t="shared" si="0"/>
        <v>0</v>
      </c>
      <c r="G14" s="4">
        <f t="shared" si="1"/>
        <v>0</v>
      </c>
      <c r="H14" s="39" t="s">
        <v>6</v>
      </c>
      <c r="I14" s="40">
        <f t="shared" si="2"/>
        <v>0</v>
      </c>
      <c r="J14" s="40">
        <f t="shared" si="3"/>
        <v>0</v>
      </c>
      <c r="K14" s="121"/>
      <c r="L14" s="40"/>
      <c r="M14" s="114"/>
    </row>
    <row r="15" spans="2:13" s="9" customFormat="1" ht="15" customHeight="1" x14ac:dyDescent="0.25">
      <c r="B15" s="26">
        <v>0</v>
      </c>
      <c r="C15" s="3" t="s">
        <v>14</v>
      </c>
      <c r="D15" s="43">
        <f>IFERROR(VLOOKUP(C15,BaseSalarial!$B$13:$E$16,4,FALSE),0)</f>
        <v>0</v>
      </c>
      <c r="E15" s="3" t="s">
        <v>14</v>
      </c>
      <c r="F15" s="4">
        <f t="shared" si="0"/>
        <v>0</v>
      </c>
      <c r="G15" s="4">
        <f t="shared" si="1"/>
        <v>0</v>
      </c>
      <c r="H15" s="39" t="s">
        <v>6</v>
      </c>
      <c r="I15" s="40">
        <f t="shared" si="2"/>
        <v>0</v>
      </c>
      <c r="J15" s="40">
        <f t="shared" si="3"/>
        <v>0</v>
      </c>
      <c r="K15" s="121"/>
      <c r="L15" s="40"/>
      <c r="M15" s="114"/>
    </row>
    <row r="16" spans="2:13" s="9" customFormat="1" ht="15" customHeight="1" x14ac:dyDescent="0.25">
      <c r="B16" s="26">
        <v>0</v>
      </c>
      <c r="C16" s="3" t="s">
        <v>14</v>
      </c>
      <c r="D16" s="43">
        <f>IFERROR(VLOOKUP(C16,BaseSalarial!$B$13:$E$16,4,FALSE),0)</f>
        <v>0</v>
      </c>
      <c r="E16" s="3" t="s">
        <v>14</v>
      </c>
      <c r="F16" s="4">
        <f t="shared" si="0"/>
        <v>0</v>
      </c>
      <c r="G16" s="4">
        <f t="shared" si="1"/>
        <v>0</v>
      </c>
      <c r="H16" s="39" t="s">
        <v>6</v>
      </c>
      <c r="I16" s="40">
        <f t="shared" si="2"/>
        <v>0</v>
      </c>
      <c r="J16" s="40">
        <f t="shared" si="3"/>
        <v>0</v>
      </c>
      <c r="K16" s="121"/>
      <c r="L16" s="40"/>
      <c r="M16" s="114"/>
    </row>
    <row r="17" spans="2:13" s="9" customFormat="1" ht="15" customHeight="1" x14ac:dyDescent="0.25">
      <c r="B17" s="26">
        <v>0</v>
      </c>
      <c r="C17" s="3" t="s">
        <v>14</v>
      </c>
      <c r="D17" s="43">
        <f>IFERROR(VLOOKUP(C17,BaseSalarial!$B$13:$E$16,4,FALSE),0)</f>
        <v>0</v>
      </c>
      <c r="E17" s="3" t="s">
        <v>14</v>
      </c>
      <c r="F17" s="4">
        <f t="shared" si="0"/>
        <v>0</v>
      </c>
      <c r="G17" s="4">
        <f t="shared" si="1"/>
        <v>0</v>
      </c>
      <c r="H17" s="39" t="s">
        <v>6</v>
      </c>
      <c r="I17" s="40">
        <f t="shared" si="2"/>
        <v>0</v>
      </c>
      <c r="J17" s="40">
        <f t="shared" si="3"/>
        <v>0</v>
      </c>
      <c r="K17" s="121"/>
      <c r="L17" s="40"/>
      <c r="M17" s="114"/>
    </row>
    <row r="18" spans="2:13" s="9" customFormat="1" ht="16.5" customHeight="1" x14ac:dyDescent="0.2">
      <c r="B18" s="2"/>
      <c r="C18" s="2"/>
      <c r="D18" s="2"/>
      <c r="E18" s="2"/>
      <c r="F18" s="8">
        <f>SUM(F3:F17)</f>
        <v>0</v>
      </c>
      <c r="G18" s="8">
        <f>SUM(G3:G17)</f>
        <v>0</v>
      </c>
      <c r="H18" s="2"/>
      <c r="I18" s="8">
        <f>SUM(I3:I17)</f>
        <v>0</v>
      </c>
      <c r="J18" s="8">
        <f>SUM(J3:J17)</f>
        <v>0</v>
      </c>
      <c r="K18" s="2"/>
      <c r="L18" s="116">
        <f>SUM(L3:L17)</f>
        <v>0</v>
      </c>
      <c r="M18" s="2"/>
    </row>
    <row r="20" spans="2:13" ht="15" x14ac:dyDescent="0.2">
      <c r="E20" s="127" t="s">
        <v>270</v>
      </c>
    </row>
    <row r="22" spans="2:13" ht="32.1" customHeight="1" x14ac:dyDescent="0.2">
      <c r="B22" s="155" t="s">
        <v>268</v>
      </c>
      <c r="C22" s="156" t="s">
        <v>77</v>
      </c>
      <c r="D22" s="155" t="s">
        <v>81</v>
      </c>
      <c r="E22" s="154" t="s">
        <v>75</v>
      </c>
      <c r="F22" s="78" t="s">
        <v>15</v>
      </c>
      <c r="G22" s="77" t="s">
        <v>16</v>
      </c>
      <c r="H22" s="151" t="s">
        <v>4</v>
      </c>
      <c r="I22" s="151" t="s">
        <v>0</v>
      </c>
      <c r="J22" s="151" t="s">
        <v>1</v>
      </c>
      <c r="K22" s="151" t="s">
        <v>7</v>
      </c>
      <c r="L22" s="151" t="s">
        <v>250</v>
      </c>
      <c r="M22" s="151" t="s">
        <v>251</v>
      </c>
    </row>
    <row r="23" spans="2:13" ht="15" customHeight="1" x14ac:dyDescent="0.2">
      <c r="B23" s="26">
        <v>0</v>
      </c>
      <c r="C23" s="3" t="s">
        <v>14</v>
      </c>
      <c r="D23" s="43">
        <f>IFERROR(VLOOKUP(C23,BaseSalarial!$B$13:$J$16,8,FALSE),0)</f>
        <v>0</v>
      </c>
      <c r="E23" s="3" t="s">
        <v>14</v>
      </c>
      <c r="F23" s="4">
        <f>B23*(IF(E23="4 MESES Semestre 1",D23*4,IF(E23="4 MESES Semestre 2",0,IF(E23="8 Meses",D23*4,IF(E23="10 Meses",D23*5,IF(E23="11 Meses",D23*5.5,IF(E23="1 Año",D23*6,IF(E23="Indefinido",D23*6,0))))))))</f>
        <v>0</v>
      </c>
      <c r="G23" s="4">
        <f>B23*(IF(E23="4 MESES Semestre 1",0,IF(E23="4 MESES Semestre 2",D23*4,IF(E23="8 Meses",D23*4,IF(E23="10 Meses",D23*5,IF(E23="11 Meses",D23*5.5,IF(E23="1 Año",D23*6,IF(E23="Indefinido",D23*6,0))))))))</f>
        <v>0</v>
      </c>
      <c r="H23" s="39" t="s">
        <v>6</v>
      </c>
      <c r="I23" s="40">
        <f>IF(H23="SI",F23,IF(H23="NO",0,"Sin comprobar"))</f>
        <v>0</v>
      </c>
      <c r="J23" s="40">
        <f>IF(H23="SI",G23,IF(H23="NO",0,"Sin comprobar"))</f>
        <v>0</v>
      </c>
      <c r="K23" s="121"/>
      <c r="L23" s="40"/>
      <c r="M23" s="114"/>
    </row>
    <row r="24" spans="2:13" ht="15" customHeight="1" x14ac:dyDescent="0.2">
      <c r="B24" s="26">
        <v>0</v>
      </c>
      <c r="C24" s="3" t="s">
        <v>14</v>
      </c>
      <c r="D24" s="43">
        <f>IFERROR(VLOOKUP(C24,BaseSalarial!$B$13:$J$16,8,FALSE),0)</f>
        <v>0</v>
      </c>
      <c r="E24" s="3" t="s">
        <v>14</v>
      </c>
      <c r="F24" s="4">
        <f t="shared" ref="F24:F32" si="4">B24*(IF(E24="4 MESES Semestre 1",D24*4,IF(E24="4 MESES Semestre 2",0,IF(E24="8 Meses",D24*4,IF(E24="10 Meses",D24*5,IF(E24="11 Meses",D24*5.5,IF(E24="1 Año",D24*6,IF(E24="Indefinido",D24*6,0))))))))</f>
        <v>0</v>
      </c>
      <c r="G24" s="4">
        <f t="shared" ref="G24:G32" si="5">B24*(IF(E24="4 MESES Semestre 1",0,IF(E24="4 MESES Semestre 2",D24*4,IF(E24="8 Meses",D24*4,IF(E24="10 Meses",D24*5,IF(E24="11 Meses",D24*5.5,IF(E24="1 Año",D24*6,IF(E24="Indefinido",D24*6,0))))))))</f>
        <v>0</v>
      </c>
      <c r="H24" s="39" t="s">
        <v>6</v>
      </c>
      <c r="I24" s="40">
        <f t="shared" ref="I24:I32" si="6">IF(H24="SI",F24,IF(H24="NO",0,"Sin comprobar"))</f>
        <v>0</v>
      </c>
      <c r="J24" s="40">
        <f t="shared" ref="J24:J32" si="7">IF(H24="SI",G24,IF(H24="NO",0,"Sin comprobar"))</f>
        <v>0</v>
      </c>
      <c r="K24" s="121"/>
      <c r="L24" s="40"/>
      <c r="M24" s="114"/>
    </row>
    <row r="25" spans="2:13" ht="15" customHeight="1" x14ac:dyDescent="0.2">
      <c r="B25" s="26">
        <v>0</v>
      </c>
      <c r="C25" s="3" t="s">
        <v>14</v>
      </c>
      <c r="D25" s="43">
        <f>IFERROR(VLOOKUP(C25,BaseSalarial!$B$13:$J$16,8,FALSE),0)</f>
        <v>0</v>
      </c>
      <c r="E25" s="3" t="s">
        <v>14</v>
      </c>
      <c r="F25" s="4">
        <f t="shared" si="4"/>
        <v>0</v>
      </c>
      <c r="G25" s="4">
        <f t="shared" si="5"/>
        <v>0</v>
      </c>
      <c r="H25" s="39" t="s">
        <v>6</v>
      </c>
      <c r="I25" s="40">
        <f t="shared" si="6"/>
        <v>0</v>
      </c>
      <c r="J25" s="40">
        <f t="shared" si="7"/>
        <v>0</v>
      </c>
      <c r="K25" s="121"/>
      <c r="L25" s="40"/>
      <c r="M25" s="114"/>
    </row>
    <row r="26" spans="2:13" ht="15" customHeight="1" x14ac:dyDescent="0.2">
      <c r="B26" s="26">
        <v>0</v>
      </c>
      <c r="C26" s="3" t="s">
        <v>14</v>
      </c>
      <c r="D26" s="43">
        <f>IFERROR(VLOOKUP(C26,BaseSalarial!$B$13:$J$16,8,FALSE),0)</f>
        <v>0</v>
      </c>
      <c r="E26" s="3" t="s">
        <v>14</v>
      </c>
      <c r="F26" s="4">
        <f t="shared" si="4"/>
        <v>0</v>
      </c>
      <c r="G26" s="4">
        <f t="shared" si="5"/>
        <v>0</v>
      </c>
      <c r="H26" s="39" t="s">
        <v>6</v>
      </c>
      <c r="I26" s="40">
        <f t="shared" si="6"/>
        <v>0</v>
      </c>
      <c r="J26" s="40">
        <f t="shared" si="7"/>
        <v>0</v>
      </c>
      <c r="K26" s="121"/>
      <c r="L26" s="40"/>
      <c r="M26" s="114"/>
    </row>
    <row r="27" spans="2:13" ht="15" customHeight="1" x14ac:dyDescent="0.2">
      <c r="B27" s="26">
        <v>0</v>
      </c>
      <c r="C27" s="3" t="s">
        <v>14</v>
      </c>
      <c r="D27" s="43">
        <f>IFERROR(VLOOKUP(C27,BaseSalarial!$B$13:$J$16,8,FALSE),0)</f>
        <v>0</v>
      </c>
      <c r="E27" s="3" t="s">
        <v>14</v>
      </c>
      <c r="F27" s="4">
        <f t="shared" si="4"/>
        <v>0</v>
      </c>
      <c r="G27" s="4">
        <f t="shared" si="5"/>
        <v>0</v>
      </c>
      <c r="H27" s="39" t="s">
        <v>6</v>
      </c>
      <c r="I27" s="40">
        <f t="shared" si="6"/>
        <v>0</v>
      </c>
      <c r="J27" s="40">
        <f t="shared" si="7"/>
        <v>0</v>
      </c>
      <c r="K27" s="121"/>
      <c r="L27" s="40"/>
      <c r="M27" s="114"/>
    </row>
    <row r="28" spans="2:13" ht="15" customHeight="1" x14ac:dyDescent="0.2">
      <c r="B28" s="26">
        <v>0</v>
      </c>
      <c r="C28" s="3" t="s">
        <v>14</v>
      </c>
      <c r="D28" s="43">
        <f>IFERROR(VLOOKUP(C28,BaseSalarial!$B$13:$J$16,8,FALSE),0)</f>
        <v>0</v>
      </c>
      <c r="E28" s="3" t="s">
        <v>14</v>
      </c>
      <c r="F28" s="4">
        <f t="shared" si="4"/>
        <v>0</v>
      </c>
      <c r="G28" s="4">
        <f t="shared" si="5"/>
        <v>0</v>
      </c>
      <c r="H28" s="39" t="s">
        <v>6</v>
      </c>
      <c r="I28" s="40">
        <f t="shared" si="6"/>
        <v>0</v>
      </c>
      <c r="J28" s="40">
        <f t="shared" si="7"/>
        <v>0</v>
      </c>
      <c r="K28" s="121"/>
      <c r="L28" s="40"/>
      <c r="M28" s="114"/>
    </row>
    <row r="29" spans="2:13" ht="15" customHeight="1" x14ac:dyDescent="0.2">
      <c r="B29" s="26">
        <v>0</v>
      </c>
      <c r="C29" s="3" t="s">
        <v>14</v>
      </c>
      <c r="D29" s="43">
        <f>IFERROR(VLOOKUP(C29,BaseSalarial!$B$13:$J$16,8,FALSE),0)</f>
        <v>0</v>
      </c>
      <c r="E29" s="3" t="s">
        <v>14</v>
      </c>
      <c r="F29" s="4">
        <f t="shared" si="4"/>
        <v>0</v>
      </c>
      <c r="G29" s="4">
        <f t="shared" si="5"/>
        <v>0</v>
      </c>
      <c r="H29" s="39" t="s">
        <v>6</v>
      </c>
      <c r="I29" s="40">
        <f t="shared" si="6"/>
        <v>0</v>
      </c>
      <c r="J29" s="40">
        <f t="shared" si="7"/>
        <v>0</v>
      </c>
      <c r="K29" s="121"/>
      <c r="L29" s="40"/>
      <c r="M29" s="114"/>
    </row>
    <row r="30" spans="2:13" ht="15" customHeight="1" x14ac:dyDescent="0.2">
      <c r="B30" s="26">
        <v>0</v>
      </c>
      <c r="C30" s="3" t="s">
        <v>14</v>
      </c>
      <c r="D30" s="43">
        <f>IFERROR(VLOOKUP(C30,BaseSalarial!$B$13:$J$16,8,FALSE),0)</f>
        <v>0</v>
      </c>
      <c r="E30" s="3" t="s">
        <v>14</v>
      </c>
      <c r="F30" s="4">
        <f t="shared" si="4"/>
        <v>0</v>
      </c>
      <c r="G30" s="4">
        <f t="shared" si="5"/>
        <v>0</v>
      </c>
      <c r="H30" s="39" t="s">
        <v>6</v>
      </c>
      <c r="I30" s="40">
        <f t="shared" si="6"/>
        <v>0</v>
      </c>
      <c r="J30" s="40">
        <f t="shared" si="7"/>
        <v>0</v>
      </c>
      <c r="K30" s="121"/>
      <c r="L30" s="40"/>
      <c r="M30" s="114"/>
    </row>
    <row r="31" spans="2:13" ht="15" customHeight="1" x14ac:dyDescent="0.2">
      <c r="B31" s="26">
        <v>0</v>
      </c>
      <c r="C31" s="3" t="s">
        <v>14</v>
      </c>
      <c r="D31" s="43">
        <f>IFERROR(VLOOKUP(C31,BaseSalarial!$B$13:$J$16,8,FALSE),0)</f>
        <v>0</v>
      </c>
      <c r="E31" s="3" t="s">
        <v>14</v>
      </c>
      <c r="F31" s="4">
        <f t="shared" si="4"/>
        <v>0</v>
      </c>
      <c r="G31" s="4">
        <f t="shared" si="5"/>
        <v>0</v>
      </c>
      <c r="H31" s="39" t="s">
        <v>6</v>
      </c>
      <c r="I31" s="40">
        <f t="shared" si="6"/>
        <v>0</v>
      </c>
      <c r="J31" s="40">
        <f t="shared" si="7"/>
        <v>0</v>
      </c>
      <c r="K31" s="121"/>
      <c r="L31" s="40"/>
      <c r="M31" s="114"/>
    </row>
    <row r="32" spans="2:13" ht="15" customHeight="1" x14ac:dyDescent="0.2">
      <c r="B32" s="26">
        <v>0</v>
      </c>
      <c r="C32" s="3" t="s">
        <v>14</v>
      </c>
      <c r="D32" s="43">
        <f>IFERROR(VLOOKUP(C32,BaseSalarial!$B$13:$J$16,8,FALSE),0)</f>
        <v>0</v>
      </c>
      <c r="E32" s="3" t="s">
        <v>14</v>
      </c>
      <c r="F32" s="4">
        <f t="shared" si="4"/>
        <v>0</v>
      </c>
      <c r="G32" s="4">
        <f t="shared" si="5"/>
        <v>0</v>
      </c>
      <c r="H32" s="39" t="s">
        <v>6</v>
      </c>
      <c r="I32" s="40">
        <f t="shared" si="6"/>
        <v>0</v>
      </c>
      <c r="J32" s="40">
        <f t="shared" si="7"/>
        <v>0</v>
      </c>
      <c r="K32" s="121"/>
      <c r="L32" s="40"/>
      <c r="M32" s="114"/>
    </row>
    <row r="33" spans="2:13" ht="16.5" customHeight="1" x14ac:dyDescent="0.2">
      <c r="F33" s="8">
        <f>SUM(F23:F32)</f>
        <v>0</v>
      </c>
      <c r="G33" s="8">
        <f>SUM(G23:G32)</f>
        <v>0</v>
      </c>
      <c r="I33" s="8">
        <f>SUM(I23:I32)</f>
        <v>0</v>
      </c>
      <c r="J33" s="8">
        <f>SUM(J23:J32)</f>
        <v>0</v>
      </c>
      <c r="L33" s="116">
        <f>SUM(L23:L32)</f>
        <v>0</v>
      </c>
    </row>
    <row r="35" spans="2:13" ht="15" x14ac:dyDescent="0.2">
      <c r="E35" s="127" t="s">
        <v>271</v>
      </c>
    </row>
    <row r="37" spans="2:13" ht="25.5" x14ac:dyDescent="0.2">
      <c r="B37" s="157" t="s">
        <v>358</v>
      </c>
      <c r="C37" s="155" t="s">
        <v>359</v>
      </c>
      <c r="D37" s="155" t="s">
        <v>81</v>
      </c>
      <c r="E37" s="154" t="s">
        <v>75</v>
      </c>
      <c r="F37" s="78" t="s">
        <v>15</v>
      </c>
      <c r="G37" s="77" t="s">
        <v>16</v>
      </c>
      <c r="H37" s="151" t="s">
        <v>4</v>
      </c>
      <c r="I37" s="151" t="s">
        <v>0</v>
      </c>
      <c r="J37" s="151" t="s">
        <v>1</v>
      </c>
      <c r="K37" s="151" t="s">
        <v>7</v>
      </c>
      <c r="L37" s="151" t="s">
        <v>250</v>
      </c>
      <c r="M37" s="151" t="s">
        <v>251</v>
      </c>
    </row>
    <row r="38" spans="2:13" ht="15" customHeight="1" x14ac:dyDescent="0.2">
      <c r="B38" s="26"/>
      <c r="C38" s="4">
        <f>IF(B38&gt;8,0,B38*BaseSalarial!$D$9)</f>
        <v>0</v>
      </c>
      <c r="D38" s="4">
        <f>IF(C38&lt;=(BaseSalarial!$D$9*8),C38,0)*4</f>
        <v>0</v>
      </c>
      <c r="E38" s="3" t="s">
        <v>14</v>
      </c>
      <c r="F38" s="4">
        <f>IF(E38="4 MESES Semestre 1",D38*4,IF(E38="4 MESES Semestre 2",0,IF(E38="8 Meses",D38*4,IF(E38="10 Meses",D38*5,IF(E38="11 Meses",D38*5.5,IF(E38="1 Año",D38*6,0))))))</f>
        <v>0</v>
      </c>
      <c r="G38" s="4">
        <f>IF(E38="4 MESES Semestre 1",0,IF(E38="4 MESES Semestre 2",D38*4,IF(E38="8 Meses",D38*4,IF(E38="10 Meses",D38*5,IF(E38="11 Meses",D38*5.5,IF(E38="1 Año",D38*6,0))))))</f>
        <v>0</v>
      </c>
      <c r="H38" s="39" t="s">
        <v>6</v>
      </c>
      <c r="I38" s="40">
        <f>IF(H38="SI",F38,IF(H38="NO",0,"Sin comprobar"))</f>
        <v>0</v>
      </c>
      <c r="J38" s="40">
        <f>IF(H38="SI",G38,IF(H38="NO",0,"Sin comprobar"))</f>
        <v>0</v>
      </c>
      <c r="K38" s="121"/>
      <c r="L38" s="40"/>
      <c r="M38" s="114"/>
    </row>
    <row r="39" spans="2:13" ht="15" customHeight="1" x14ac:dyDescent="0.2">
      <c r="B39" s="26"/>
      <c r="C39" s="4">
        <f>IF(B39&gt;8,0,B39*BaseSalarial!$D$9)</f>
        <v>0</v>
      </c>
      <c r="D39" s="4">
        <f>IF(C39&lt;=(BaseSalarial!$D$9*8),C39,0)*4</f>
        <v>0</v>
      </c>
      <c r="E39" s="3" t="s">
        <v>14</v>
      </c>
      <c r="F39" s="4">
        <f t="shared" ref="F39:F47" si="8">IF(E39="4 MESES Semestre 1",D39*4,IF(E39="4 MESES Semestre 2",0,IF(E39="8 Meses",D39*4,IF(E39="10 Meses",D39*5,IF(E39="11 Meses",D39*5.5,IF(E39="1 Año",D39*6,0))))))</f>
        <v>0</v>
      </c>
      <c r="G39" s="4">
        <f t="shared" ref="G39:G47" si="9">IF(E39="4 MESES Semestre 1",0,IF(E39="4 MESES Semestre 2",D39*4,IF(E39="8 Meses",D39*4,IF(E39="10 Meses",D39*5,IF(E39="11 Meses",D39*5.5,IF(E39="1 Año",D39*6,0))))))</f>
        <v>0</v>
      </c>
      <c r="H39" s="39" t="s">
        <v>6</v>
      </c>
      <c r="I39" s="40">
        <f t="shared" ref="I39:I47" si="10">IF(H39="SI",F39,IF(H39="NO",0,"Sin comprobar"))</f>
        <v>0</v>
      </c>
      <c r="J39" s="40">
        <f t="shared" ref="J39:J47" si="11">IF(H39="SI",G39,IF(H39="NO",0,"Sin comprobar"))</f>
        <v>0</v>
      </c>
      <c r="K39" s="121"/>
      <c r="L39" s="40"/>
      <c r="M39" s="114"/>
    </row>
    <row r="40" spans="2:13" ht="15" customHeight="1" x14ac:dyDescent="0.2">
      <c r="B40" s="26"/>
      <c r="C40" s="4">
        <f>IF(B40&gt;8,0,B40*BaseSalarial!$D$9)</f>
        <v>0</v>
      </c>
      <c r="D40" s="4">
        <f>IF(C40&lt;=(BaseSalarial!$D$9*8),C40,0)*4</f>
        <v>0</v>
      </c>
      <c r="E40" s="3" t="s">
        <v>14</v>
      </c>
      <c r="F40" s="4">
        <f t="shared" si="8"/>
        <v>0</v>
      </c>
      <c r="G40" s="4">
        <f t="shared" si="9"/>
        <v>0</v>
      </c>
      <c r="H40" s="39" t="s">
        <v>6</v>
      </c>
      <c r="I40" s="40">
        <f t="shared" si="10"/>
        <v>0</v>
      </c>
      <c r="J40" s="40">
        <f t="shared" si="11"/>
        <v>0</v>
      </c>
      <c r="K40" s="121"/>
      <c r="L40" s="40"/>
      <c r="M40" s="114"/>
    </row>
    <row r="41" spans="2:13" ht="15" customHeight="1" x14ac:dyDescent="0.2">
      <c r="B41" s="26"/>
      <c r="C41" s="4">
        <f>IF(B41&gt;8,0,B41*BaseSalarial!$D$9)</f>
        <v>0</v>
      </c>
      <c r="D41" s="4">
        <f>IF(C41&lt;=(BaseSalarial!$D$9*8),C41,0)*4</f>
        <v>0</v>
      </c>
      <c r="E41" s="3" t="s">
        <v>14</v>
      </c>
      <c r="F41" s="4">
        <f t="shared" si="8"/>
        <v>0</v>
      </c>
      <c r="G41" s="4">
        <f t="shared" si="9"/>
        <v>0</v>
      </c>
      <c r="H41" s="39" t="s">
        <v>6</v>
      </c>
      <c r="I41" s="40">
        <f t="shared" si="10"/>
        <v>0</v>
      </c>
      <c r="J41" s="40">
        <f t="shared" si="11"/>
        <v>0</v>
      </c>
      <c r="K41" s="121"/>
      <c r="L41" s="40"/>
      <c r="M41" s="114"/>
    </row>
    <row r="42" spans="2:13" ht="15" customHeight="1" x14ac:dyDescent="0.2">
      <c r="B42" s="26"/>
      <c r="C42" s="4">
        <f>IF(B42&gt;8,0,B42*BaseSalarial!$D$9)</f>
        <v>0</v>
      </c>
      <c r="D42" s="4">
        <f>IF(C42&lt;=(BaseSalarial!$D$9*8),C42,0)*4</f>
        <v>0</v>
      </c>
      <c r="E42" s="3" t="s">
        <v>14</v>
      </c>
      <c r="F42" s="4">
        <f t="shared" si="8"/>
        <v>0</v>
      </c>
      <c r="G42" s="4">
        <f t="shared" si="9"/>
        <v>0</v>
      </c>
      <c r="H42" s="39" t="s">
        <v>6</v>
      </c>
      <c r="I42" s="40">
        <f t="shared" si="10"/>
        <v>0</v>
      </c>
      <c r="J42" s="40">
        <f t="shared" si="11"/>
        <v>0</v>
      </c>
      <c r="K42" s="121"/>
      <c r="L42" s="40"/>
      <c r="M42" s="114"/>
    </row>
    <row r="43" spans="2:13" ht="15" customHeight="1" x14ac:dyDescent="0.2">
      <c r="B43" s="26"/>
      <c r="C43" s="4">
        <f>IF(B43&gt;8,0,B43*BaseSalarial!$D$9)</f>
        <v>0</v>
      </c>
      <c r="D43" s="4">
        <f>IF(C43&lt;=(BaseSalarial!$D$9*8),C43,0)*4</f>
        <v>0</v>
      </c>
      <c r="E43" s="3" t="s">
        <v>14</v>
      </c>
      <c r="F43" s="4">
        <f t="shared" si="8"/>
        <v>0</v>
      </c>
      <c r="G43" s="4">
        <f t="shared" si="9"/>
        <v>0</v>
      </c>
      <c r="H43" s="39" t="s">
        <v>6</v>
      </c>
      <c r="I43" s="40">
        <f t="shared" si="10"/>
        <v>0</v>
      </c>
      <c r="J43" s="40">
        <f t="shared" si="11"/>
        <v>0</v>
      </c>
      <c r="K43" s="121"/>
      <c r="L43" s="40"/>
      <c r="M43" s="114"/>
    </row>
    <row r="44" spans="2:13" ht="15" customHeight="1" x14ac:dyDescent="0.2">
      <c r="B44" s="26"/>
      <c r="C44" s="4">
        <f>IF(B44&gt;8,0,B44*BaseSalarial!$D$9)</f>
        <v>0</v>
      </c>
      <c r="D44" s="4">
        <f>IF(C44&lt;=(BaseSalarial!$D$9*8),C44,0)*4</f>
        <v>0</v>
      </c>
      <c r="E44" s="3" t="s">
        <v>14</v>
      </c>
      <c r="F44" s="4">
        <f t="shared" si="8"/>
        <v>0</v>
      </c>
      <c r="G44" s="4">
        <f t="shared" si="9"/>
        <v>0</v>
      </c>
      <c r="H44" s="39" t="s">
        <v>6</v>
      </c>
      <c r="I44" s="40">
        <f t="shared" si="10"/>
        <v>0</v>
      </c>
      <c r="J44" s="40">
        <f t="shared" si="11"/>
        <v>0</v>
      </c>
      <c r="K44" s="121"/>
      <c r="L44" s="40"/>
      <c r="M44" s="114"/>
    </row>
    <row r="45" spans="2:13" ht="15" customHeight="1" x14ac:dyDescent="0.2">
      <c r="B45" s="26"/>
      <c r="C45" s="4">
        <f>IF(B45&gt;8,0,B45*BaseSalarial!$D$9)</f>
        <v>0</v>
      </c>
      <c r="D45" s="4">
        <f>IF(C45&lt;=(BaseSalarial!$D$9*8),C45,0)*4</f>
        <v>0</v>
      </c>
      <c r="E45" s="3" t="s">
        <v>14</v>
      </c>
      <c r="F45" s="4">
        <f t="shared" si="8"/>
        <v>0</v>
      </c>
      <c r="G45" s="4">
        <f t="shared" si="9"/>
        <v>0</v>
      </c>
      <c r="H45" s="39" t="s">
        <v>6</v>
      </c>
      <c r="I45" s="40">
        <f t="shared" si="10"/>
        <v>0</v>
      </c>
      <c r="J45" s="40">
        <f t="shared" si="11"/>
        <v>0</v>
      </c>
      <c r="K45" s="121"/>
      <c r="L45" s="40"/>
      <c r="M45" s="114"/>
    </row>
    <row r="46" spans="2:13" ht="15" customHeight="1" x14ac:dyDescent="0.2">
      <c r="B46" s="26"/>
      <c r="C46" s="4">
        <f>IF(B46&gt;8,0,B46*BaseSalarial!$D$9)</f>
        <v>0</v>
      </c>
      <c r="D46" s="4">
        <f>IF(C46&lt;=(BaseSalarial!$D$9*8),C46,0)*4</f>
        <v>0</v>
      </c>
      <c r="E46" s="3" t="s">
        <v>14</v>
      </c>
      <c r="F46" s="4">
        <f t="shared" si="8"/>
        <v>0</v>
      </c>
      <c r="G46" s="4">
        <f t="shared" si="9"/>
        <v>0</v>
      </c>
      <c r="H46" s="39" t="s">
        <v>6</v>
      </c>
      <c r="I46" s="40">
        <f t="shared" si="10"/>
        <v>0</v>
      </c>
      <c r="J46" s="40">
        <f t="shared" si="11"/>
        <v>0</v>
      </c>
      <c r="K46" s="121"/>
      <c r="L46" s="40"/>
      <c r="M46" s="114"/>
    </row>
    <row r="47" spans="2:13" ht="15" customHeight="1" x14ac:dyDescent="0.2">
      <c r="B47" s="26"/>
      <c r="C47" s="4">
        <f>IF(B47&gt;8,0,B47*BaseSalarial!$D$9)</f>
        <v>0</v>
      </c>
      <c r="D47" s="4">
        <f>IF(C47&lt;=(BaseSalarial!$D$9*8),C47,0)*4</f>
        <v>0</v>
      </c>
      <c r="E47" s="3" t="s">
        <v>14</v>
      </c>
      <c r="F47" s="4">
        <f t="shared" si="8"/>
        <v>0</v>
      </c>
      <c r="G47" s="4">
        <f t="shared" si="9"/>
        <v>0</v>
      </c>
      <c r="H47" s="39" t="s">
        <v>6</v>
      </c>
      <c r="I47" s="40">
        <f t="shared" si="10"/>
        <v>0</v>
      </c>
      <c r="J47" s="40">
        <f t="shared" si="11"/>
        <v>0</v>
      </c>
      <c r="K47" s="121"/>
      <c r="L47" s="40"/>
      <c r="M47" s="114"/>
    </row>
    <row r="48" spans="2:13" ht="16.5" customHeight="1" x14ac:dyDescent="0.2">
      <c r="F48" s="8">
        <f>SUM(F38:F47)</f>
        <v>0</v>
      </c>
      <c r="G48" s="8">
        <f>SUM(G38:G47)</f>
        <v>0</v>
      </c>
      <c r="I48" s="8">
        <f>SUM(I38:I47)</f>
        <v>0</v>
      </c>
      <c r="J48" s="8">
        <f>SUM(J38:J47)</f>
        <v>0</v>
      </c>
      <c r="L48" s="116">
        <f>SUM(L38:L47)</f>
        <v>0</v>
      </c>
    </row>
  </sheetData>
  <sheetProtection algorithmName="SHA-512" hashValue="rgmQqgoB3Iyd0QcRUeK3kJEWAAhOSgzt9FlHmq/eoMJW+s+Q30CDYtYTn8lQVmZpFlmmpVP8/zvwK6rcAZ+VRg==" saltValue="2dsikutB8ooTRECeJaHxgQ==" spinCount="100000" sheet="1" objects="1" scenarios="1"/>
  <conditionalFormatting sqref="H3:H17">
    <cfRule type="containsText" dxfId="14" priority="10" operator="containsText" text="NO">
      <formula>NOT(ISERROR(SEARCH("NO",H3)))</formula>
    </cfRule>
    <cfRule type="containsText" dxfId="13" priority="11" operator="containsText" text="SI">
      <formula>NOT(ISERROR(SEARCH("SI",H3)))</formula>
    </cfRule>
  </conditionalFormatting>
  <conditionalFormatting sqref="H23:H32">
    <cfRule type="containsText" dxfId="12" priority="7" operator="containsText" text="NO">
      <formula>NOT(ISERROR(SEARCH("NO",H23)))</formula>
    </cfRule>
    <cfRule type="containsText" dxfId="11" priority="8" operator="containsText" text="SI">
      <formula>NOT(ISERROR(SEARCH("SI",H23)))</formula>
    </cfRule>
  </conditionalFormatting>
  <conditionalFormatting sqref="H38:H47">
    <cfRule type="containsText" dxfId="10" priority="3" operator="containsText" text="NO">
      <formula>NOT(ISERROR(SEARCH("NO",H38)))</formula>
    </cfRule>
    <cfRule type="containsText" dxfId="9" priority="4" operator="containsText" text="SI">
      <formula>NOT(ISERROR(SEARCH("SI",H38)))</formula>
    </cfRule>
  </conditionalFormatting>
  <conditionalFormatting sqref="I3:J17">
    <cfRule type="containsText" dxfId="8" priority="9" operator="containsText" text="Sin comprobar">
      <formula>NOT(ISERROR(SEARCH("Sin comprobar",I3)))</formula>
    </cfRule>
  </conditionalFormatting>
  <conditionalFormatting sqref="I23:J32">
    <cfRule type="containsText" dxfId="7" priority="5" operator="containsText" text="Sin comprobar">
      <formula>NOT(ISERROR(SEARCH("Sin comprobar",I23)))</formula>
    </cfRule>
  </conditionalFormatting>
  <conditionalFormatting sqref="I38:J47">
    <cfRule type="containsText" dxfId="6" priority="1" operator="containsText" text="Sin comprobar">
      <formula>NOT(ISERROR(SEARCH("Sin comprobar",I38)))</formula>
    </cfRule>
  </conditionalFormatting>
  <pageMargins left="0.25" right="0.25" top="0.75" bottom="0.75" header="0.3" footer="0.3"/>
  <pageSetup paperSize="3"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Convencionales!$B$3:$B$4</xm:f>
          </x14:formula1>
          <xm:sqref>H23:H32 H38:H47 H3:H17</xm:sqref>
        </x14:dataValidation>
        <x14:dataValidation type="list" allowBlank="1" showInputMessage="1" showErrorMessage="1">
          <x14:formula1>
            <xm:f>Convencionales!$A$3:$A$7</xm:f>
          </x14:formula1>
          <xm:sqref>C23:C32 C3:C17</xm:sqref>
        </x14:dataValidation>
        <x14:dataValidation type="list" allowBlank="1" showInputMessage="1" showErrorMessage="1">
          <x14:formula1>
            <xm:f>Convencionales!$C$3:$C$10</xm:f>
          </x14:formula1>
          <xm:sqref>E23:E32 E3:E17</xm:sqref>
        </x14:dataValidation>
        <x14:dataValidation type="list" allowBlank="1" showInputMessage="1" showErrorMessage="1">
          <x14:formula1>
            <xm:f>Convencionales!$C$3:$C$6</xm:f>
          </x14:formula1>
          <xm:sqref>E38:E47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showGridLines="0" zoomScale="70" zoomScaleNormal="70" workbookViewId="0">
      <pane ySplit="2" topLeftCell="A3" activePane="bottomLeft" state="frozen"/>
      <selection pane="bottomLeft" sqref="A1:O1048576"/>
    </sheetView>
  </sheetViews>
  <sheetFormatPr baseColWidth="10" defaultColWidth="11.42578125" defaultRowHeight="12.75" x14ac:dyDescent="0.2"/>
  <cols>
    <col min="1" max="1" width="23.7109375" style="2" hidden="1" customWidth="1"/>
    <col min="2" max="5" width="12.5703125" style="2" hidden="1" customWidth="1"/>
    <col min="6" max="6" width="12.28515625" style="2" hidden="1" customWidth="1"/>
    <col min="7" max="8" width="20.42578125" style="2" hidden="1" customWidth="1"/>
    <col min="9" max="9" width="11.42578125" style="2" hidden="1" customWidth="1"/>
    <col min="10" max="11" width="20.42578125" style="2" hidden="1" customWidth="1"/>
    <col min="12" max="12" width="35.85546875" style="2" hidden="1" customWidth="1"/>
    <col min="13" max="13" width="16.140625" style="2" hidden="1" customWidth="1"/>
    <col min="14" max="14" width="39.7109375" style="2" hidden="1" customWidth="1"/>
    <col min="15" max="15" width="0" style="2" hidden="1" customWidth="1"/>
    <col min="16" max="16384" width="11.42578125" style="2"/>
  </cols>
  <sheetData>
    <row r="1" spans="1:14" ht="56.25" customHeight="1" x14ac:dyDescent="0.2"/>
    <row r="2" spans="1:14" ht="29.25" customHeight="1" x14ac:dyDescent="0.2">
      <c r="A2" s="153" t="s">
        <v>240</v>
      </c>
      <c r="B2" s="153" t="s">
        <v>239</v>
      </c>
      <c r="C2" s="153" t="s">
        <v>241</v>
      </c>
      <c r="D2" s="153" t="s">
        <v>238</v>
      </c>
      <c r="E2" s="154" t="s">
        <v>75</v>
      </c>
      <c r="F2" s="93" t="s">
        <v>60</v>
      </c>
      <c r="G2" s="78" t="s">
        <v>15</v>
      </c>
      <c r="H2" s="77" t="s">
        <v>16</v>
      </c>
      <c r="I2" s="151" t="s">
        <v>4</v>
      </c>
      <c r="J2" s="151" t="s">
        <v>0</v>
      </c>
      <c r="K2" s="151" t="s">
        <v>1</v>
      </c>
      <c r="L2" s="151" t="s">
        <v>7</v>
      </c>
      <c r="M2" s="151" t="s">
        <v>250</v>
      </c>
      <c r="N2" s="151" t="s">
        <v>251</v>
      </c>
    </row>
    <row r="3" spans="1:14" s="9" customFormat="1" ht="16.5" customHeight="1" x14ac:dyDescent="0.25">
      <c r="A3" s="3" t="s">
        <v>14</v>
      </c>
      <c r="B3" s="92" t="str">
        <f>IFERROR(VLOOKUP(A3,BaseSalarial!$G$20:$H$22,2,0),"0")</f>
        <v>0</v>
      </c>
      <c r="C3" s="27"/>
      <c r="D3" s="27"/>
      <c r="E3" s="3" t="s">
        <v>14</v>
      </c>
      <c r="F3" s="29">
        <f>C3*D3*B3</f>
        <v>0</v>
      </c>
      <c r="G3" s="29">
        <f t="shared" ref="G3:G17" si="0">IF(E3="Semestre 1",F3,IF(E3="Semestre 2",0,0))</f>
        <v>0</v>
      </c>
      <c r="H3" s="29">
        <f t="shared" ref="H3:H17" si="1">IF(E3="Semestre 1",0,IF(E3="Semestre 2",F3,0))</f>
        <v>0</v>
      </c>
      <c r="I3" s="39" t="s">
        <v>6</v>
      </c>
      <c r="J3" s="40">
        <f>IF(I3="SI",G3,IF(I3="NO",0,"Sin comprobar"))</f>
        <v>0</v>
      </c>
      <c r="K3" s="40">
        <f>IF(I3="SI",H3,IF(I3="NO",0,"Sin comprobar"))</f>
        <v>0</v>
      </c>
      <c r="L3" s="114"/>
      <c r="M3" s="29"/>
      <c r="N3" s="114"/>
    </row>
    <row r="4" spans="1:14" s="9" customFormat="1" ht="16.5" customHeight="1" x14ac:dyDescent="0.25">
      <c r="A4" s="3" t="s">
        <v>14</v>
      </c>
      <c r="B4" s="92" t="str">
        <f>IFERROR(VLOOKUP(A4,BaseSalarial!$G$20:$H$22,2,0),"0")</f>
        <v>0</v>
      </c>
      <c r="C4" s="27"/>
      <c r="D4" s="27"/>
      <c r="E4" s="3" t="s">
        <v>14</v>
      </c>
      <c r="F4" s="29">
        <f t="shared" ref="F4:F17" si="2">C4*D4*B4</f>
        <v>0</v>
      </c>
      <c r="G4" s="29">
        <f t="shared" si="0"/>
        <v>0</v>
      </c>
      <c r="H4" s="29">
        <f t="shared" si="1"/>
        <v>0</v>
      </c>
      <c r="I4" s="39" t="s">
        <v>6</v>
      </c>
      <c r="J4" s="40">
        <f t="shared" ref="J4:J17" si="3">IF(I4="SI",G4,IF(I4="NO",0,"Sin comprobar"))</f>
        <v>0</v>
      </c>
      <c r="K4" s="40">
        <f t="shared" ref="K4:K17" si="4">IF(I4="SI",H4,IF(I4="NO",0,"Sin comprobar"))</f>
        <v>0</v>
      </c>
      <c r="L4" s="114"/>
      <c r="M4" s="29"/>
      <c r="N4" s="114"/>
    </row>
    <row r="5" spans="1:14" s="9" customFormat="1" ht="16.5" customHeight="1" x14ac:dyDescent="0.25">
      <c r="A5" s="3" t="s">
        <v>14</v>
      </c>
      <c r="B5" s="92" t="str">
        <f>IFERROR(VLOOKUP(A5,BaseSalarial!$G$20:$H$22,2,0),"0")</f>
        <v>0</v>
      </c>
      <c r="C5" s="27"/>
      <c r="D5" s="27"/>
      <c r="E5" s="3" t="s">
        <v>14</v>
      </c>
      <c r="F5" s="29">
        <f t="shared" si="2"/>
        <v>0</v>
      </c>
      <c r="G5" s="29">
        <f t="shared" si="0"/>
        <v>0</v>
      </c>
      <c r="H5" s="29">
        <f t="shared" si="1"/>
        <v>0</v>
      </c>
      <c r="I5" s="39" t="s">
        <v>6</v>
      </c>
      <c r="J5" s="40">
        <f t="shared" si="3"/>
        <v>0</v>
      </c>
      <c r="K5" s="40">
        <f t="shared" si="4"/>
        <v>0</v>
      </c>
      <c r="L5" s="114"/>
      <c r="M5" s="29"/>
      <c r="N5" s="114"/>
    </row>
    <row r="6" spans="1:14" s="9" customFormat="1" ht="16.5" customHeight="1" x14ac:dyDescent="0.25">
      <c r="A6" s="3" t="s">
        <v>14</v>
      </c>
      <c r="B6" s="92" t="str">
        <f>IFERROR(VLOOKUP(A6,BaseSalarial!$G$20:$H$22,2,0),"0")</f>
        <v>0</v>
      </c>
      <c r="C6" s="27"/>
      <c r="D6" s="27"/>
      <c r="E6" s="3" t="s">
        <v>14</v>
      </c>
      <c r="F6" s="29">
        <f t="shared" si="2"/>
        <v>0</v>
      </c>
      <c r="G6" s="29">
        <f t="shared" si="0"/>
        <v>0</v>
      </c>
      <c r="H6" s="29">
        <f t="shared" si="1"/>
        <v>0</v>
      </c>
      <c r="I6" s="39" t="s">
        <v>6</v>
      </c>
      <c r="J6" s="40">
        <f t="shared" si="3"/>
        <v>0</v>
      </c>
      <c r="K6" s="40">
        <f t="shared" si="4"/>
        <v>0</v>
      </c>
      <c r="L6" s="114"/>
      <c r="M6" s="29"/>
      <c r="N6" s="114"/>
    </row>
    <row r="7" spans="1:14" s="9" customFormat="1" ht="16.5" customHeight="1" x14ac:dyDescent="0.25">
      <c r="A7" s="3" t="s">
        <v>14</v>
      </c>
      <c r="B7" s="92" t="str">
        <f>IFERROR(VLOOKUP(A7,BaseSalarial!$G$20:$H$22,2,0),"0")</f>
        <v>0</v>
      </c>
      <c r="C7" s="27"/>
      <c r="D7" s="27"/>
      <c r="E7" s="3" t="s">
        <v>14</v>
      </c>
      <c r="F7" s="29">
        <f t="shared" si="2"/>
        <v>0</v>
      </c>
      <c r="G7" s="29">
        <f t="shared" si="0"/>
        <v>0</v>
      </c>
      <c r="H7" s="29">
        <f t="shared" si="1"/>
        <v>0</v>
      </c>
      <c r="I7" s="39" t="s">
        <v>6</v>
      </c>
      <c r="J7" s="40">
        <f t="shared" si="3"/>
        <v>0</v>
      </c>
      <c r="K7" s="40">
        <f t="shared" si="4"/>
        <v>0</v>
      </c>
      <c r="L7" s="114"/>
      <c r="M7" s="29"/>
      <c r="N7" s="114"/>
    </row>
    <row r="8" spans="1:14" s="9" customFormat="1" ht="16.5" customHeight="1" x14ac:dyDescent="0.25">
      <c r="A8" s="3" t="s">
        <v>14</v>
      </c>
      <c r="B8" s="92" t="str">
        <f>IFERROR(VLOOKUP(A8,BaseSalarial!$G$20:$H$22,2,0),"0")</f>
        <v>0</v>
      </c>
      <c r="C8" s="27"/>
      <c r="D8" s="27"/>
      <c r="E8" s="3" t="s">
        <v>14</v>
      </c>
      <c r="F8" s="29">
        <f t="shared" si="2"/>
        <v>0</v>
      </c>
      <c r="G8" s="29">
        <f t="shared" si="0"/>
        <v>0</v>
      </c>
      <c r="H8" s="29">
        <f t="shared" si="1"/>
        <v>0</v>
      </c>
      <c r="I8" s="39" t="s">
        <v>6</v>
      </c>
      <c r="J8" s="40">
        <f t="shared" si="3"/>
        <v>0</v>
      </c>
      <c r="K8" s="40">
        <f t="shared" si="4"/>
        <v>0</v>
      </c>
      <c r="L8" s="114"/>
      <c r="M8" s="29"/>
      <c r="N8" s="114"/>
    </row>
    <row r="9" spans="1:14" s="9" customFormat="1" ht="16.5" customHeight="1" x14ac:dyDescent="0.25">
      <c r="A9" s="3" t="s">
        <v>14</v>
      </c>
      <c r="B9" s="92" t="str">
        <f>IFERROR(VLOOKUP(A9,BaseSalarial!$G$20:$H$22,2,0),"0")</f>
        <v>0</v>
      </c>
      <c r="C9" s="27"/>
      <c r="D9" s="27"/>
      <c r="E9" s="3" t="s">
        <v>14</v>
      </c>
      <c r="F9" s="29">
        <f t="shared" si="2"/>
        <v>0</v>
      </c>
      <c r="G9" s="29">
        <f t="shared" si="0"/>
        <v>0</v>
      </c>
      <c r="H9" s="29">
        <f t="shared" si="1"/>
        <v>0</v>
      </c>
      <c r="I9" s="39" t="s">
        <v>6</v>
      </c>
      <c r="J9" s="40">
        <f t="shared" si="3"/>
        <v>0</v>
      </c>
      <c r="K9" s="40">
        <f t="shared" si="4"/>
        <v>0</v>
      </c>
      <c r="L9" s="114"/>
      <c r="M9" s="29"/>
      <c r="N9" s="114"/>
    </row>
    <row r="10" spans="1:14" s="9" customFormat="1" ht="16.5" customHeight="1" x14ac:dyDescent="0.25">
      <c r="A10" s="3" t="s">
        <v>14</v>
      </c>
      <c r="B10" s="92" t="str">
        <f>IFERROR(VLOOKUP(A10,BaseSalarial!$G$20:$H$22,2,0),"0")</f>
        <v>0</v>
      </c>
      <c r="C10" s="27"/>
      <c r="D10" s="27"/>
      <c r="E10" s="3" t="s">
        <v>14</v>
      </c>
      <c r="F10" s="29">
        <f t="shared" si="2"/>
        <v>0</v>
      </c>
      <c r="G10" s="29">
        <f t="shared" si="0"/>
        <v>0</v>
      </c>
      <c r="H10" s="29">
        <f t="shared" si="1"/>
        <v>0</v>
      </c>
      <c r="I10" s="39" t="s">
        <v>6</v>
      </c>
      <c r="J10" s="40">
        <f t="shared" si="3"/>
        <v>0</v>
      </c>
      <c r="K10" s="40">
        <f t="shared" si="4"/>
        <v>0</v>
      </c>
      <c r="L10" s="114"/>
      <c r="M10" s="29"/>
      <c r="N10" s="114"/>
    </row>
    <row r="11" spans="1:14" s="9" customFormat="1" ht="16.5" customHeight="1" x14ac:dyDescent="0.25">
      <c r="A11" s="3" t="s">
        <v>14</v>
      </c>
      <c r="B11" s="92" t="str">
        <f>IFERROR(VLOOKUP(A11,BaseSalarial!$G$20:$H$22,2,0),"0")</f>
        <v>0</v>
      </c>
      <c r="C11" s="27"/>
      <c r="D11" s="27"/>
      <c r="E11" s="3" t="s">
        <v>14</v>
      </c>
      <c r="F11" s="29">
        <f t="shared" si="2"/>
        <v>0</v>
      </c>
      <c r="G11" s="29">
        <f t="shared" si="0"/>
        <v>0</v>
      </c>
      <c r="H11" s="29">
        <f t="shared" si="1"/>
        <v>0</v>
      </c>
      <c r="I11" s="39" t="s">
        <v>6</v>
      </c>
      <c r="J11" s="40">
        <f t="shared" si="3"/>
        <v>0</v>
      </c>
      <c r="K11" s="40">
        <f t="shared" si="4"/>
        <v>0</v>
      </c>
      <c r="L11" s="114"/>
      <c r="M11" s="29"/>
      <c r="N11" s="114"/>
    </row>
    <row r="12" spans="1:14" s="9" customFormat="1" ht="16.5" customHeight="1" x14ac:dyDescent="0.25">
      <c r="A12" s="3" t="s">
        <v>14</v>
      </c>
      <c r="B12" s="92" t="str">
        <f>IFERROR(VLOOKUP(A12,BaseSalarial!$G$20:$H$22,2,0),"0")</f>
        <v>0</v>
      </c>
      <c r="C12" s="27"/>
      <c r="D12" s="27"/>
      <c r="E12" s="3" t="s">
        <v>14</v>
      </c>
      <c r="F12" s="29">
        <f t="shared" si="2"/>
        <v>0</v>
      </c>
      <c r="G12" s="29">
        <f t="shared" si="0"/>
        <v>0</v>
      </c>
      <c r="H12" s="29">
        <f t="shared" si="1"/>
        <v>0</v>
      </c>
      <c r="I12" s="39" t="s">
        <v>6</v>
      </c>
      <c r="J12" s="40">
        <f t="shared" si="3"/>
        <v>0</v>
      </c>
      <c r="K12" s="40">
        <f t="shared" si="4"/>
        <v>0</v>
      </c>
      <c r="L12" s="114"/>
      <c r="M12" s="29"/>
      <c r="N12" s="114"/>
    </row>
    <row r="13" spans="1:14" s="9" customFormat="1" ht="16.5" customHeight="1" x14ac:dyDescent="0.25">
      <c r="A13" s="3" t="s">
        <v>14</v>
      </c>
      <c r="B13" s="92" t="str">
        <f>IFERROR(VLOOKUP(A13,BaseSalarial!$G$20:$H$22,2,0),"0")</f>
        <v>0</v>
      </c>
      <c r="C13" s="27"/>
      <c r="D13" s="27"/>
      <c r="E13" s="3" t="s">
        <v>14</v>
      </c>
      <c r="F13" s="29">
        <f t="shared" si="2"/>
        <v>0</v>
      </c>
      <c r="G13" s="29">
        <f t="shared" si="0"/>
        <v>0</v>
      </c>
      <c r="H13" s="29">
        <f t="shared" si="1"/>
        <v>0</v>
      </c>
      <c r="I13" s="39" t="s">
        <v>6</v>
      </c>
      <c r="J13" s="40">
        <f t="shared" si="3"/>
        <v>0</v>
      </c>
      <c r="K13" s="40">
        <f t="shared" si="4"/>
        <v>0</v>
      </c>
      <c r="L13" s="114"/>
      <c r="M13" s="29"/>
      <c r="N13" s="114"/>
    </row>
    <row r="14" spans="1:14" s="9" customFormat="1" ht="16.5" customHeight="1" x14ac:dyDescent="0.25">
      <c r="A14" s="3" t="s">
        <v>14</v>
      </c>
      <c r="B14" s="92" t="str">
        <f>IFERROR(VLOOKUP(A14,BaseSalarial!$G$20:$H$22,2,0),"0")</f>
        <v>0</v>
      </c>
      <c r="C14" s="27"/>
      <c r="D14" s="27"/>
      <c r="E14" s="3" t="s">
        <v>14</v>
      </c>
      <c r="F14" s="29">
        <f t="shared" si="2"/>
        <v>0</v>
      </c>
      <c r="G14" s="29">
        <f t="shared" si="0"/>
        <v>0</v>
      </c>
      <c r="H14" s="29">
        <f t="shared" si="1"/>
        <v>0</v>
      </c>
      <c r="I14" s="39" t="s">
        <v>6</v>
      </c>
      <c r="J14" s="40">
        <f t="shared" si="3"/>
        <v>0</v>
      </c>
      <c r="K14" s="40">
        <f t="shared" si="4"/>
        <v>0</v>
      </c>
      <c r="L14" s="114"/>
      <c r="M14" s="29"/>
      <c r="N14" s="114"/>
    </row>
    <row r="15" spans="1:14" s="9" customFormat="1" ht="16.5" customHeight="1" x14ac:dyDescent="0.25">
      <c r="A15" s="3" t="s">
        <v>14</v>
      </c>
      <c r="B15" s="92" t="str">
        <f>IFERROR(VLOOKUP(A15,BaseSalarial!$G$20:$H$22,2,0),"0")</f>
        <v>0</v>
      </c>
      <c r="C15" s="27"/>
      <c r="D15" s="27"/>
      <c r="E15" s="3" t="s">
        <v>14</v>
      </c>
      <c r="F15" s="29">
        <f t="shared" si="2"/>
        <v>0</v>
      </c>
      <c r="G15" s="29">
        <f t="shared" si="0"/>
        <v>0</v>
      </c>
      <c r="H15" s="29">
        <f t="shared" si="1"/>
        <v>0</v>
      </c>
      <c r="I15" s="39" t="s">
        <v>6</v>
      </c>
      <c r="J15" s="40">
        <f t="shared" si="3"/>
        <v>0</v>
      </c>
      <c r="K15" s="40">
        <f t="shared" si="4"/>
        <v>0</v>
      </c>
      <c r="L15" s="114"/>
      <c r="M15" s="29"/>
      <c r="N15" s="114"/>
    </row>
    <row r="16" spans="1:14" s="9" customFormat="1" ht="16.5" customHeight="1" x14ac:dyDescent="0.25">
      <c r="A16" s="3" t="s">
        <v>14</v>
      </c>
      <c r="B16" s="92" t="str">
        <f>IFERROR(VLOOKUP(A16,BaseSalarial!$G$20:$H$22,2,0),"0")</f>
        <v>0</v>
      </c>
      <c r="C16" s="27"/>
      <c r="D16" s="27"/>
      <c r="E16" s="3" t="s">
        <v>14</v>
      </c>
      <c r="F16" s="29">
        <f t="shared" si="2"/>
        <v>0</v>
      </c>
      <c r="G16" s="29">
        <f t="shared" si="0"/>
        <v>0</v>
      </c>
      <c r="H16" s="29">
        <f t="shared" si="1"/>
        <v>0</v>
      </c>
      <c r="I16" s="39" t="s">
        <v>6</v>
      </c>
      <c r="J16" s="40">
        <f t="shared" si="3"/>
        <v>0</v>
      </c>
      <c r="K16" s="40">
        <f t="shared" si="4"/>
        <v>0</v>
      </c>
      <c r="L16" s="114"/>
      <c r="M16" s="29"/>
      <c r="N16" s="114"/>
    </row>
    <row r="17" spans="1:15" s="9" customFormat="1" ht="16.5" customHeight="1" x14ac:dyDescent="0.25">
      <c r="A17" s="3" t="s">
        <v>14</v>
      </c>
      <c r="B17" s="92" t="str">
        <f>IFERROR(VLOOKUP(A17,BaseSalarial!$G$20:$H$22,2,0),"0")</f>
        <v>0</v>
      </c>
      <c r="C17" s="27"/>
      <c r="D17" s="27"/>
      <c r="E17" s="3" t="s">
        <v>14</v>
      </c>
      <c r="F17" s="29">
        <f t="shared" si="2"/>
        <v>0</v>
      </c>
      <c r="G17" s="29">
        <f t="shared" si="0"/>
        <v>0</v>
      </c>
      <c r="H17" s="29">
        <f t="shared" si="1"/>
        <v>0</v>
      </c>
      <c r="I17" s="39" t="s">
        <v>6</v>
      </c>
      <c r="J17" s="40">
        <f t="shared" si="3"/>
        <v>0</v>
      </c>
      <c r="K17" s="40">
        <f t="shared" si="4"/>
        <v>0</v>
      </c>
      <c r="L17" s="114"/>
      <c r="M17" s="29"/>
      <c r="N17" s="114"/>
    </row>
    <row r="18" spans="1:15" s="9" customFormat="1" ht="16.5" customHeight="1" x14ac:dyDescent="0.2">
      <c r="F18" s="95">
        <f>SUM(F3:F17)</f>
        <v>0</v>
      </c>
      <c r="G18" s="96">
        <f>SUM(G3:G17)</f>
        <v>0</v>
      </c>
      <c r="H18" s="96">
        <f>SUM(H3:H17)</f>
        <v>0</v>
      </c>
      <c r="J18" s="42">
        <f>SUM(J3:J17)</f>
        <v>0</v>
      </c>
      <c r="K18" s="42">
        <f>SUM(K3:K17)</f>
        <v>0</v>
      </c>
      <c r="M18" s="115">
        <f>SUM(M3:M17)</f>
        <v>0</v>
      </c>
    </row>
    <row r="19" spans="1:15" s="9" customFormat="1" ht="16.5" customHeight="1" x14ac:dyDescent="0.25"/>
    <row r="20" spans="1:15" s="9" customFormat="1" ht="16.5" customHeight="1" x14ac:dyDescent="0.25"/>
    <row r="21" spans="1:15" x14ac:dyDescent="0.2">
      <c r="F21" s="9"/>
      <c r="G21" s="9"/>
      <c r="H21" s="9"/>
      <c r="I21" s="9"/>
      <c r="J21" s="9"/>
      <c r="K21" s="9"/>
      <c r="L21" s="9"/>
      <c r="M21" s="9"/>
      <c r="N21" s="9"/>
      <c r="O21" s="9"/>
    </row>
  </sheetData>
  <sheetProtection algorithmName="SHA-512" hashValue="vtSMuF9ueFRS8+WXU9XeeSbbjkL0WpvCC53+O/UdLvH43E/qLI+o4SNn7PSKM0BTt0CCk1WfNFfuMzwSsNDkGw==" saltValue="8BP30J5GAHIhsaX/HeIkUg==" spinCount="100000" sheet="1" objects="1" scenarios="1"/>
  <dataConsolidate link="1"/>
  <conditionalFormatting sqref="I3:I17">
    <cfRule type="containsText" dxfId="5" priority="1" operator="containsText" text="NO">
      <formula>NOT(ISERROR(SEARCH("NO",I3)))</formula>
    </cfRule>
    <cfRule type="containsText" dxfId="4" priority="2" operator="containsText" text="SI">
      <formula>NOT(ISERROR(SEARCH("SI",I3)))</formula>
    </cfRule>
  </conditionalFormatting>
  <conditionalFormatting sqref="J3:K17">
    <cfRule type="containsText" dxfId="3" priority="3" operator="containsText" text="Sin comprobar">
      <formula>NOT(ISERROR(SEARCH("Sin comprobar",J3)))</formula>
    </cfRule>
  </conditionalFormatting>
  <dataValidations count="2">
    <dataValidation type="whole" allowBlank="1" showInputMessage="1" showErrorMessage="1" sqref="C3:C17">
      <formula1>1</formula1>
      <formula2>50</formula2>
    </dataValidation>
    <dataValidation type="whole" allowBlank="1" showInputMessage="1" showErrorMessage="1" sqref="D3:D17">
      <formula1>1</formula1>
      <formula2>10000000000</formula2>
    </dataValidation>
  </dataValidations>
  <pageMargins left="0.7" right="0.7" top="0.75" bottom="0.75" header="0.3" footer="0.3"/>
  <pageSetup orientation="portrait" horizontalDpi="360" verticalDpi="360" r:id="rId1"/>
  <ignoredErrors>
    <ignoredError sqref="B3:B17" unlockedFormula="1"/>
  </ignoredErrors>
  <drawing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Convencionales!$B$3:$B$4</xm:f>
          </x14:formula1>
          <xm:sqref>I3:I17</xm:sqref>
        </x14:dataValidation>
        <x14:dataValidation type="list" allowBlank="1" showInputMessage="1" showErrorMessage="1">
          <x14:formula1>
            <xm:f>Convencionales!$A$10:$A$13</xm:f>
          </x14:formula1>
          <xm:sqref>A3:A17</xm:sqref>
        </x14:dataValidation>
        <x14:dataValidation type="list" allowBlank="1" showInputMessage="1" showErrorMessage="1">
          <x14:formula1>
            <xm:f>Convencionales!$C$12:$C$14</xm:f>
          </x14:formula1>
          <xm:sqref>E3:E17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V339"/>
  <sheetViews>
    <sheetView tabSelected="1" topLeftCell="H1" zoomScale="59" zoomScaleNormal="59" workbookViewId="0">
      <pane ySplit="5" topLeftCell="A6" activePane="bottomLeft" state="frozen"/>
      <selection pane="bottomLeft" activeCell="Z261" sqref="Z261"/>
    </sheetView>
  </sheetViews>
  <sheetFormatPr baseColWidth="10" defaultColWidth="10.85546875" defaultRowHeight="15" x14ac:dyDescent="0.25"/>
  <cols>
    <col min="1" max="1" width="28.140625" style="215" bestFit="1" customWidth="1"/>
    <col min="2" max="2" width="18.140625" style="215" bestFit="1" customWidth="1"/>
    <col min="3" max="3" width="10.85546875" style="215"/>
    <col min="4" max="4" width="34.42578125" style="215" customWidth="1"/>
    <col min="5" max="5" width="43.140625" style="215" customWidth="1"/>
    <col min="6" max="6" width="78" style="215" hidden="1" customWidth="1"/>
    <col min="7" max="7" width="26.7109375" style="215" customWidth="1"/>
    <col min="8" max="8" width="38.5703125" style="215" customWidth="1"/>
    <col min="9" max="9" width="23.5703125" style="215" customWidth="1"/>
    <col min="10" max="10" width="18.28515625" style="304" customWidth="1"/>
    <col min="11" max="11" width="20.85546875" style="238" bestFit="1" customWidth="1"/>
    <col min="12" max="12" width="25.5703125" style="238" customWidth="1"/>
    <col min="13" max="13" width="34.5703125" style="238" customWidth="1"/>
    <col min="14" max="14" width="20.85546875" style="236" bestFit="1" customWidth="1"/>
    <col min="15" max="15" width="33.140625" style="236" customWidth="1"/>
    <col min="16" max="16" width="31.42578125" style="236" customWidth="1"/>
    <col min="17" max="17" width="20.85546875" style="234" bestFit="1" customWidth="1"/>
    <col min="18" max="18" width="26.42578125" style="234" customWidth="1"/>
    <col min="19" max="19" width="31.5703125" style="234" customWidth="1"/>
    <col min="20" max="20" width="20.85546875" style="231" bestFit="1" customWidth="1"/>
    <col min="21" max="21" width="26.140625" style="231" customWidth="1"/>
    <col min="22" max="22" width="23.7109375" style="231" customWidth="1"/>
    <col min="23" max="16384" width="10.85546875" style="224"/>
  </cols>
  <sheetData>
    <row r="1" spans="1:22" ht="128.25" customHeight="1" thickBot="1" x14ac:dyDescent="0.3">
      <c r="A1" s="368"/>
      <c r="B1" s="368"/>
      <c r="C1" s="368"/>
      <c r="D1" s="368"/>
      <c r="E1" s="368"/>
      <c r="F1" s="368"/>
      <c r="G1" s="368"/>
      <c r="H1" s="369"/>
      <c r="I1" s="370"/>
      <c r="J1" s="370"/>
      <c r="K1" s="370"/>
      <c r="L1" s="370"/>
      <c r="M1" s="370"/>
      <c r="N1" s="370"/>
      <c r="O1" s="370"/>
      <c r="P1" s="370"/>
      <c r="Q1" s="370"/>
      <c r="R1" s="370"/>
      <c r="S1" s="370"/>
      <c r="T1" s="370"/>
      <c r="U1" s="370"/>
      <c r="V1" s="370"/>
    </row>
    <row r="2" spans="1:22" s="230" customFormat="1" ht="14.45" customHeight="1" x14ac:dyDescent="0.25">
      <c r="A2" s="338" t="s">
        <v>1050</v>
      </c>
      <c r="B2" s="338" t="s">
        <v>764</v>
      </c>
      <c r="C2" s="338" t="s">
        <v>306</v>
      </c>
      <c r="D2" s="338" t="s">
        <v>461</v>
      </c>
      <c r="E2" s="338" t="s">
        <v>462</v>
      </c>
      <c r="F2" s="293" t="s">
        <v>702</v>
      </c>
      <c r="G2" s="338" t="s">
        <v>463</v>
      </c>
      <c r="H2" s="338" t="s">
        <v>281</v>
      </c>
      <c r="I2" s="341" t="s">
        <v>360</v>
      </c>
      <c r="J2" s="333" t="s">
        <v>1309</v>
      </c>
      <c r="K2" s="336" t="s">
        <v>700</v>
      </c>
      <c r="L2" s="336"/>
      <c r="M2" s="336"/>
      <c r="N2" s="336"/>
      <c r="O2" s="336"/>
      <c r="P2" s="336"/>
      <c r="Q2" s="336"/>
      <c r="R2" s="336"/>
      <c r="S2" s="336"/>
      <c r="T2" s="336"/>
      <c r="U2" s="336"/>
      <c r="V2" s="337"/>
    </row>
    <row r="3" spans="1:22" s="230" customFormat="1" ht="14.45" customHeight="1" x14ac:dyDescent="0.25">
      <c r="A3" s="339"/>
      <c r="B3" s="339"/>
      <c r="C3" s="339"/>
      <c r="D3" s="339"/>
      <c r="E3" s="339"/>
      <c r="F3" s="294"/>
      <c r="G3" s="339"/>
      <c r="H3" s="339"/>
      <c r="I3" s="342"/>
      <c r="J3" s="334"/>
      <c r="K3" s="330" t="s">
        <v>1308</v>
      </c>
      <c r="L3" s="330"/>
      <c r="M3" s="332"/>
      <c r="N3" s="329" t="s">
        <v>1308</v>
      </c>
      <c r="O3" s="330"/>
      <c r="P3" s="332"/>
      <c r="Q3" s="329" t="s">
        <v>1308</v>
      </c>
      <c r="R3" s="330"/>
      <c r="S3" s="332"/>
      <c r="T3" s="329" t="s">
        <v>1308</v>
      </c>
      <c r="U3" s="330"/>
      <c r="V3" s="331"/>
    </row>
    <row r="4" spans="1:22" s="230" customFormat="1" ht="14.1" customHeight="1" x14ac:dyDescent="0.25">
      <c r="A4" s="339"/>
      <c r="B4" s="339"/>
      <c r="C4" s="339"/>
      <c r="D4" s="339"/>
      <c r="E4" s="339"/>
      <c r="F4" s="294"/>
      <c r="G4" s="339"/>
      <c r="H4" s="339"/>
      <c r="I4" s="342"/>
      <c r="J4" s="334"/>
      <c r="K4" s="330" t="s">
        <v>1315</v>
      </c>
      <c r="L4" s="330"/>
      <c r="M4" s="332"/>
      <c r="N4" s="329" t="s">
        <v>1312</v>
      </c>
      <c r="O4" s="330"/>
      <c r="P4" s="332"/>
      <c r="Q4" s="329" t="s">
        <v>1313</v>
      </c>
      <c r="R4" s="330"/>
      <c r="S4" s="332"/>
      <c r="T4" s="329" t="s">
        <v>1314</v>
      </c>
      <c r="U4" s="330"/>
      <c r="V4" s="331"/>
    </row>
    <row r="5" spans="1:22" s="230" customFormat="1" ht="23.45" customHeight="1" thickBot="1" x14ac:dyDescent="0.3">
      <c r="A5" s="339"/>
      <c r="B5" s="339"/>
      <c r="C5" s="339"/>
      <c r="D5" s="340"/>
      <c r="E5" s="340"/>
      <c r="F5" s="294"/>
      <c r="G5" s="339"/>
      <c r="H5" s="339"/>
      <c r="I5" s="342"/>
      <c r="J5" s="335"/>
      <c r="K5" s="280" t="s">
        <v>1310</v>
      </c>
      <c r="L5" s="280" t="s">
        <v>1311</v>
      </c>
      <c r="M5" s="280" t="s">
        <v>701</v>
      </c>
      <c r="N5" s="298" t="s">
        <v>1310</v>
      </c>
      <c r="O5" s="280" t="s">
        <v>1311</v>
      </c>
      <c r="P5" s="280" t="s">
        <v>701</v>
      </c>
      <c r="Q5" s="298" t="s">
        <v>1310</v>
      </c>
      <c r="R5" s="280" t="s">
        <v>1311</v>
      </c>
      <c r="S5" s="280" t="s">
        <v>701</v>
      </c>
      <c r="T5" s="296" t="s">
        <v>1310</v>
      </c>
      <c r="U5" s="295" t="s">
        <v>1311</v>
      </c>
      <c r="V5" s="297" t="s">
        <v>701</v>
      </c>
    </row>
    <row r="6" spans="1:22" s="225" customFormat="1" ht="103.5" hidden="1" customHeight="1" x14ac:dyDescent="0.25">
      <c r="A6" s="251" t="s">
        <v>703</v>
      </c>
      <c r="B6" s="252" t="s">
        <v>704</v>
      </c>
      <c r="C6" s="228" t="s">
        <v>284</v>
      </c>
      <c r="D6" s="217" t="s">
        <v>466</v>
      </c>
      <c r="E6" s="220" t="s">
        <v>525</v>
      </c>
      <c r="F6" s="217"/>
      <c r="G6" s="217" t="s">
        <v>705</v>
      </c>
      <c r="H6" s="217" t="s">
        <v>706</v>
      </c>
      <c r="I6" s="253" t="s">
        <v>1008</v>
      </c>
      <c r="J6" s="242"/>
      <c r="K6" s="239"/>
      <c r="L6" s="237"/>
      <c r="M6" s="281"/>
      <c r="N6" s="278"/>
      <c r="O6" s="235"/>
      <c r="P6" s="285"/>
      <c r="Q6" s="283"/>
      <c r="R6" s="233"/>
      <c r="S6" s="289"/>
      <c r="T6" s="287"/>
      <c r="U6" s="232"/>
      <c r="V6" s="249"/>
    </row>
    <row r="7" spans="1:22" s="225" customFormat="1" ht="34.5" hidden="1" customHeight="1" x14ac:dyDescent="0.25">
      <c r="A7" s="251" t="s">
        <v>703</v>
      </c>
      <c r="B7" s="252" t="s">
        <v>704</v>
      </c>
      <c r="C7" s="228" t="s">
        <v>285</v>
      </c>
      <c r="D7" s="217" t="s">
        <v>466</v>
      </c>
      <c r="E7" s="220" t="s">
        <v>530</v>
      </c>
      <c r="F7" s="217"/>
      <c r="G7" s="217" t="s">
        <v>707</v>
      </c>
      <c r="H7" s="217" t="s">
        <v>708</v>
      </c>
      <c r="I7" s="253" t="s">
        <v>1008</v>
      </c>
      <c r="J7" s="242"/>
      <c r="K7" s="239"/>
      <c r="L7" s="237"/>
      <c r="M7" s="281"/>
      <c r="N7" s="278"/>
      <c r="O7" s="235"/>
      <c r="P7" s="285"/>
      <c r="Q7" s="283"/>
      <c r="R7" s="233"/>
      <c r="S7" s="289"/>
      <c r="T7" s="287"/>
      <c r="U7" s="232"/>
      <c r="V7" s="249"/>
    </row>
    <row r="8" spans="1:22" s="225" customFormat="1" ht="23.1" hidden="1" customHeight="1" x14ac:dyDescent="0.25">
      <c r="A8" s="251" t="s">
        <v>703</v>
      </c>
      <c r="B8" s="252" t="s">
        <v>704</v>
      </c>
      <c r="C8" s="228" t="s">
        <v>286</v>
      </c>
      <c r="D8" s="217" t="s">
        <v>466</v>
      </c>
      <c r="E8" s="220" t="s">
        <v>532</v>
      </c>
      <c r="F8" s="217"/>
      <c r="G8" s="220" t="s">
        <v>709</v>
      </c>
      <c r="H8" s="217" t="s">
        <v>710</v>
      </c>
      <c r="I8" s="253" t="s">
        <v>1009</v>
      </c>
      <c r="J8" s="242"/>
      <c r="K8" s="239"/>
      <c r="L8" s="237"/>
      <c r="M8" s="281"/>
      <c r="N8" s="278"/>
      <c r="O8" s="235"/>
      <c r="P8" s="285"/>
      <c r="Q8" s="283"/>
      <c r="R8" s="233"/>
      <c r="S8" s="289"/>
      <c r="T8" s="287"/>
      <c r="U8" s="232"/>
      <c r="V8" s="249"/>
    </row>
    <row r="9" spans="1:22" s="225" customFormat="1" ht="34.5" hidden="1" customHeight="1" x14ac:dyDescent="0.25">
      <c r="A9" s="251" t="s">
        <v>703</v>
      </c>
      <c r="B9" s="252" t="s">
        <v>704</v>
      </c>
      <c r="C9" s="228" t="s">
        <v>287</v>
      </c>
      <c r="D9" s="217" t="s">
        <v>466</v>
      </c>
      <c r="E9" s="220" t="s">
        <v>534</v>
      </c>
      <c r="F9" s="217"/>
      <c r="G9" s="217" t="s">
        <v>711</v>
      </c>
      <c r="H9" s="217" t="s">
        <v>712</v>
      </c>
      <c r="I9" s="253" t="s">
        <v>1008</v>
      </c>
      <c r="J9" s="242"/>
      <c r="K9" s="239"/>
      <c r="L9" s="237"/>
      <c r="M9" s="281"/>
      <c r="N9" s="278"/>
      <c r="O9" s="235"/>
      <c r="P9" s="285"/>
      <c r="Q9" s="283"/>
      <c r="R9" s="233"/>
      <c r="S9" s="289"/>
      <c r="T9" s="287"/>
      <c r="U9" s="232"/>
      <c r="V9" s="249"/>
    </row>
    <row r="10" spans="1:22" s="225" customFormat="1" ht="69" hidden="1" customHeight="1" x14ac:dyDescent="0.25">
      <c r="A10" s="251" t="s">
        <v>703</v>
      </c>
      <c r="B10" s="252" t="s">
        <v>152</v>
      </c>
      <c r="C10" s="221" t="s">
        <v>716</v>
      </c>
      <c r="D10" s="220" t="s">
        <v>466</v>
      </c>
      <c r="E10" s="220" t="s">
        <v>540</v>
      </c>
      <c r="F10" s="221" t="s">
        <v>666</v>
      </c>
      <c r="G10" s="220" t="s">
        <v>717</v>
      </c>
      <c r="H10" s="220" t="s">
        <v>718</v>
      </c>
      <c r="I10" s="254" t="s">
        <v>1008</v>
      </c>
      <c r="J10" s="242"/>
      <c r="K10" s="239"/>
      <c r="L10" s="237"/>
      <c r="M10" s="281"/>
      <c r="N10" s="278"/>
      <c r="O10" s="235"/>
      <c r="P10" s="285"/>
      <c r="Q10" s="283"/>
      <c r="R10" s="233"/>
      <c r="S10" s="289"/>
      <c r="T10" s="287"/>
      <c r="U10" s="232"/>
      <c r="V10" s="249"/>
    </row>
    <row r="11" spans="1:22" s="225" customFormat="1" ht="69" hidden="1" customHeight="1" x14ac:dyDescent="0.25">
      <c r="A11" s="251" t="s">
        <v>703</v>
      </c>
      <c r="B11" s="252" t="s">
        <v>152</v>
      </c>
      <c r="C11" s="228" t="s">
        <v>719</v>
      </c>
      <c r="D11" s="217" t="s">
        <v>466</v>
      </c>
      <c r="E11" s="220" t="s">
        <v>546</v>
      </c>
      <c r="F11" s="217"/>
      <c r="G11" s="217" t="s">
        <v>720</v>
      </c>
      <c r="H11" s="217" t="s">
        <v>721</v>
      </c>
      <c r="I11" s="254" t="s">
        <v>1008</v>
      </c>
      <c r="J11" s="242"/>
      <c r="K11" s="239"/>
      <c r="L11" s="237"/>
      <c r="M11" s="281"/>
      <c r="N11" s="278"/>
      <c r="O11" s="235"/>
      <c r="P11" s="285"/>
      <c r="Q11" s="283"/>
      <c r="R11" s="233"/>
      <c r="S11" s="289"/>
      <c r="T11" s="287"/>
      <c r="U11" s="232"/>
      <c r="V11" s="249"/>
    </row>
    <row r="12" spans="1:22" s="225" customFormat="1" ht="69" hidden="1" customHeight="1" x14ac:dyDescent="0.25">
      <c r="A12" s="251" t="s">
        <v>703</v>
      </c>
      <c r="B12" s="252" t="s">
        <v>730</v>
      </c>
      <c r="C12" s="228" t="s">
        <v>727</v>
      </c>
      <c r="D12" s="220" t="s">
        <v>466</v>
      </c>
      <c r="E12" s="220" t="s">
        <v>522</v>
      </c>
      <c r="F12" s="217"/>
      <c r="G12" s="217" t="s">
        <v>728</v>
      </c>
      <c r="H12" s="217" t="s">
        <v>729</v>
      </c>
      <c r="I12" s="254" t="s">
        <v>1008</v>
      </c>
      <c r="J12" s="242"/>
      <c r="K12" s="239"/>
      <c r="L12" s="237"/>
      <c r="M12" s="281"/>
      <c r="N12" s="278"/>
      <c r="O12" s="235"/>
      <c r="P12" s="285"/>
      <c r="Q12" s="283"/>
      <c r="R12" s="233"/>
      <c r="S12" s="289"/>
      <c r="T12" s="287"/>
      <c r="U12" s="232"/>
      <c r="V12" s="249"/>
    </row>
    <row r="13" spans="1:22" s="225" customFormat="1" ht="42" hidden="1" customHeight="1" x14ac:dyDescent="0.25">
      <c r="A13" s="251" t="s">
        <v>752</v>
      </c>
      <c r="B13" s="252" t="s">
        <v>704</v>
      </c>
      <c r="C13" s="218" t="s">
        <v>282</v>
      </c>
      <c r="D13" s="217" t="s">
        <v>466</v>
      </c>
      <c r="E13" s="217" t="s">
        <v>525</v>
      </c>
      <c r="F13" s="217"/>
      <c r="G13" s="218" t="s">
        <v>731</v>
      </c>
      <c r="H13" s="217" t="s">
        <v>732</v>
      </c>
      <c r="I13" s="254" t="s">
        <v>1010</v>
      </c>
      <c r="J13" s="242"/>
      <c r="K13" s="239"/>
      <c r="L13" s="237"/>
      <c r="M13" s="281"/>
      <c r="N13" s="278"/>
      <c r="O13" s="235"/>
      <c r="P13" s="285"/>
      <c r="Q13" s="283"/>
      <c r="R13" s="233"/>
      <c r="S13" s="289"/>
      <c r="T13" s="287"/>
      <c r="U13" s="232"/>
      <c r="V13" s="249"/>
    </row>
    <row r="14" spans="1:22" s="225" customFormat="1" ht="45.75" hidden="1" thickBot="1" x14ac:dyDescent="0.3">
      <c r="A14" s="251" t="s">
        <v>752</v>
      </c>
      <c r="B14" s="252" t="s">
        <v>704</v>
      </c>
      <c r="C14" s="272"/>
      <c r="D14" s="217" t="s">
        <v>466</v>
      </c>
      <c r="E14" s="217" t="s">
        <v>525</v>
      </c>
      <c r="F14" s="217"/>
      <c r="G14" s="272"/>
      <c r="H14" s="217" t="s">
        <v>733</v>
      </c>
      <c r="I14" s="254" t="s">
        <v>1010</v>
      </c>
      <c r="J14" s="242"/>
      <c r="K14" s="239"/>
      <c r="L14" s="237"/>
      <c r="M14" s="281"/>
      <c r="N14" s="278"/>
      <c r="O14" s="235"/>
      <c r="P14" s="285"/>
      <c r="Q14" s="283"/>
      <c r="R14" s="233"/>
      <c r="S14" s="289"/>
      <c r="T14" s="287"/>
      <c r="U14" s="232"/>
      <c r="V14" s="249"/>
    </row>
    <row r="15" spans="1:22" s="225" customFormat="1" ht="45.75" hidden="1" thickBot="1" x14ac:dyDescent="0.3">
      <c r="A15" s="251" t="s">
        <v>752</v>
      </c>
      <c r="B15" s="252" t="s">
        <v>704</v>
      </c>
      <c r="C15" s="272"/>
      <c r="D15" s="217" t="s">
        <v>466</v>
      </c>
      <c r="E15" s="217" t="s">
        <v>525</v>
      </c>
      <c r="F15" s="217"/>
      <c r="G15" s="272"/>
      <c r="H15" s="217" t="s">
        <v>734</v>
      </c>
      <c r="I15" s="254" t="s">
        <v>1010</v>
      </c>
      <c r="J15" s="242"/>
      <c r="K15" s="239"/>
      <c r="L15" s="237"/>
      <c r="M15" s="281"/>
      <c r="N15" s="278"/>
      <c r="O15" s="235"/>
      <c r="P15" s="285"/>
      <c r="Q15" s="283"/>
      <c r="R15" s="233"/>
      <c r="S15" s="289"/>
      <c r="T15" s="287"/>
      <c r="U15" s="232"/>
      <c r="V15" s="249"/>
    </row>
    <row r="16" spans="1:22" s="225" customFormat="1" ht="45.75" hidden="1" thickBot="1" x14ac:dyDescent="0.3">
      <c r="A16" s="251" t="s">
        <v>752</v>
      </c>
      <c r="B16" s="252" t="s">
        <v>704</v>
      </c>
      <c r="C16" s="272"/>
      <c r="D16" s="217" t="s">
        <v>466</v>
      </c>
      <c r="E16" s="217" t="s">
        <v>525</v>
      </c>
      <c r="F16" s="217"/>
      <c r="G16" s="272"/>
      <c r="H16" s="217" t="s">
        <v>735</v>
      </c>
      <c r="I16" s="254" t="s">
        <v>1008</v>
      </c>
      <c r="J16" s="242"/>
      <c r="K16" s="239"/>
      <c r="L16" s="237"/>
      <c r="M16" s="281"/>
      <c r="N16" s="278"/>
      <c r="O16" s="235"/>
      <c r="P16" s="285"/>
      <c r="Q16" s="283"/>
      <c r="R16" s="233"/>
      <c r="S16" s="289"/>
      <c r="T16" s="287"/>
      <c r="U16" s="232"/>
      <c r="V16" s="249"/>
    </row>
    <row r="17" spans="1:22" s="225" customFormat="1" ht="45.75" hidden="1" thickBot="1" x14ac:dyDescent="0.3">
      <c r="A17" s="251" t="s">
        <v>752</v>
      </c>
      <c r="B17" s="252" t="s">
        <v>704</v>
      </c>
      <c r="C17" s="272"/>
      <c r="D17" s="217" t="s">
        <v>466</v>
      </c>
      <c r="E17" s="217" t="s">
        <v>525</v>
      </c>
      <c r="F17" s="217"/>
      <c r="G17" s="272"/>
      <c r="H17" s="223" t="s">
        <v>736</v>
      </c>
      <c r="I17" s="254" t="s">
        <v>1008</v>
      </c>
      <c r="J17" s="242"/>
      <c r="K17" s="239"/>
      <c r="L17" s="237"/>
      <c r="M17" s="281"/>
      <c r="N17" s="278"/>
      <c r="O17" s="235"/>
      <c r="P17" s="285"/>
      <c r="Q17" s="283"/>
      <c r="R17" s="233"/>
      <c r="S17" s="289"/>
      <c r="T17" s="287"/>
      <c r="U17" s="232"/>
      <c r="V17" s="249"/>
    </row>
    <row r="18" spans="1:22" s="225" customFormat="1" ht="15" hidden="1" customHeight="1" x14ac:dyDescent="0.25">
      <c r="A18" s="251" t="s">
        <v>752</v>
      </c>
      <c r="B18" s="252" t="s">
        <v>704</v>
      </c>
      <c r="C18" s="220"/>
      <c r="D18" s="217" t="s">
        <v>466</v>
      </c>
      <c r="E18" s="217" t="s">
        <v>525</v>
      </c>
      <c r="F18" s="217"/>
      <c r="G18" s="220"/>
      <c r="H18" s="255" t="s">
        <v>737</v>
      </c>
      <c r="I18" s="254" t="s">
        <v>1008</v>
      </c>
      <c r="J18" s="242"/>
      <c r="K18" s="239"/>
      <c r="L18" s="237"/>
      <c r="M18" s="281"/>
      <c r="N18" s="278"/>
      <c r="O18" s="235"/>
      <c r="P18" s="285"/>
      <c r="Q18" s="283"/>
      <c r="R18" s="233"/>
      <c r="S18" s="289"/>
      <c r="T18" s="287"/>
      <c r="U18" s="232"/>
      <c r="V18" s="249"/>
    </row>
    <row r="19" spans="1:22" s="225" customFormat="1" ht="45.75" hidden="1" thickBot="1" x14ac:dyDescent="0.3">
      <c r="A19" s="251" t="s">
        <v>752</v>
      </c>
      <c r="B19" s="252" t="s">
        <v>704</v>
      </c>
      <c r="C19" s="228" t="s">
        <v>285</v>
      </c>
      <c r="D19" s="217" t="s">
        <v>466</v>
      </c>
      <c r="E19" s="220" t="s">
        <v>530</v>
      </c>
      <c r="F19" s="217"/>
      <c r="G19" s="217" t="s">
        <v>738</v>
      </c>
      <c r="H19" s="217" t="s">
        <v>739</v>
      </c>
      <c r="I19" s="254" t="s">
        <v>1009</v>
      </c>
      <c r="J19" s="242"/>
      <c r="K19" s="239"/>
      <c r="L19" s="237"/>
      <c r="M19" s="281"/>
      <c r="N19" s="278"/>
      <c r="O19" s="235"/>
      <c r="P19" s="285"/>
      <c r="Q19" s="283"/>
      <c r="R19" s="233"/>
      <c r="S19" s="289"/>
      <c r="T19" s="287"/>
      <c r="U19" s="232"/>
      <c r="V19" s="249"/>
    </row>
    <row r="20" spans="1:22" s="225" customFormat="1" ht="45.75" hidden="1" thickBot="1" x14ac:dyDescent="0.3">
      <c r="A20" s="251" t="s">
        <v>752</v>
      </c>
      <c r="B20" s="252" t="s">
        <v>704</v>
      </c>
      <c r="C20" s="228" t="s">
        <v>286</v>
      </c>
      <c r="D20" s="217" t="s">
        <v>466</v>
      </c>
      <c r="E20" s="220" t="s">
        <v>530</v>
      </c>
      <c r="F20" s="218"/>
      <c r="G20" s="218" t="s">
        <v>740</v>
      </c>
      <c r="H20" s="217" t="s">
        <v>741</v>
      </c>
      <c r="I20" s="254" t="s">
        <v>1008</v>
      </c>
      <c r="J20" s="242"/>
      <c r="K20" s="239"/>
      <c r="L20" s="237"/>
      <c r="M20" s="281"/>
      <c r="N20" s="278"/>
      <c r="O20" s="235"/>
      <c r="P20" s="285"/>
      <c r="Q20" s="283"/>
      <c r="R20" s="233"/>
      <c r="S20" s="289"/>
      <c r="T20" s="287"/>
      <c r="U20" s="232"/>
      <c r="V20" s="249"/>
    </row>
    <row r="21" spans="1:22" s="225" customFormat="1" ht="28.5" hidden="1" customHeight="1" x14ac:dyDescent="0.25">
      <c r="A21" s="251" t="s">
        <v>752</v>
      </c>
      <c r="B21" s="252" t="s">
        <v>704</v>
      </c>
      <c r="C21" s="218" t="s">
        <v>287</v>
      </c>
      <c r="D21" s="218" t="s">
        <v>466</v>
      </c>
      <c r="E21" s="218" t="s">
        <v>535</v>
      </c>
      <c r="F21" s="218"/>
      <c r="G21" s="218" t="s">
        <v>742</v>
      </c>
      <c r="H21" s="217" t="s">
        <v>743</v>
      </c>
      <c r="I21" s="254" t="s">
        <v>1010</v>
      </c>
      <c r="J21" s="242"/>
      <c r="K21" s="239"/>
      <c r="L21" s="237"/>
      <c r="M21" s="281"/>
      <c r="N21" s="278"/>
      <c r="O21" s="235"/>
      <c r="P21" s="285"/>
      <c r="Q21" s="283"/>
      <c r="R21" s="233"/>
      <c r="S21" s="289"/>
      <c r="T21" s="287"/>
      <c r="U21" s="232"/>
      <c r="V21" s="249"/>
    </row>
    <row r="22" spans="1:22" s="225" customFormat="1" ht="30.75" hidden="1" thickBot="1" x14ac:dyDescent="0.3">
      <c r="A22" s="251" t="s">
        <v>752</v>
      </c>
      <c r="B22" s="252" t="s">
        <v>704</v>
      </c>
      <c r="C22" s="272"/>
      <c r="D22" s="218" t="s">
        <v>466</v>
      </c>
      <c r="E22" s="218" t="s">
        <v>535</v>
      </c>
      <c r="F22" s="272"/>
      <c r="G22" s="272"/>
      <c r="H22" s="217" t="s">
        <v>744</v>
      </c>
      <c r="I22" s="254" t="s">
        <v>1010</v>
      </c>
      <c r="J22" s="242"/>
      <c r="K22" s="239"/>
      <c r="L22" s="237"/>
      <c r="M22" s="281"/>
      <c r="N22" s="278"/>
      <c r="O22" s="235"/>
      <c r="P22" s="285"/>
      <c r="Q22" s="283"/>
      <c r="R22" s="233"/>
      <c r="S22" s="289"/>
      <c r="T22" s="287"/>
      <c r="U22" s="232"/>
      <c r="V22" s="249"/>
    </row>
    <row r="23" spans="1:22" s="225" customFormat="1" ht="30.75" hidden="1" thickBot="1" x14ac:dyDescent="0.3">
      <c r="A23" s="251" t="s">
        <v>752</v>
      </c>
      <c r="B23" s="252" t="s">
        <v>704</v>
      </c>
      <c r="C23" s="220"/>
      <c r="D23" s="218" t="s">
        <v>466</v>
      </c>
      <c r="E23" s="218" t="s">
        <v>535</v>
      </c>
      <c r="F23" s="220"/>
      <c r="G23" s="220"/>
      <c r="H23" s="217" t="s">
        <v>745</v>
      </c>
      <c r="I23" s="254" t="s">
        <v>1008</v>
      </c>
      <c r="J23" s="242"/>
      <c r="K23" s="239"/>
      <c r="L23" s="237"/>
      <c r="M23" s="281"/>
      <c r="N23" s="278"/>
      <c r="O23" s="235"/>
      <c r="P23" s="285"/>
      <c r="Q23" s="283"/>
      <c r="R23" s="233"/>
      <c r="S23" s="289"/>
      <c r="T23" s="287"/>
      <c r="U23" s="232"/>
      <c r="V23" s="249"/>
    </row>
    <row r="24" spans="1:22" s="225" customFormat="1" ht="15" hidden="1" customHeight="1" x14ac:dyDescent="0.25">
      <c r="A24" s="251" t="s">
        <v>752</v>
      </c>
      <c r="B24" s="252" t="s">
        <v>704</v>
      </c>
      <c r="C24" s="218" t="s">
        <v>288</v>
      </c>
      <c r="D24" s="218" t="s">
        <v>466</v>
      </c>
      <c r="E24" s="218" t="s">
        <v>536</v>
      </c>
      <c r="F24" s="218"/>
      <c r="G24" s="218" t="s">
        <v>746</v>
      </c>
      <c r="H24" s="217" t="s">
        <v>745</v>
      </c>
      <c r="I24" s="254" t="s">
        <v>1008</v>
      </c>
      <c r="J24" s="242"/>
      <c r="K24" s="239"/>
      <c r="L24" s="237"/>
      <c r="M24" s="281"/>
      <c r="N24" s="278"/>
      <c r="O24" s="235"/>
      <c r="P24" s="285"/>
      <c r="Q24" s="283"/>
      <c r="R24" s="233"/>
      <c r="S24" s="289"/>
      <c r="T24" s="287"/>
      <c r="U24" s="232"/>
      <c r="V24" s="249"/>
    </row>
    <row r="25" spans="1:22" s="225" customFormat="1" ht="45.75" hidden="1" thickBot="1" x14ac:dyDescent="0.3">
      <c r="A25" s="251" t="s">
        <v>752</v>
      </c>
      <c r="B25" s="252" t="s">
        <v>704</v>
      </c>
      <c r="C25" s="272"/>
      <c r="D25" s="218" t="s">
        <v>466</v>
      </c>
      <c r="E25" s="218" t="s">
        <v>536</v>
      </c>
      <c r="F25" s="272"/>
      <c r="G25" s="272"/>
      <c r="H25" s="217" t="s">
        <v>747</v>
      </c>
      <c r="I25" s="254" t="s">
        <v>1010</v>
      </c>
      <c r="J25" s="242"/>
      <c r="K25" s="239"/>
      <c r="L25" s="237"/>
      <c r="M25" s="281"/>
      <c r="N25" s="278"/>
      <c r="O25" s="235"/>
      <c r="P25" s="285"/>
      <c r="Q25" s="283"/>
      <c r="R25" s="233"/>
      <c r="S25" s="289"/>
      <c r="T25" s="287"/>
      <c r="U25" s="232"/>
      <c r="V25" s="249"/>
    </row>
    <row r="26" spans="1:22" s="225" customFormat="1" ht="45.75" hidden="1" thickBot="1" x14ac:dyDescent="0.3">
      <c r="A26" s="251" t="s">
        <v>752</v>
      </c>
      <c r="B26" s="252" t="s">
        <v>704</v>
      </c>
      <c r="C26" s="220"/>
      <c r="D26" s="218" t="s">
        <v>466</v>
      </c>
      <c r="E26" s="218" t="s">
        <v>536</v>
      </c>
      <c r="F26" s="220"/>
      <c r="G26" s="220"/>
      <c r="H26" s="217" t="s">
        <v>748</v>
      </c>
      <c r="I26" s="254" t="s">
        <v>1008</v>
      </c>
      <c r="J26" s="242"/>
      <c r="K26" s="239"/>
      <c r="L26" s="237"/>
      <c r="M26" s="281"/>
      <c r="N26" s="278"/>
      <c r="O26" s="235"/>
      <c r="P26" s="285"/>
      <c r="Q26" s="283"/>
      <c r="R26" s="233"/>
      <c r="S26" s="289"/>
      <c r="T26" s="287"/>
      <c r="U26" s="232"/>
      <c r="V26" s="249"/>
    </row>
    <row r="27" spans="1:22" s="225" customFormat="1" ht="90.75" hidden="1" thickBot="1" x14ac:dyDescent="0.3">
      <c r="A27" s="251" t="s">
        <v>752</v>
      </c>
      <c r="B27" s="252" t="s">
        <v>704</v>
      </c>
      <c r="C27" s="218" t="s">
        <v>289</v>
      </c>
      <c r="D27" s="218" t="s">
        <v>466</v>
      </c>
      <c r="E27" s="218" t="s">
        <v>543</v>
      </c>
      <c r="F27" s="217"/>
      <c r="G27" s="218" t="s">
        <v>749</v>
      </c>
      <c r="H27" s="217" t="s">
        <v>750</v>
      </c>
      <c r="I27" s="254" t="s">
        <v>1008</v>
      </c>
      <c r="J27" s="242"/>
      <c r="K27" s="239"/>
      <c r="L27" s="237"/>
      <c r="M27" s="281"/>
      <c r="N27" s="278"/>
      <c r="O27" s="235"/>
      <c r="P27" s="285"/>
      <c r="Q27" s="283"/>
      <c r="R27" s="233"/>
      <c r="S27" s="289"/>
      <c r="T27" s="287"/>
      <c r="U27" s="232"/>
      <c r="V27" s="249"/>
    </row>
    <row r="28" spans="1:22" s="225" customFormat="1" ht="30.75" hidden="1" thickBot="1" x14ac:dyDescent="0.3">
      <c r="A28" s="251" t="s">
        <v>752</v>
      </c>
      <c r="B28" s="252" t="s">
        <v>704</v>
      </c>
      <c r="C28" s="277"/>
      <c r="D28" s="218" t="s">
        <v>466</v>
      </c>
      <c r="E28" s="218" t="s">
        <v>543</v>
      </c>
      <c r="F28" s="217"/>
      <c r="G28" s="277"/>
      <c r="H28" s="217" t="s">
        <v>751</v>
      </c>
      <c r="I28" s="254" t="s">
        <v>1008</v>
      </c>
      <c r="J28" s="242"/>
      <c r="K28" s="239"/>
      <c r="L28" s="237"/>
      <c r="M28" s="281"/>
      <c r="N28" s="278"/>
      <c r="O28" s="235"/>
      <c r="P28" s="285"/>
      <c r="Q28" s="283"/>
      <c r="R28" s="233"/>
      <c r="S28" s="289"/>
      <c r="T28" s="287"/>
      <c r="U28" s="232"/>
      <c r="V28" s="249"/>
    </row>
    <row r="29" spans="1:22" s="225" customFormat="1" ht="120.75" hidden="1" thickBot="1" x14ac:dyDescent="0.3">
      <c r="A29" s="251" t="s">
        <v>752</v>
      </c>
      <c r="B29" s="252" t="s">
        <v>730</v>
      </c>
      <c r="C29" s="228" t="s">
        <v>760</v>
      </c>
      <c r="D29" s="220" t="s">
        <v>466</v>
      </c>
      <c r="E29" s="220" t="s">
        <v>548</v>
      </c>
      <c r="F29" s="221" t="s">
        <v>666</v>
      </c>
      <c r="G29" s="217" t="s">
        <v>761</v>
      </c>
      <c r="H29" s="217" t="s">
        <v>762</v>
      </c>
      <c r="I29" s="253" t="s">
        <v>1009</v>
      </c>
      <c r="J29" s="243"/>
      <c r="K29" s="240"/>
      <c r="L29" s="238"/>
      <c r="M29" s="282"/>
      <c r="N29" s="279"/>
      <c r="O29" s="236"/>
      <c r="P29" s="286"/>
      <c r="Q29" s="284"/>
      <c r="R29" s="234"/>
      <c r="S29" s="290"/>
      <c r="T29" s="288"/>
      <c r="U29" s="231"/>
      <c r="V29" s="250"/>
    </row>
    <row r="30" spans="1:22" s="225" customFormat="1" ht="135.75" hidden="1" thickBot="1" x14ac:dyDescent="0.3">
      <c r="A30" s="251" t="s">
        <v>779</v>
      </c>
      <c r="B30" s="252" t="s">
        <v>704</v>
      </c>
      <c r="C30" s="228" t="s">
        <v>291</v>
      </c>
      <c r="D30" s="217" t="s">
        <v>466</v>
      </c>
      <c r="E30" s="257" t="s">
        <v>515</v>
      </c>
      <c r="F30" s="221" t="s">
        <v>666</v>
      </c>
      <c r="G30" s="217" t="s">
        <v>765</v>
      </c>
      <c r="H30" s="217" t="s">
        <v>1011</v>
      </c>
      <c r="I30" s="254" t="s">
        <v>1008</v>
      </c>
      <c r="J30" s="242"/>
      <c r="K30" s="239"/>
      <c r="L30" s="237"/>
      <c r="M30" s="281"/>
      <c r="N30" s="278"/>
      <c r="O30" s="235"/>
      <c r="P30" s="285"/>
      <c r="Q30" s="283"/>
      <c r="R30" s="233"/>
      <c r="S30" s="289"/>
      <c r="T30" s="287"/>
      <c r="U30" s="232"/>
      <c r="V30" s="249"/>
    </row>
    <row r="31" spans="1:22" s="225" customFormat="1" ht="105.75" hidden="1" thickBot="1" x14ac:dyDescent="0.3">
      <c r="A31" s="251" t="s">
        <v>779</v>
      </c>
      <c r="B31" s="252" t="s">
        <v>704</v>
      </c>
      <c r="C31" s="228" t="s">
        <v>292</v>
      </c>
      <c r="D31" s="217" t="s">
        <v>466</v>
      </c>
      <c r="E31" s="257" t="s">
        <v>516</v>
      </c>
      <c r="F31" s="221" t="s">
        <v>666</v>
      </c>
      <c r="G31" s="217" t="s">
        <v>766</v>
      </c>
      <c r="H31" s="217" t="s">
        <v>1012</v>
      </c>
      <c r="I31" s="254" t="s">
        <v>1008</v>
      </c>
      <c r="J31" s="242"/>
      <c r="K31" s="239"/>
      <c r="L31" s="237"/>
      <c r="M31" s="281"/>
      <c r="N31" s="278"/>
      <c r="O31" s="235"/>
      <c r="P31" s="285"/>
      <c r="Q31" s="283"/>
      <c r="R31" s="233"/>
      <c r="S31" s="289"/>
      <c r="T31" s="287"/>
      <c r="U31" s="232"/>
      <c r="V31" s="249"/>
    </row>
    <row r="32" spans="1:22" s="225" customFormat="1" ht="60.75" hidden="1" thickBot="1" x14ac:dyDescent="0.3">
      <c r="A32" s="251" t="s">
        <v>779</v>
      </c>
      <c r="B32" s="252" t="s">
        <v>704</v>
      </c>
      <c r="C32" s="228" t="s">
        <v>293</v>
      </c>
      <c r="D32" s="217" t="s">
        <v>466</v>
      </c>
      <c r="E32" s="252" t="s">
        <v>519</v>
      </c>
      <c r="F32" s="221" t="s">
        <v>666</v>
      </c>
      <c r="G32" s="217" t="s">
        <v>767</v>
      </c>
      <c r="H32" s="217" t="s">
        <v>768</v>
      </c>
      <c r="I32" s="254" t="s">
        <v>1008</v>
      </c>
      <c r="J32" s="242"/>
      <c r="K32" s="239"/>
      <c r="L32" s="237"/>
      <c r="M32" s="281"/>
      <c r="N32" s="278"/>
      <c r="O32" s="235"/>
      <c r="P32" s="285"/>
      <c r="Q32" s="283"/>
      <c r="R32" s="233"/>
      <c r="S32" s="289"/>
      <c r="T32" s="287"/>
      <c r="U32" s="232"/>
      <c r="V32" s="249"/>
    </row>
    <row r="33" spans="1:22" s="225" customFormat="1" ht="90.75" hidden="1" thickBot="1" x14ac:dyDescent="0.3">
      <c r="A33" s="251" t="s">
        <v>779</v>
      </c>
      <c r="B33" s="252" t="s">
        <v>704</v>
      </c>
      <c r="C33" s="228" t="s">
        <v>294</v>
      </c>
      <c r="D33" s="217" t="s">
        <v>466</v>
      </c>
      <c r="E33" s="257" t="s">
        <v>524</v>
      </c>
      <c r="F33" s="221" t="s">
        <v>666</v>
      </c>
      <c r="G33" s="217" t="s">
        <v>769</v>
      </c>
      <c r="H33" s="217" t="s">
        <v>1013</v>
      </c>
      <c r="I33" s="254" t="s">
        <v>1009</v>
      </c>
      <c r="J33" s="242"/>
      <c r="K33" s="239"/>
      <c r="L33" s="237"/>
      <c r="M33" s="281"/>
      <c r="N33" s="278"/>
      <c r="O33" s="235"/>
      <c r="P33" s="285"/>
      <c r="Q33" s="283"/>
      <c r="R33" s="233"/>
      <c r="S33" s="289"/>
      <c r="T33" s="287"/>
      <c r="U33" s="232"/>
      <c r="V33" s="249"/>
    </row>
    <row r="34" spans="1:22" s="225" customFormat="1" ht="105.75" hidden="1" thickBot="1" x14ac:dyDescent="0.3">
      <c r="A34" s="251" t="s">
        <v>779</v>
      </c>
      <c r="B34" s="252" t="s">
        <v>704</v>
      </c>
      <c r="C34" s="228" t="s">
        <v>295</v>
      </c>
      <c r="D34" s="217" t="s">
        <v>466</v>
      </c>
      <c r="E34" s="257" t="s">
        <v>525</v>
      </c>
      <c r="F34" s="221" t="s">
        <v>666</v>
      </c>
      <c r="G34" s="217" t="s">
        <v>770</v>
      </c>
      <c r="H34" s="217" t="s">
        <v>771</v>
      </c>
      <c r="I34" s="254" t="s">
        <v>1009</v>
      </c>
      <c r="J34" s="242"/>
      <c r="K34" s="239"/>
      <c r="L34" s="237"/>
      <c r="M34" s="281"/>
      <c r="N34" s="278"/>
      <c r="O34" s="235"/>
      <c r="P34" s="285"/>
      <c r="Q34" s="283"/>
      <c r="R34" s="233"/>
      <c r="S34" s="289"/>
      <c r="T34" s="287"/>
      <c r="U34" s="232"/>
      <c r="V34" s="249"/>
    </row>
    <row r="35" spans="1:22" s="225" customFormat="1" ht="75.75" hidden="1" thickBot="1" x14ac:dyDescent="0.3">
      <c r="A35" s="251" t="s">
        <v>779</v>
      </c>
      <c r="B35" s="252" t="s">
        <v>704</v>
      </c>
      <c r="C35" s="228" t="s">
        <v>296</v>
      </c>
      <c r="D35" s="217" t="s">
        <v>466</v>
      </c>
      <c r="E35" s="257" t="s">
        <v>527</v>
      </c>
      <c r="F35" s="221" t="s">
        <v>666</v>
      </c>
      <c r="G35" s="217" t="s">
        <v>1014</v>
      </c>
      <c r="H35" s="217" t="s">
        <v>772</v>
      </c>
      <c r="I35" s="254" t="s">
        <v>1009</v>
      </c>
      <c r="J35" s="242"/>
      <c r="K35" s="239"/>
      <c r="L35" s="237"/>
      <c r="M35" s="281"/>
      <c r="N35" s="278"/>
      <c r="O35" s="235"/>
      <c r="P35" s="285"/>
      <c r="Q35" s="283"/>
      <c r="R35" s="233"/>
      <c r="S35" s="289"/>
      <c r="T35" s="287"/>
      <c r="U35" s="232"/>
      <c r="V35" s="249"/>
    </row>
    <row r="36" spans="1:22" s="225" customFormat="1" ht="120.75" hidden="1" thickBot="1" x14ac:dyDescent="0.3">
      <c r="A36" s="251" t="s">
        <v>779</v>
      </c>
      <c r="B36" s="252" t="s">
        <v>704</v>
      </c>
      <c r="C36" s="228" t="s">
        <v>297</v>
      </c>
      <c r="D36" s="217" t="s">
        <v>466</v>
      </c>
      <c r="E36" s="257" t="s">
        <v>529</v>
      </c>
      <c r="F36" s="221" t="s">
        <v>666</v>
      </c>
      <c r="G36" s="217" t="s">
        <v>773</v>
      </c>
      <c r="H36" s="217" t="s">
        <v>1015</v>
      </c>
      <c r="I36" s="254" t="s">
        <v>1008</v>
      </c>
      <c r="J36" s="242"/>
      <c r="K36" s="239"/>
      <c r="L36" s="237"/>
      <c r="M36" s="281"/>
      <c r="N36" s="278"/>
      <c r="O36" s="235"/>
      <c r="P36" s="285"/>
      <c r="Q36" s="283"/>
      <c r="R36" s="233"/>
      <c r="S36" s="289"/>
      <c r="T36" s="287"/>
      <c r="U36" s="232"/>
      <c r="V36" s="249"/>
    </row>
    <row r="37" spans="1:22" s="225" customFormat="1" ht="45.75" hidden="1" thickBot="1" x14ac:dyDescent="0.3">
      <c r="A37" s="251" t="s">
        <v>779</v>
      </c>
      <c r="B37" s="252" t="s">
        <v>704</v>
      </c>
      <c r="C37" s="228" t="s">
        <v>298</v>
      </c>
      <c r="D37" s="217" t="s">
        <v>466</v>
      </c>
      <c r="E37" s="257" t="s">
        <v>532</v>
      </c>
      <c r="F37" s="221" t="s">
        <v>666</v>
      </c>
      <c r="G37" s="217" t="s">
        <v>769</v>
      </c>
      <c r="H37" s="217" t="s">
        <v>774</v>
      </c>
      <c r="I37" s="254" t="s">
        <v>1009</v>
      </c>
      <c r="J37" s="242"/>
      <c r="K37" s="239"/>
      <c r="L37" s="237"/>
      <c r="M37" s="281"/>
      <c r="N37" s="278"/>
      <c r="O37" s="235"/>
      <c r="P37" s="285"/>
      <c r="Q37" s="283"/>
      <c r="R37" s="233"/>
      <c r="S37" s="289"/>
      <c r="T37" s="287"/>
      <c r="U37" s="232"/>
      <c r="V37" s="249"/>
    </row>
    <row r="38" spans="1:22" s="225" customFormat="1" ht="75.75" hidden="1" thickBot="1" x14ac:dyDescent="0.3">
      <c r="A38" s="251" t="s">
        <v>779</v>
      </c>
      <c r="B38" s="252" t="s">
        <v>704</v>
      </c>
      <c r="C38" s="228" t="s">
        <v>299</v>
      </c>
      <c r="D38" s="217" t="s">
        <v>466</v>
      </c>
      <c r="E38" s="257" t="s">
        <v>534</v>
      </c>
      <c r="F38" s="221" t="s">
        <v>666</v>
      </c>
      <c r="G38" s="217" t="s">
        <v>775</v>
      </c>
      <c r="H38" s="217" t="s">
        <v>776</v>
      </c>
      <c r="I38" s="254" t="s">
        <v>1008</v>
      </c>
      <c r="J38" s="242"/>
      <c r="K38" s="239"/>
      <c r="L38" s="237"/>
      <c r="M38" s="281"/>
      <c r="N38" s="278"/>
      <c r="O38" s="235"/>
      <c r="P38" s="285"/>
      <c r="Q38" s="283"/>
      <c r="R38" s="233"/>
      <c r="S38" s="289"/>
      <c r="T38" s="287"/>
      <c r="U38" s="232"/>
      <c r="V38" s="249"/>
    </row>
    <row r="39" spans="1:22" s="225" customFormat="1" ht="195.75" hidden="1" thickBot="1" x14ac:dyDescent="0.3">
      <c r="A39" s="251" t="s">
        <v>779</v>
      </c>
      <c r="B39" s="252" t="s">
        <v>704</v>
      </c>
      <c r="C39" s="228" t="s">
        <v>300</v>
      </c>
      <c r="D39" s="217" t="s">
        <v>466</v>
      </c>
      <c r="E39" s="257" t="s">
        <v>535</v>
      </c>
      <c r="F39" s="221" t="s">
        <v>666</v>
      </c>
      <c r="G39" s="217" t="s">
        <v>777</v>
      </c>
      <c r="H39" s="217" t="s">
        <v>778</v>
      </c>
      <c r="I39" s="254" t="s">
        <v>1010</v>
      </c>
      <c r="J39" s="242"/>
      <c r="K39" s="239"/>
      <c r="L39" s="237"/>
      <c r="M39" s="281"/>
      <c r="N39" s="278"/>
      <c r="O39" s="235"/>
      <c r="P39" s="285"/>
      <c r="Q39" s="283"/>
      <c r="R39" s="233"/>
      <c r="S39" s="289"/>
      <c r="T39" s="287"/>
      <c r="U39" s="232"/>
      <c r="V39" s="249"/>
    </row>
    <row r="40" spans="1:22" s="225" customFormat="1" ht="150.75" hidden="1" thickBot="1" x14ac:dyDescent="0.3">
      <c r="A40" s="251" t="s">
        <v>779</v>
      </c>
      <c r="B40" s="252" t="s">
        <v>152</v>
      </c>
      <c r="C40" s="221" t="s">
        <v>716</v>
      </c>
      <c r="D40" s="220" t="s">
        <v>466</v>
      </c>
      <c r="E40" s="220" t="s">
        <v>537</v>
      </c>
      <c r="F40" s="221" t="s">
        <v>666</v>
      </c>
      <c r="G40" s="217" t="s">
        <v>780</v>
      </c>
      <c r="H40" s="217" t="s">
        <v>781</v>
      </c>
      <c r="I40" s="254" t="s">
        <v>1008</v>
      </c>
      <c r="J40" s="242"/>
      <c r="K40" s="239"/>
      <c r="L40" s="237"/>
      <c r="M40" s="281"/>
      <c r="N40" s="278"/>
      <c r="O40" s="235"/>
      <c r="P40" s="285"/>
      <c r="Q40" s="283"/>
      <c r="R40" s="233"/>
      <c r="S40" s="289"/>
      <c r="T40" s="287"/>
      <c r="U40" s="232"/>
      <c r="V40" s="249"/>
    </row>
    <row r="41" spans="1:22" s="225" customFormat="1" ht="45.75" hidden="1" thickBot="1" x14ac:dyDescent="0.3">
      <c r="A41" s="251" t="s">
        <v>779</v>
      </c>
      <c r="B41" s="252" t="s">
        <v>730</v>
      </c>
      <c r="C41" s="228" t="s">
        <v>282</v>
      </c>
      <c r="D41" s="217" t="s">
        <v>466</v>
      </c>
      <c r="E41" s="257" t="s">
        <v>536</v>
      </c>
      <c r="F41" s="221" t="s">
        <v>666</v>
      </c>
      <c r="G41" s="217" t="s">
        <v>782</v>
      </c>
      <c r="H41" s="217" t="s">
        <v>783</v>
      </c>
      <c r="I41" s="254" t="s">
        <v>1008</v>
      </c>
      <c r="J41" s="242"/>
      <c r="K41" s="239"/>
      <c r="L41" s="237"/>
      <c r="M41" s="281"/>
      <c r="N41" s="278"/>
      <c r="O41" s="235"/>
      <c r="P41" s="285"/>
      <c r="Q41" s="283"/>
      <c r="R41" s="233"/>
      <c r="S41" s="289"/>
      <c r="T41" s="287"/>
      <c r="U41" s="232"/>
      <c r="V41" s="249"/>
    </row>
    <row r="42" spans="1:22" s="225" customFormat="1" ht="75.75" hidden="1" thickBot="1" x14ac:dyDescent="0.3">
      <c r="A42" s="251" t="s">
        <v>792</v>
      </c>
      <c r="B42" s="252" t="s">
        <v>704</v>
      </c>
      <c r="C42" s="228" t="s">
        <v>291</v>
      </c>
      <c r="D42" s="217" t="s">
        <v>466</v>
      </c>
      <c r="E42" s="220" t="s">
        <v>516</v>
      </c>
      <c r="F42" s="217"/>
      <c r="G42" s="217" t="s">
        <v>784</v>
      </c>
      <c r="H42" s="217" t="s">
        <v>785</v>
      </c>
      <c r="I42" s="254" t="s">
        <v>1008</v>
      </c>
      <c r="J42" s="242"/>
      <c r="K42" s="239"/>
      <c r="L42" s="237"/>
      <c r="M42" s="281"/>
      <c r="N42" s="278"/>
      <c r="O42" s="235"/>
      <c r="P42" s="285"/>
      <c r="Q42" s="283"/>
      <c r="R42" s="233"/>
      <c r="S42" s="289"/>
      <c r="T42" s="287"/>
      <c r="U42" s="232"/>
      <c r="V42" s="249"/>
    </row>
    <row r="43" spans="1:22" s="225" customFormat="1" ht="90.75" hidden="1" thickBot="1" x14ac:dyDescent="0.3">
      <c r="A43" s="251" t="s">
        <v>792</v>
      </c>
      <c r="B43" s="252" t="s">
        <v>704</v>
      </c>
      <c r="C43" s="228" t="s">
        <v>292</v>
      </c>
      <c r="D43" s="217" t="s">
        <v>466</v>
      </c>
      <c r="E43" s="220" t="s">
        <v>529</v>
      </c>
      <c r="F43" s="217"/>
      <c r="G43" s="217" t="s">
        <v>673</v>
      </c>
      <c r="H43" s="217" t="s">
        <v>674</v>
      </c>
      <c r="I43" s="254" t="s">
        <v>1010</v>
      </c>
      <c r="J43" s="242"/>
      <c r="K43" s="239"/>
      <c r="L43" s="237"/>
      <c r="M43" s="281"/>
      <c r="N43" s="278"/>
      <c r="O43" s="235"/>
      <c r="P43" s="285"/>
      <c r="Q43" s="283"/>
      <c r="R43" s="233"/>
      <c r="S43" s="289"/>
      <c r="T43" s="287"/>
      <c r="U43" s="232"/>
      <c r="V43" s="249"/>
    </row>
    <row r="44" spans="1:22" s="225" customFormat="1" ht="60.75" hidden="1" thickBot="1" x14ac:dyDescent="0.3">
      <c r="A44" s="251" t="s">
        <v>792</v>
      </c>
      <c r="B44" s="252" t="s">
        <v>704</v>
      </c>
      <c r="C44" s="228" t="s">
        <v>293</v>
      </c>
      <c r="D44" s="217" t="s">
        <v>466</v>
      </c>
      <c r="E44" s="220" t="s">
        <v>530</v>
      </c>
      <c r="F44" s="217"/>
      <c r="G44" s="217" t="s">
        <v>675</v>
      </c>
      <c r="H44" s="217" t="s">
        <v>676</v>
      </c>
      <c r="I44" s="254" t="s">
        <v>1009</v>
      </c>
      <c r="J44" s="242"/>
      <c r="K44" s="239"/>
      <c r="L44" s="237"/>
      <c r="M44" s="281"/>
      <c r="N44" s="278"/>
      <c r="O44" s="235"/>
      <c r="P44" s="285"/>
      <c r="Q44" s="283"/>
      <c r="R44" s="233"/>
      <c r="S44" s="289"/>
      <c r="T44" s="287"/>
      <c r="U44" s="232"/>
      <c r="V44" s="249"/>
    </row>
    <row r="45" spans="1:22" s="225" customFormat="1" ht="75.75" hidden="1" thickBot="1" x14ac:dyDescent="0.3">
      <c r="A45" s="251" t="s">
        <v>792</v>
      </c>
      <c r="B45" s="252" t="s">
        <v>704</v>
      </c>
      <c r="C45" s="228" t="s">
        <v>294</v>
      </c>
      <c r="D45" s="217" t="s">
        <v>466</v>
      </c>
      <c r="E45" s="220" t="s">
        <v>531</v>
      </c>
      <c r="F45" s="217"/>
      <c r="G45" s="217" t="s">
        <v>677</v>
      </c>
      <c r="H45" s="217" t="s">
        <v>786</v>
      </c>
      <c r="I45" s="254" t="s">
        <v>1010</v>
      </c>
      <c r="J45" s="242"/>
      <c r="K45" s="239"/>
      <c r="L45" s="237"/>
      <c r="M45" s="281"/>
      <c r="N45" s="278"/>
      <c r="O45" s="235"/>
      <c r="P45" s="285"/>
      <c r="Q45" s="283"/>
      <c r="R45" s="233"/>
      <c r="S45" s="289"/>
      <c r="T45" s="287"/>
      <c r="U45" s="232"/>
      <c r="V45" s="249"/>
    </row>
    <row r="46" spans="1:22" s="225" customFormat="1" ht="60.75" hidden="1" thickBot="1" x14ac:dyDescent="0.3">
      <c r="A46" s="251" t="s">
        <v>792</v>
      </c>
      <c r="B46" s="252" t="s">
        <v>704</v>
      </c>
      <c r="C46" s="228" t="s">
        <v>295</v>
      </c>
      <c r="D46" s="217" t="s">
        <v>466</v>
      </c>
      <c r="E46" s="220" t="s">
        <v>532</v>
      </c>
      <c r="F46" s="217"/>
      <c r="G46" s="217" t="s">
        <v>678</v>
      </c>
      <c r="H46" s="217" t="s">
        <v>679</v>
      </c>
      <c r="I46" s="254" t="s">
        <v>1009</v>
      </c>
      <c r="J46" s="242"/>
      <c r="K46" s="239"/>
      <c r="L46" s="237"/>
      <c r="M46" s="281"/>
      <c r="N46" s="278"/>
      <c r="O46" s="235"/>
      <c r="P46" s="285"/>
      <c r="Q46" s="283"/>
      <c r="R46" s="233"/>
      <c r="S46" s="289"/>
      <c r="T46" s="287"/>
      <c r="U46" s="232"/>
      <c r="V46" s="249"/>
    </row>
    <row r="47" spans="1:22" s="225" customFormat="1" ht="90.75" hidden="1" thickBot="1" x14ac:dyDescent="0.3">
      <c r="A47" s="251" t="s">
        <v>792</v>
      </c>
      <c r="B47" s="252" t="s">
        <v>704</v>
      </c>
      <c r="C47" s="228" t="s">
        <v>296</v>
      </c>
      <c r="D47" s="217" t="s">
        <v>466</v>
      </c>
      <c r="E47" s="220" t="s">
        <v>535</v>
      </c>
      <c r="F47" s="217"/>
      <c r="G47" s="217" t="s">
        <v>787</v>
      </c>
      <c r="H47" s="217" t="s">
        <v>680</v>
      </c>
      <c r="I47" s="254" t="s">
        <v>1010</v>
      </c>
      <c r="J47" s="242"/>
      <c r="K47" s="239"/>
      <c r="L47" s="237"/>
      <c r="M47" s="281"/>
      <c r="N47" s="278"/>
      <c r="O47" s="235"/>
      <c r="P47" s="285"/>
      <c r="Q47" s="283"/>
      <c r="R47" s="233"/>
      <c r="S47" s="289"/>
      <c r="T47" s="287"/>
      <c r="U47" s="232"/>
      <c r="V47" s="249"/>
    </row>
    <row r="48" spans="1:22" s="225" customFormat="1" ht="45.75" hidden="1" thickBot="1" x14ac:dyDescent="0.3">
      <c r="A48" s="251" t="s">
        <v>792</v>
      </c>
      <c r="B48" s="252" t="s">
        <v>704</v>
      </c>
      <c r="C48" s="228" t="s">
        <v>297</v>
      </c>
      <c r="D48" s="217" t="s">
        <v>466</v>
      </c>
      <c r="E48" s="220" t="s">
        <v>536</v>
      </c>
      <c r="F48" s="217"/>
      <c r="G48" s="217" t="s">
        <v>788</v>
      </c>
      <c r="H48" s="217" t="s">
        <v>681</v>
      </c>
      <c r="I48" s="254" t="s">
        <v>1010</v>
      </c>
      <c r="J48" s="242"/>
      <c r="K48" s="239"/>
      <c r="L48" s="237"/>
      <c r="M48" s="281"/>
      <c r="N48" s="278"/>
      <c r="O48" s="235"/>
      <c r="P48" s="285"/>
      <c r="Q48" s="283"/>
      <c r="R48" s="233"/>
      <c r="S48" s="289"/>
      <c r="T48" s="287"/>
      <c r="U48" s="232"/>
      <c r="V48" s="249"/>
    </row>
    <row r="49" spans="1:22" s="225" customFormat="1" ht="75.75" hidden="1" thickBot="1" x14ac:dyDescent="0.3">
      <c r="A49" s="251" t="s">
        <v>792</v>
      </c>
      <c r="B49" s="252" t="s">
        <v>704</v>
      </c>
      <c r="C49" s="228" t="s">
        <v>298</v>
      </c>
      <c r="D49" s="217" t="s">
        <v>466</v>
      </c>
      <c r="E49" s="220" t="s">
        <v>537</v>
      </c>
      <c r="F49" s="217"/>
      <c r="G49" s="217" t="s">
        <v>682</v>
      </c>
      <c r="H49" s="217" t="s">
        <v>789</v>
      </c>
      <c r="I49" s="254" t="s">
        <v>1008</v>
      </c>
      <c r="J49" s="242"/>
      <c r="K49" s="239"/>
      <c r="L49" s="237"/>
      <c r="M49" s="281"/>
      <c r="N49" s="278"/>
      <c r="O49" s="235"/>
      <c r="P49" s="285"/>
      <c r="Q49" s="283"/>
      <c r="R49" s="233"/>
      <c r="S49" s="289"/>
      <c r="T49" s="287"/>
      <c r="U49" s="232"/>
      <c r="V49" s="249"/>
    </row>
    <row r="50" spans="1:22" s="225" customFormat="1" ht="60.75" hidden="1" thickBot="1" x14ac:dyDescent="0.3">
      <c r="A50" s="251" t="s">
        <v>792</v>
      </c>
      <c r="B50" s="252" t="s">
        <v>704</v>
      </c>
      <c r="C50" s="228" t="s">
        <v>299</v>
      </c>
      <c r="D50" s="217" t="s">
        <v>466</v>
      </c>
      <c r="E50" s="220" t="s">
        <v>525</v>
      </c>
      <c r="F50" s="217"/>
      <c r="G50" s="217" t="s">
        <v>683</v>
      </c>
      <c r="H50" s="217" t="s">
        <v>790</v>
      </c>
      <c r="I50" s="254" t="s">
        <v>1008</v>
      </c>
      <c r="J50" s="242"/>
      <c r="K50" s="239"/>
      <c r="L50" s="237"/>
      <c r="M50" s="281"/>
      <c r="N50" s="278"/>
      <c r="O50" s="235"/>
      <c r="P50" s="285"/>
      <c r="Q50" s="283"/>
      <c r="R50" s="233"/>
      <c r="S50" s="289"/>
      <c r="T50" s="287"/>
      <c r="U50" s="232"/>
      <c r="V50" s="249"/>
    </row>
    <row r="51" spans="1:22" s="225" customFormat="1" ht="105.75" hidden="1" thickBot="1" x14ac:dyDescent="0.3">
      <c r="A51" s="251" t="s">
        <v>792</v>
      </c>
      <c r="B51" s="252" t="s">
        <v>704</v>
      </c>
      <c r="C51" s="228" t="s">
        <v>300</v>
      </c>
      <c r="D51" s="217" t="s">
        <v>466</v>
      </c>
      <c r="E51" s="220" t="s">
        <v>543</v>
      </c>
      <c r="F51" s="217"/>
      <c r="G51" s="217" t="s">
        <v>684</v>
      </c>
      <c r="H51" s="217" t="s">
        <v>791</v>
      </c>
      <c r="I51" s="254" t="s">
        <v>1010</v>
      </c>
      <c r="J51" s="242"/>
      <c r="K51" s="239"/>
      <c r="L51" s="237"/>
      <c r="M51" s="281"/>
      <c r="N51" s="278"/>
      <c r="O51" s="235"/>
      <c r="P51" s="285"/>
      <c r="Q51" s="283"/>
      <c r="R51" s="233"/>
      <c r="S51" s="289"/>
      <c r="T51" s="287"/>
      <c r="U51" s="232"/>
      <c r="V51" s="249"/>
    </row>
    <row r="52" spans="1:22" s="225" customFormat="1" ht="105.75" hidden="1" thickBot="1" x14ac:dyDescent="0.3">
      <c r="A52" s="251" t="s">
        <v>792</v>
      </c>
      <c r="B52" s="252" t="s">
        <v>704</v>
      </c>
      <c r="C52" s="228" t="s">
        <v>301</v>
      </c>
      <c r="D52" s="217" t="s">
        <v>466</v>
      </c>
      <c r="E52" s="220" t="s">
        <v>546</v>
      </c>
      <c r="F52" s="217"/>
      <c r="G52" s="217" t="s">
        <v>684</v>
      </c>
      <c r="H52" s="217" t="s">
        <v>791</v>
      </c>
      <c r="I52" s="254" t="s">
        <v>1008</v>
      </c>
      <c r="J52" s="242"/>
      <c r="K52" s="239"/>
      <c r="L52" s="237"/>
      <c r="M52" s="281"/>
      <c r="N52" s="278"/>
      <c r="O52" s="235"/>
      <c r="P52" s="285"/>
      <c r="Q52" s="283"/>
      <c r="R52" s="233"/>
      <c r="S52" s="289"/>
      <c r="T52" s="287"/>
      <c r="U52" s="232"/>
      <c r="V52" s="249"/>
    </row>
    <row r="53" spans="1:22" s="225" customFormat="1" ht="105.75" hidden="1" thickBot="1" x14ac:dyDescent="0.3">
      <c r="A53" s="251" t="s">
        <v>792</v>
      </c>
      <c r="B53" s="252" t="s">
        <v>704</v>
      </c>
      <c r="C53" s="228" t="s">
        <v>302</v>
      </c>
      <c r="D53" s="217" t="s">
        <v>466</v>
      </c>
      <c r="E53" s="217" t="s">
        <v>548</v>
      </c>
      <c r="F53" s="217"/>
      <c r="G53" s="217" t="s">
        <v>684</v>
      </c>
      <c r="H53" s="217" t="s">
        <v>791</v>
      </c>
      <c r="I53" s="254" t="s">
        <v>1008</v>
      </c>
      <c r="J53" s="242"/>
      <c r="K53" s="239"/>
      <c r="L53" s="237"/>
      <c r="M53" s="281"/>
      <c r="N53" s="278"/>
      <c r="O53" s="235"/>
      <c r="P53" s="285"/>
      <c r="Q53" s="283"/>
      <c r="R53" s="233"/>
      <c r="S53" s="289"/>
      <c r="T53" s="287"/>
      <c r="U53" s="232"/>
      <c r="V53" s="249"/>
    </row>
    <row r="54" spans="1:22" s="225" customFormat="1" ht="120.75" hidden="1" thickBot="1" x14ac:dyDescent="0.3">
      <c r="A54" s="251" t="s">
        <v>793</v>
      </c>
      <c r="B54" s="252" t="s">
        <v>704</v>
      </c>
      <c r="C54" s="228" t="s">
        <v>291</v>
      </c>
      <c r="D54" s="217" t="s">
        <v>466</v>
      </c>
      <c r="E54" s="220" t="s">
        <v>516</v>
      </c>
      <c r="F54" s="217"/>
      <c r="G54" s="217" t="s">
        <v>685</v>
      </c>
      <c r="H54" s="217" t="s">
        <v>686</v>
      </c>
      <c r="I54" s="254" t="s">
        <v>1008</v>
      </c>
      <c r="J54" s="242"/>
      <c r="K54" s="239"/>
      <c r="L54" s="237"/>
      <c r="M54" s="281"/>
      <c r="N54" s="278"/>
      <c r="O54" s="235"/>
      <c r="P54" s="285"/>
      <c r="Q54" s="283"/>
      <c r="R54" s="233"/>
      <c r="S54" s="289"/>
      <c r="T54" s="287"/>
      <c r="U54" s="232"/>
      <c r="V54" s="249"/>
    </row>
    <row r="55" spans="1:22" s="225" customFormat="1" ht="90.75" hidden="1" thickBot="1" x14ac:dyDescent="0.3">
      <c r="A55" s="251" t="s">
        <v>793</v>
      </c>
      <c r="B55" s="252" t="s">
        <v>704</v>
      </c>
      <c r="C55" s="228" t="s">
        <v>292</v>
      </c>
      <c r="D55" s="217" t="s">
        <v>466</v>
      </c>
      <c r="E55" s="220" t="s">
        <v>529</v>
      </c>
      <c r="F55" s="217"/>
      <c r="G55" s="217" t="s">
        <v>673</v>
      </c>
      <c r="H55" s="217" t="s">
        <v>697</v>
      </c>
      <c r="I55" s="254" t="s">
        <v>1010</v>
      </c>
      <c r="J55" s="242"/>
      <c r="K55" s="239"/>
      <c r="L55" s="237"/>
      <c r="M55" s="281"/>
      <c r="N55" s="278"/>
      <c r="O55" s="235"/>
      <c r="P55" s="285"/>
      <c r="Q55" s="283"/>
      <c r="R55" s="233"/>
      <c r="S55" s="289"/>
      <c r="T55" s="287"/>
      <c r="U55" s="232"/>
      <c r="V55" s="249"/>
    </row>
    <row r="56" spans="1:22" s="225" customFormat="1" ht="60.75" hidden="1" thickBot="1" x14ac:dyDescent="0.3">
      <c r="A56" s="251" t="s">
        <v>793</v>
      </c>
      <c r="B56" s="252" t="s">
        <v>704</v>
      </c>
      <c r="C56" s="228" t="s">
        <v>293</v>
      </c>
      <c r="D56" s="217" t="s">
        <v>466</v>
      </c>
      <c r="E56" s="220" t="s">
        <v>530</v>
      </c>
      <c r="F56" s="217"/>
      <c r="G56" s="217" t="s">
        <v>675</v>
      </c>
      <c r="H56" s="217" t="s">
        <v>676</v>
      </c>
      <c r="I56" s="254" t="s">
        <v>1010</v>
      </c>
      <c r="J56" s="242"/>
      <c r="K56" s="239"/>
      <c r="L56" s="237"/>
      <c r="M56" s="281"/>
      <c r="N56" s="278"/>
      <c r="O56" s="235"/>
      <c r="P56" s="285"/>
      <c r="Q56" s="283"/>
      <c r="R56" s="233"/>
      <c r="S56" s="289"/>
      <c r="T56" s="287"/>
      <c r="U56" s="232"/>
      <c r="V56" s="249"/>
    </row>
    <row r="57" spans="1:22" s="225" customFormat="1" ht="60.75" hidden="1" thickBot="1" x14ac:dyDescent="0.3">
      <c r="A57" s="251" t="s">
        <v>793</v>
      </c>
      <c r="B57" s="252" t="s">
        <v>704</v>
      </c>
      <c r="C57" s="228" t="s">
        <v>294</v>
      </c>
      <c r="D57" s="217" t="s">
        <v>466</v>
      </c>
      <c r="E57" s="220" t="s">
        <v>531</v>
      </c>
      <c r="F57" s="217"/>
      <c r="G57" s="217" t="s">
        <v>677</v>
      </c>
      <c r="H57" s="217" t="s">
        <v>698</v>
      </c>
      <c r="I57" s="254" t="s">
        <v>1010</v>
      </c>
      <c r="J57" s="242"/>
      <c r="K57" s="239"/>
      <c r="L57" s="237"/>
      <c r="M57" s="281"/>
      <c r="N57" s="278"/>
      <c r="O57" s="235"/>
      <c r="P57" s="285"/>
      <c r="Q57" s="283"/>
      <c r="R57" s="233"/>
      <c r="S57" s="289"/>
      <c r="T57" s="287"/>
      <c r="U57" s="232"/>
      <c r="V57" s="249"/>
    </row>
    <row r="58" spans="1:22" s="225" customFormat="1" ht="75.75" hidden="1" thickBot="1" x14ac:dyDescent="0.3">
      <c r="A58" s="251" t="s">
        <v>793</v>
      </c>
      <c r="B58" s="252" t="s">
        <v>704</v>
      </c>
      <c r="C58" s="228" t="s">
        <v>295</v>
      </c>
      <c r="D58" s="217" t="s">
        <v>466</v>
      </c>
      <c r="E58" s="220" t="s">
        <v>532</v>
      </c>
      <c r="F58" s="217"/>
      <c r="G58" s="217" t="s">
        <v>678</v>
      </c>
      <c r="H58" s="217" t="s">
        <v>687</v>
      </c>
      <c r="I58" s="254" t="s">
        <v>1009</v>
      </c>
      <c r="J58" s="242"/>
      <c r="K58" s="239"/>
      <c r="L58" s="237"/>
      <c r="M58" s="281"/>
      <c r="N58" s="278"/>
      <c r="O58" s="235"/>
      <c r="P58" s="285"/>
      <c r="Q58" s="283"/>
      <c r="R58" s="233"/>
      <c r="S58" s="289"/>
      <c r="T58" s="287"/>
      <c r="U58" s="232"/>
      <c r="V58" s="249"/>
    </row>
    <row r="59" spans="1:22" s="225" customFormat="1" ht="90.75" hidden="1" thickBot="1" x14ac:dyDescent="0.3">
      <c r="A59" s="251" t="s">
        <v>793</v>
      </c>
      <c r="B59" s="252" t="s">
        <v>704</v>
      </c>
      <c r="C59" s="228" t="s">
        <v>296</v>
      </c>
      <c r="D59" s="217" t="s">
        <v>466</v>
      </c>
      <c r="E59" s="220" t="s">
        <v>535</v>
      </c>
      <c r="F59" s="217"/>
      <c r="G59" s="217" t="s">
        <v>688</v>
      </c>
      <c r="H59" s="217" t="s">
        <v>680</v>
      </c>
      <c r="I59" s="254" t="s">
        <v>1008</v>
      </c>
      <c r="J59" s="242"/>
      <c r="K59" s="239"/>
      <c r="L59" s="237"/>
      <c r="M59" s="281"/>
      <c r="N59" s="278"/>
      <c r="O59" s="235"/>
      <c r="P59" s="285"/>
      <c r="Q59" s="283"/>
      <c r="R59" s="233"/>
      <c r="S59" s="289"/>
      <c r="T59" s="287"/>
      <c r="U59" s="232"/>
      <c r="V59" s="249"/>
    </row>
    <row r="60" spans="1:22" s="225" customFormat="1" ht="105.75" hidden="1" thickBot="1" x14ac:dyDescent="0.3">
      <c r="A60" s="251" t="s">
        <v>793</v>
      </c>
      <c r="B60" s="252" t="s">
        <v>704</v>
      </c>
      <c r="C60" s="228" t="s">
        <v>297</v>
      </c>
      <c r="D60" s="217" t="s">
        <v>466</v>
      </c>
      <c r="E60" s="220" t="s">
        <v>536</v>
      </c>
      <c r="F60" s="217"/>
      <c r="G60" s="217" t="s">
        <v>689</v>
      </c>
      <c r="H60" s="217" t="s">
        <v>681</v>
      </c>
      <c r="I60" s="254" t="s">
        <v>1010</v>
      </c>
      <c r="J60" s="242"/>
      <c r="K60" s="239"/>
      <c r="L60" s="237"/>
      <c r="M60" s="281"/>
      <c r="N60" s="278"/>
      <c r="O60" s="235"/>
      <c r="P60" s="285"/>
      <c r="Q60" s="283"/>
      <c r="R60" s="233"/>
      <c r="S60" s="289"/>
      <c r="T60" s="287"/>
      <c r="U60" s="232"/>
      <c r="V60" s="249"/>
    </row>
    <row r="61" spans="1:22" s="225" customFormat="1" ht="75.75" hidden="1" thickBot="1" x14ac:dyDescent="0.3">
      <c r="A61" s="251" t="s">
        <v>793</v>
      </c>
      <c r="B61" s="252" t="s">
        <v>704</v>
      </c>
      <c r="C61" s="228" t="s">
        <v>298</v>
      </c>
      <c r="D61" s="217" t="s">
        <v>466</v>
      </c>
      <c r="E61" s="220" t="s">
        <v>537</v>
      </c>
      <c r="F61" s="217"/>
      <c r="G61" s="217" t="s">
        <v>682</v>
      </c>
      <c r="H61" s="217" t="s">
        <v>690</v>
      </c>
      <c r="I61" s="254" t="s">
        <v>1008</v>
      </c>
      <c r="J61" s="242"/>
      <c r="K61" s="239"/>
      <c r="L61" s="237"/>
      <c r="M61" s="281"/>
      <c r="N61" s="278"/>
      <c r="O61" s="235"/>
      <c r="P61" s="285"/>
      <c r="Q61" s="283"/>
      <c r="R61" s="233"/>
      <c r="S61" s="289"/>
      <c r="T61" s="287"/>
      <c r="U61" s="232"/>
      <c r="V61" s="249"/>
    </row>
    <row r="62" spans="1:22" s="225" customFormat="1" ht="120.75" hidden="1" thickBot="1" x14ac:dyDescent="0.3">
      <c r="A62" s="251" t="s">
        <v>793</v>
      </c>
      <c r="B62" s="252" t="s">
        <v>704</v>
      </c>
      <c r="C62" s="228" t="s">
        <v>299</v>
      </c>
      <c r="D62" s="217" t="s">
        <v>466</v>
      </c>
      <c r="E62" s="220" t="s">
        <v>525</v>
      </c>
      <c r="F62" s="217"/>
      <c r="G62" s="217" t="s">
        <v>683</v>
      </c>
      <c r="H62" s="217" t="s">
        <v>691</v>
      </c>
      <c r="I62" s="254" t="s">
        <v>1008</v>
      </c>
      <c r="J62" s="242"/>
      <c r="K62" s="239"/>
      <c r="L62" s="237"/>
      <c r="M62" s="281"/>
      <c r="N62" s="278"/>
      <c r="O62" s="235"/>
      <c r="P62" s="285"/>
      <c r="Q62" s="283"/>
      <c r="R62" s="233"/>
      <c r="S62" s="289"/>
      <c r="T62" s="287"/>
      <c r="U62" s="232"/>
      <c r="V62" s="249"/>
    </row>
    <row r="63" spans="1:22" s="225" customFormat="1" ht="105.75" hidden="1" thickBot="1" x14ac:dyDescent="0.3">
      <c r="A63" s="251" t="s">
        <v>793</v>
      </c>
      <c r="B63" s="252" t="s">
        <v>704</v>
      </c>
      <c r="C63" s="228" t="s">
        <v>300</v>
      </c>
      <c r="D63" s="217" t="s">
        <v>466</v>
      </c>
      <c r="E63" s="220" t="s">
        <v>543</v>
      </c>
      <c r="F63" s="217"/>
      <c r="G63" s="217" t="s">
        <v>684</v>
      </c>
      <c r="H63" s="217" t="s">
        <v>692</v>
      </c>
      <c r="I63" s="254" t="s">
        <v>1010</v>
      </c>
      <c r="J63" s="242"/>
      <c r="K63" s="239"/>
      <c r="L63" s="237"/>
      <c r="M63" s="281"/>
      <c r="N63" s="278"/>
      <c r="O63" s="235"/>
      <c r="P63" s="285"/>
      <c r="Q63" s="283"/>
      <c r="R63" s="233"/>
      <c r="S63" s="289"/>
      <c r="T63" s="287"/>
      <c r="U63" s="232"/>
      <c r="V63" s="249"/>
    </row>
    <row r="64" spans="1:22" s="225" customFormat="1" ht="120.75" hidden="1" thickBot="1" x14ac:dyDescent="0.3">
      <c r="A64" s="251" t="s">
        <v>793</v>
      </c>
      <c r="B64" s="252" t="s">
        <v>704</v>
      </c>
      <c r="C64" s="228" t="s">
        <v>301</v>
      </c>
      <c r="D64" s="217" t="s">
        <v>466</v>
      </c>
      <c r="E64" s="220" t="s">
        <v>546</v>
      </c>
      <c r="F64" s="217"/>
      <c r="G64" s="217" t="s">
        <v>693</v>
      </c>
      <c r="H64" s="217" t="s">
        <v>694</v>
      </c>
      <c r="I64" s="254" t="s">
        <v>1010</v>
      </c>
      <c r="J64" s="242"/>
      <c r="K64" s="239"/>
      <c r="L64" s="237"/>
      <c r="M64" s="281"/>
      <c r="N64" s="278"/>
      <c r="O64" s="235"/>
      <c r="P64" s="285"/>
      <c r="Q64" s="283"/>
      <c r="R64" s="233"/>
      <c r="S64" s="289"/>
      <c r="T64" s="287"/>
      <c r="U64" s="232"/>
      <c r="V64" s="249"/>
    </row>
    <row r="65" spans="1:22" s="225" customFormat="1" ht="150.75" hidden="1" thickBot="1" x14ac:dyDescent="0.3">
      <c r="A65" s="251" t="s">
        <v>793</v>
      </c>
      <c r="B65" s="252" t="s">
        <v>704</v>
      </c>
      <c r="C65" s="228" t="s">
        <v>302</v>
      </c>
      <c r="D65" s="217" t="s">
        <v>466</v>
      </c>
      <c r="E65" s="217" t="s">
        <v>548</v>
      </c>
      <c r="F65" s="217"/>
      <c r="G65" s="217" t="s">
        <v>696</v>
      </c>
      <c r="H65" s="217" t="s">
        <v>695</v>
      </c>
      <c r="I65" s="254" t="s">
        <v>1010</v>
      </c>
      <c r="J65" s="242"/>
      <c r="K65" s="239"/>
      <c r="L65" s="237"/>
      <c r="M65" s="281"/>
      <c r="N65" s="278"/>
      <c r="O65" s="235"/>
      <c r="P65" s="285"/>
      <c r="Q65" s="283"/>
      <c r="R65" s="233"/>
      <c r="S65" s="289"/>
      <c r="T65" s="287"/>
      <c r="U65" s="232"/>
      <c r="V65" s="249"/>
    </row>
    <row r="66" spans="1:22" s="225" customFormat="1" ht="150.75" hidden="1" thickBot="1" x14ac:dyDescent="0.3">
      <c r="A66" s="251" t="s">
        <v>804</v>
      </c>
      <c r="B66" s="252" t="s">
        <v>704</v>
      </c>
      <c r="C66" s="228" t="s">
        <v>285</v>
      </c>
      <c r="D66" s="217" t="s">
        <v>466</v>
      </c>
      <c r="E66" s="220" t="s">
        <v>525</v>
      </c>
      <c r="F66" s="217"/>
      <c r="G66" s="217" t="s">
        <v>794</v>
      </c>
      <c r="H66" s="217" t="s">
        <v>795</v>
      </c>
      <c r="I66" s="254" t="s">
        <v>1008</v>
      </c>
      <c r="J66" s="242"/>
      <c r="K66" s="239"/>
      <c r="L66" s="237"/>
      <c r="M66" s="281"/>
      <c r="N66" s="278"/>
      <c r="O66" s="235"/>
      <c r="P66" s="285"/>
      <c r="Q66" s="283"/>
      <c r="R66" s="233"/>
      <c r="S66" s="289"/>
      <c r="T66" s="287"/>
      <c r="U66" s="232"/>
      <c r="V66" s="249"/>
    </row>
    <row r="67" spans="1:22" s="225" customFormat="1" ht="165.75" hidden="1" thickBot="1" x14ac:dyDescent="0.3">
      <c r="A67" s="251" t="s">
        <v>804</v>
      </c>
      <c r="B67" s="252" t="s">
        <v>704</v>
      </c>
      <c r="C67" s="228" t="s">
        <v>286</v>
      </c>
      <c r="D67" s="217" t="s">
        <v>466</v>
      </c>
      <c r="E67" s="220" t="s">
        <v>535</v>
      </c>
      <c r="F67" s="217"/>
      <c r="G67" s="217" t="s">
        <v>796</v>
      </c>
      <c r="H67" s="217" t="s">
        <v>797</v>
      </c>
      <c r="I67" s="254" t="s">
        <v>1008</v>
      </c>
      <c r="J67" s="242"/>
      <c r="K67" s="239"/>
      <c r="L67" s="237"/>
      <c r="M67" s="281"/>
      <c r="N67" s="278"/>
      <c r="O67" s="235"/>
      <c r="P67" s="285"/>
      <c r="Q67" s="283"/>
      <c r="R67" s="233"/>
      <c r="S67" s="289"/>
      <c r="T67" s="287"/>
      <c r="U67" s="232"/>
      <c r="V67" s="249"/>
    </row>
    <row r="68" spans="1:22" s="225" customFormat="1" ht="210.75" hidden="1" thickBot="1" x14ac:dyDescent="0.3">
      <c r="A68" s="251" t="s">
        <v>804</v>
      </c>
      <c r="B68" s="252" t="s">
        <v>704</v>
      </c>
      <c r="C68" s="228" t="s">
        <v>287</v>
      </c>
      <c r="D68" s="217" t="s">
        <v>466</v>
      </c>
      <c r="E68" s="220" t="s">
        <v>533</v>
      </c>
      <c r="F68" s="217"/>
      <c r="G68" s="217" t="s">
        <v>798</v>
      </c>
      <c r="H68" s="217" t="s">
        <v>799</v>
      </c>
      <c r="I68" s="254" t="s">
        <v>1008</v>
      </c>
      <c r="J68" s="242"/>
      <c r="K68" s="239"/>
      <c r="L68" s="237"/>
      <c r="M68" s="281"/>
      <c r="N68" s="278"/>
      <c r="O68" s="235"/>
      <c r="P68" s="285"/>
      <c r="Q68" s="283"/>
      <c r="R68" s="233"/>
      <c r="S68" s="289"/>
      <c r="T68" s="287"/>
      <c r="U68" s="232"/>
      <c r="V68" s="249"/>
    </row>
    <row r="69" spans="1:22" s="225" customFormat="1" ht="120.75" hidden="1" thickBot="1" x14ac:dyDescent="0.3">
      <c r="A69" s="251" t="s">
        <v>804</v>
      </c>
      <c r="B69" s="252" t="s">
        <v>704</v>
      </c>
      <c r="C69" s="228" t="s">
        <v>288</v>
      </c>
      <c r="D69" s="217" t="s">
        <v>466</v>
      </c>
      <c r="E69" s="220" t="s">
        <v>548</v>
      </c>
      <c r="F69" s="217"/>
      <c r="G69" s="217" t="s">
        <v>761</v>
      </c>
      <c r="H69" s="217" t="s">
        <v>762</v>
      </c>
      <c r="I69" s="254" t="s">
        <v>1009</v>
      </c>
      <c r="J69" s="242"/>
      <c r="K69" s="239"/>
      <c r="L69" s="237"/>
      <c r="M69" s="281"/>
      <c r="N69" s="278"/>
      <c r="O69" s="235"/>
      <c r="P69" s="285"/>
      <c r="Q69" s="283"/>
      <c r="R69" s="233"/>
      <c r="S69" s="289"/>
      <c r="T69" s="287"/>
      <c r="U69" s="232"/>
      <c r="V69" s="249"/>
    </row>
    <row r="70" spans="1:22" s="225" customFormat="1" ht="225.75" hidden="1" thickBot="1" x14ac:dyDescent="0.3">
      <c r="A70" s="251" t="s">
        <v>804</v>
      </c>
      <c r="B70" s="252" t="s">
        <v>704</v>
      </c>
      <c r="C70" s="228" t="s">
        <v>289</v>
      </c>
      <c r="D70" s="217" t="s">
        <v>466</v>
      </c>
      <c r="E70" s="220" t="s">
        <v>530</v>
      </c>
      <c r="F70" s="217"/>
      <c r="G70" s="220" t="s">
        <v>800</v>
      </c>
      <c r="H70" s="217" t="s">
        <v>801</v>
      </c>
      <c r="I70" s="254" t="s">
        <v>1008</v>
      </c>
      <c r="J70" s="242"/>
      <c r="K70" s="239"/>
      <c r="L70" s="237"/>
      <c r="M70" s="281"/>
      <c r="N70" s="278"/>
      <c r="O70" s="235"/>
      <c r="P70" s="285"/>
      <c r="Q70" s="283"/>
      <c r="R70" s="233"/>
      <c r="S70" s="289"/>
      <c r="T70" s="287"/>
      <c r="U70" s="232"/>
      <c r="V70" s="249"/>
    </row>
    <row r="71" spans="1:22" s="225" customFormat="1" ht="135.75" hidden="1" thickBot="1" x14ac:dyDescent="0.3">
      <c r="A71" s="251" t="s">
        <v>804</v>
      </c>
      <c r="B71" s="252" t="s">
        <v>704</v>
      </c>
      <c r="C71" s="228" t="s">
        <v>290</v>
      </c>
      <c r="D71" s="217" t="s">
        <v>466</v>
      </c>
      <c r="E71" s="220" t="s">
        <v>527</v>
      </c>
      <c r="F71" s="217"/>
      <c r="G71" s="217" t="s">
        <v>802</v>
      </c>
      <c r="H71" s="217" t="s">
        <v>803</v>
      </c>
      <c r="I71" s="254" t="s">
        <v>1010</v>
      </c>
      <c r="J71" s="242"/>
      <c r="K71" s="239"/>
      <c r="L71" s="237"/>
      <c r="M71" s="281"/>
      <c r="N71" s="278"/>
      <c r="O71" s="235"/>
      <c r="P71" s="285"/>
      <c r="Q71" s="283"/>
      <c r="R71" s="233"/>
      <c r="S71" s="289"/>
      <c r="T71" s="287"/>
      <c r="U71" s="232"/>
      <c r="V71" s="249"/>
    </row>
    <row r="72" spans="1:22" s="225" customFormat="1" ht="105.75" hidden="1" thickBot="1" x14ac:dyDescent="0.3">
      <c r="A72" s="251" t="s">
        <v>804</v>
      </c>
      <c r="B72" s="252" t="s">
        <v>152</v>
      </c>
      <c r="C72" s="228" t="s">
        <v>754</v>
      </c>
      <c r="D72" s="217" t="s">
        <v>466</v>
      </c>
      <c r="E72" s="220" t="s">
        <v>515</v>
      </c>
      <c r="F72" s="217"/>
      <c r="G72" s="217" t="s">
        <v>805</v>
      </c>
      <c r="H72" s="217" t="s">
        <v>806</v>
      </c>
      <c r="I72" s="254" t="s">
        <v>1008</v>
      </c>
      <c r="J72" s="242"/>
      <c r="K72" s="239"/>
      <c r="L72" s="237"/>
      <c r="M72" s="281"/>
      <c r="N72" s="278"/>
      <c r="O72" s="235"/>
      <c r="P72" s="285"/>
      <c r="Q72" s="283"/>
      <c r="R72" s="233"/>
      <c r="S72" s="289"/>
      <c r="T72" s="287"/>
      <c r="U72" s="232"/>
      <c r="V72" s="249"/>
    </row>
    <row r="73" spans="1:22" s="225" customFormat="1" ht="75.75" hidden="1" thickBot="1" x14ac:dyDescent="0.3">
      <c r="A73" s="251" t="s">
        <v>818</v>
      </c>
      <c r="B73" s="252" t="s">
        <v>704</v>
      </c>
      <c r="C73" s="228" t="s">
        <v>283</v>
      </c>
      <c r="D73" s="217" t="s">
        <v>466</v>
      </c>
      <c r="E73" s="220" t="s">
        <v>527</v>
      </c>
      <c r="F73" s="217"/>
      <c r="G73" s="217" t="s">
        <v>1016</v>
      </c>
      <c r="H73" s="276" t="s">
        <v>809</v>
      </c>
      <c r="I73" s="254" t="s">
        <v>1009</v>
      </c>
      <c r="J73" s="242"/>
      <c r="K73" s="239"/>
      <c r="L73" s="237"/>
      <c r="M73" s="281"/>
      <c r="N73" s="278"/>
      <c r="O73" s="235"/>
      <c r="P73" s="285"/>
      <c r="Q73" s="283"/>
      <c r="R73" s="233"/>
      <c r="S73" s="289"/>
      <c r="T73" s="287"/>
      <c r="U73" s="232"/>
      <c r="V73" s="249"/>
    </row>
    <row r="74" spans="1:22" s="225" customFormat="1" ht="45.75" hidden="1" thickBot="1" x14ac:dyDescent="0.3">
      <c r="A74" s="251" t="s">
        <v>818</v>
      </c>
      <c r="B74" s="252" t="s">
        <v>704</v>
      </c>
      <c r="C74" s="228" t="s">
        <v>284</v>
      </c>
      <c r="D74" s="217" t="s">
        <v>466</v>
      </c>
      <c r="E74" s="220" t="s">
        <v>527</v>
      </c>
      <c r="F74" s="217"/>
      <c r="G74" s="217"/>
      <c r="H74" s="219"/>
      <c r="I74" s="254" t="s">
        <v>1009</v>
      </c>
      <c r="J74" s="242"/>
      <c r="K74" s="239"/>
      <c r="L74" s="237"/>
      <c r="M74" s="281"/>
      <c r="N74" s="278"/>
      <c r="O74" s="235"/>
      <c r="P74" s="285"/>
      <c r="Q74" s="283"/>
      <c r="R74" s="233"/>
      <c r="S74" s="289"/>
      <c r="T74" s="287"/>
      <c r="U74" s="232"/>
      <c r="V74" s="249"/>
    </row>
    <row r="75" spans="1:22" s="225" customFormat="1" ht="45.75" hidden="1" thickBot="1" x14ac:dyDescent="0.3">
      <c r="A75" s="251" t="s">
        <v>818</v>
      </c>
      <c r="B75" s="252" t="s">
        <v>704</v>
      </c>
      <c r="C75" s="228" t="s">
        <v>285</v>
      </c>
      <c r="D75" s="217" t="s">
        <v>466</v>
      </c>
      <c r="E75" s="220" t="s">
        <v>530</v>
      </c>
      <c r="F75" s="217"/>
      <c r="G75" s="217" t="s">
        <v>810</v>
      </c>
      <c r="H75" s="217" t="s">
        <v>811</v>
      </c>
      <c r="I75" s="254" t="s">
        <v>1008</v>
      </c>
      <c r="J75" s="242"/>
      <c r="K75" s="239"/>
      <c r="L75" s="237"/>
      <c r="M75" s="281"/>
      <c r="N75" s="278"/>
      <c r="O75" s="235"/>
      <c r="P75" s="285"/>
      <c r="Q75" s="283"/>
      <c r="R75" s="233"/>
      <c r="S75" s="289"/>
      <c r="T75" s="287"/>
      <c r="U75" s="232"/>
      <c r="V75" s="249"/>
    </row>
    <row r="76" spans="1:22" s="225" customFormat="1" ht="45.75" hidden="1" thickBot="1" x14ac:dyDescent="0.3">
      <c r="A76" s="251" t="s">
        <v>818</v>
      </c>
      <c r="B76" s="252" t="s">
        <v>704</v>
      </c>
      <c r="C76" s="228" t="s">
        <v>287</v>
      </c>
      <c r="D76" s="217" t="s">
        <v>466</v>
      </c>
      <c r="E76" s="220" t="s">
        <v>536</v>
      </c>
      <c r="F76" s="217"/>
      <c r="G76" s="217" t="s">
        <v>812</v>
      </c>
      <c r="H76" s="217" t="s">
        <v>813</v>
      </c>
      <c r="I76" s="254" t="s">
        <v>1010</v>
      </c>
      <c r="J76" s="242"/>
      <c r="K76" s="239"/>
      <c r="L76" s="237"/>
      <c r="M76" s="281"/>
      <c r="N76" s="278"/>
      <c r="O76" s="235"/>
      <c r="P76" s="285"/>
      <c r="Q76" s="283"/>
      <c r="R76" s="233"/>
      <c r="S76" s="289"/>
      <c r="T76" s="287"/>
      <c r="U76" s="232"/>
      <c r="V76" s="249"/>
    </row>
    <row r="77" spans="1:22" s="225" customFormat="1" ht="75.75" hidden="1" thickBot="1" x14ac:dyDescent="0.3">
      <c r="A77" s="251" t="s">
        <v>818</v>
      </c>
      <c r="B77" s="252" t="s">
        <v>730</v>
      </c>
      <c r="C77" s="228" t="s">
        <v>726</v>
      </c>
      <c r="D77" s="220" t="s">
        <v>466</v>
      </c>
      <c r="E77" s="220" t="s">
        <v>525</v>
      </c>
      <c r="F77" s="221" t="s">
        <v>666</v>
      </c>
      <c r="G77" s="217" t="s">
        <v>814</v>
      </c>
      <c r="H77" s="217" t="s">
        <v>815</v>
      </c>
      <c r="I77" s="254" t="s">
        <v>1008</v>
      </c>
      <c r="J77" s="242"/>
      <c r="K77" s="239"/>
      <c r="L77" s="237"/>
      <c r="M77" s="281"/>
      <c r="N77" s="278"/>
      <c r="O77" s="235"/>
      <c r="P77" s="285"/>
      <c r="Q77" s="283"/>
      <c r="R77" s="233"/>
      <c r="S77" s="289"/>
      <c r="T77" s="287"/>
      <c r="U77" s="232"/>
      <c r="V77" s="249"/>
    </row>
    <row r="78" spans="1:22" s="225" customFormat="1" ht="90.75" hidden="1" thickBot="1" x14ac:dyDescent="0.3">
      <c r="A78" s="251" t="s">
        <v>818</v>
      </c>
      <c r="B78" s="252" t="s">
        <v>730</v>
      </c>
      <c r="C78" s="228" t="s">
        <v>727</v>
      </c>
      <c r="D78" s="220" t="s">
        <v>466</v>
      </c>
      <c r="E78" s="220" t="s">
        <v>532</v>
      </c>
      <c r="F78" s="221" t="s">
        <v>666</v>
      </c>
      <c r="G78" s="217" t="s">
        <v>814</v>
      </c>
      <c r="H78" s="217" t="s">
        <v>816</v>
      </c>
      <c r="I78" s="254" t="s">
        <v>1008</v>
      </c>
      <c r="J78" s="242"/>
      <c r="K78" s="239"/>
      <c r="L78" s="237"/>
      <c r="M78" s="281"/>
      <c r="N78" s="278"/>
      <c r="O78" s="235"/>
      <c r="P78" s="285"/>
      <c r="Q78" s="283"/>
      <c r="R78" s="233"/>
      <c r="S78" s="289"/>
      <c r="T78" s="287"/>
      <c r="U78" s="232"/>
      <c r="V78" s="249"/>
    </row>
    <row r="79" spans="1:22" s="225" customFormat="1" ht="75.75" hidden="1" thickBot="1" x14ac:dyDescent="0.3">
      <c r="A79" s="251" t="s">
        <v>818</v>
      </c>
      <c r="B79" s="252" t="s">
        <v>730</v>
      </c>
      <c r="C79" s="228" t="s">
        <v>759</v>
      </c>
      <c r="D79" s="220" t="s">
        <v>466</v>
      </c>
      <c r="E79" s="220" t="s">
        <v>527</v>
      </c>
      <c r="F79" s="221" t="s">
        <v>666</v>
      </c>
      <c r="G79" s="217" t="s">
        <v>814</v>
      </c>
      <c r="H79" s="217" t="s">
        <v>817</v>
      </c>
      <c r="I79" s="254" t="s">
        <v>1008</v>
      </c>
      <c r="J79" s="242"/>
      <c r="K79" s="239"/>
      <c r="L79" s="237"/>
      <c r="M79" s="281"/>
      <c r="N79" s="278"/>
      <c r="O79" s="235"/>
      <c r="P79" s="285"/>
      <c r="Q79" s="283"/>
      <c r="R79" s="233"/>
      <c r="S79" s="289"/>
      <c r="T79" s="287"/>
      <c r="U79" s="232"/>
      <c r="V79" s="249"/>
    </row>
    <row r="80" spans="1:22" s="225" customFormat="1" ht="75.75" hidden="1" thickBot="1" x14ac:dyDescent="0.3">
      <c r="A80" s="251" t="s">
        <v>821</v>
      </c>
      <c r="B80" s="252" t="s">
        <v>704</v>
      </c>
      <c r="C80" s="228" t="s">
        <v>286</v>
      </c>
      <c r="D80" s="217" t="s">
        <v>466</v>
      </c>
      <c r="E80" s="220" t="s">
        <v>535</v>
      </c>
      <c r="F80" s="217"/>
      <c r="G80" s="217" t="s">
        <v>819</v>
      </c>
      <c r="H80" s="217" t="s">
        <v>820</v>
      </c>
      <c r="I80" s="254" t="s">
        <v>1008</v>
      </c>
      <c r="J80" s="242"/>
      <c r="K80" s="239"/>
      <c r="L80" s="237"/>
      <c r="M80" s="281"/>
      <c r="N80" s="278"/>
      <c r="O80" s="235"/>
      <c r="P80" s="285"/>
      <c r="Q80" s="283"/>
      <c r="R80" s="233"/>
      <c r="S80" s="289"/>
      <c r="T80" s="287"/>
      <c r="U80" s="232"/>
      <c r="V80" s="249"/>
    </row>
    <row r="81" spans="1:22" ht="285.75" hidden="1" thickBot="1" x14ac:dyDescent="0.3">
      <c r="A81" s="260" t="s">
        <v>822</v>
      </c>
      <c r="B81" s="223" t="s">
        <v>152</v>
      </c>
      <c r="C81" s="261" t="s">
        <v>716</v>
      </c>
      <c r="D81" s="265" t="s">
        <v>466</v>
      </c>
      <c r="E81" s="265" t="s">
        <v>515</v>
      </c>
      <c r="F81" s="261" t="s">
        <v>666</v>
      </c>
      <c r="G81" s="265" t="s">
        <v>823</v>
      </c>
      <c r="H81" s="265" t="s">
        <v>824</v>
      </c>
      <c r="I81" s="263" t="s">
        <v>1008</v>
      </c>
      <c r="J81" s="244"/>
      <c r="K81" s="241"/>
      <c r="M81" s="282"/>
      <c r="N81" s="279"/>
      <c r="P81" s="286"/>
      <c r="Q81" s="284"/>
      <c r="S81" s="290"/>
      <c r="T81" s="288"/>
      <c r="V81" s="250"/>
    </row>
    <row r="82" spans="1:22" ht="105.75" hidden="1" thickBot="1" x14ac:dyDescent="0.3">
      <c r="A82" s="260" t="s">
        <v>822</v>
      </c>
      <c r="B82" s="223" t="s">
        <v>152</v>
      </c>
      <c r="C82" s="266" t="s">
        <v>719</v>
      </c>
      <c r="D82" s="264" t="s">
        <v>466</v>
      </c>
      <c r="E82" s="265" t="s">
        <v>516</v>
      </c>
      <c r="F82" s="261" t="s">
        <v>666</v>
      </c>
      <c r="G82" s="264" t="s">
        <v>825</v>
      </c>
      <c r="H82" s="264" t="s">
        <v>826</v>
      </c>
      <c r="I82" s="263" t="s">
        <v>1009</v>
      </c>
      <c r="J82" s="244"/>
      <c r="K82" s="241"/>
      <c r="M82" s="282"/>
      <c r="N82" s="279"/>
      <c r="P82" s="286"/>
      <c r="Q82" s="284"/>
      <c r="S82" s="290"/>
      <c r="T82" s="288"/>
      <c r="V82" s="250"/>
    </row>
    <row r="83" spans="1:22" ht="135.75" hidden="1" thickBot="1" x14ac:dyDescent="0.3">
      <c r="A83" s="260" t="s">
        <v>822</v>
      </c>
      <c r="B83" s="223" t="s">
        <v>152</v>
      </c>
      <c r="C83" s="266" t="s">
        <v>722</v>
      </c>
      <c r="D83" s="264" t="s">
        <v>466</v>
      </c>
      <c r="E83" s="265" t="s">
        <v>518</v>
      </c>
      <c r="F83" s="261" t="s">
        <v>666</v>
      </c>
      <c r="G83" s="264" t="s">
        <v>1017</v>
      </c>
      <c r="H83" s="262" t="s">
        <v>827</v>
      </c>
      <c r="I83" s="263" t="s">
        <v>1008</v>
      </c>
      <c r="J83" s="244"/>
      <c r="K83" s="241"/>
      <c r="M83" s="282"/>
      <c r="N83" s="279"/>
      <c r="P83" s="286"/>
      <c r="Q83" s="284"/>
      <c r="S83" s="290"/>
      <c r="T83" s="288"/>
      <c r="V83" s="250"/>
    </row>
    <row r="84" spans="1:22" ht="135.75" hidden="1" thickBot="1" x14ac:dyDescent="0.3">
      <c r="A84" s="260" t="s">
        <v>822</v>
      </c>
      <c r="B84" s="223" t="s">
        <v>152</v>
      </c>
      <c r="C84" s="266" t="s">
        <v>723</v>
      </c>
      <c r="D84" s="264" t="s">
        <v>466</v>
      </c>
      <c r="E84" s="265" t="s">
        <v>521</v>
      </c>
      <c r="F84" s="261" t="s">
        <v>666</v>
      </c>
      <c r="G84" s="264" t="s">
        <v>828</v>
      </c>
      <c r="H84" s="262" t="s">
        <v>829</v>
      </c>
      <c r="I84" s="263" t="s">
        <v>1008</v>
      </c>
      <c r="J84" s="244"/>
      <c r="K84" s="241"/>
      <c r="M84" s="282"/>
      <c r="N84" s="279"/>
      <c r="P84" s="286"/>
      <c r="Q84" s="284"/>
      <c r="S84" s="290"/>
      <c r="T84" s="288"/>
      <c r="V84" s="250"/>
    </row>
    <row r="85" spans="1:22" ht="60.75" hidden="1" thickBot="1" x14ac:dyDescent="0.3">
      <c r="A85" s="260" t="s">
        <v>822</v>
      </c>
      <c r="B85" s="223" t="s">
        <v>152</v>
      </c>
      <c r="C85" s="266" t="s">
        <v>754</v>
      </c>
      <c r="D85" s="264" t="s">
        <v>466</v>
      </c>
      <c r="E85" s="265" t="s">
        <v>523</v>
      </c>
      <c r="F85" s="261" t="s">
        <v>666</v>
      </c>
      <c r="G85" s="264" t="s">
        <v>830</v>
      </c>
      <c r="H85" s="262" t="s">
        <v>831</v>
      </c>
      <c r="I85" s="263" t="s">
        <v>1008</v>
      </c>
      <c r="J85" s="244"/>
      <c r="K85" s="241"/>
      <c r="M85" s="282"/>
      <c r="N85" s="279"/>
      <c r="P85" s="286"/>
      <c r="Q85" s="284"/>
      <c r="S85" s="290"/>
      <c r="T85" s="288"/>
      <c r="V85" s="250"/>
    </row>
    <row r="86" spans="1:22" ht="150.75" hidden="1" thickBot="1" x14ac:dyDescent="0.3">
      <c r="A86" s="260" t="s">
        <v>822</v>
      </c>
      <c r="B86" s="223" t="s">
        <v>152</v>
      </c>
      <c r="C86" s="266" t="s">
        <v>755</v>
      </c>
      <c r="D86" s="264" t="s">
        <v>466</v>
      </c>
      <c r="E86" s="265" t="s">
        <v>524</v>
      </c>
      <c r="F86" s="261" t="s">
        <v>666</v>
      </c>
      <c r="G86" s="264" t="s">
        <v>832</v>
      </c>
      <c r="H86" s="262" t="s">
        <v>833</v>
      </c>
      <c r="I86" s="263" t="s">
        <v>1008</v>
      </c>
      <c r="J86" s="244"/>
      <c r="K86" s="241"/>
      <c r="M86" s="282"/>
      <c r="N86" s="279"/>
      <c r="P86" s="286"/>
      <c r="Q86" s="284"/>
      <c r="S86" s="290"/>
      <c r="T86" s="288"/>
      <c r="V86" s="250"/>
    </row>
    <row r="87" spans="1:22" ht="195.75" hidden="1" thickBot="1" x14ac:dyDescent="0.3">
      <c r="A87" s="260" t="s">
        <v>822</v>
      </c>
      <c r="B87" s="223" t="s">
        <v>152</v>
      </c>
      <c r="C87" s="266" t="s">
        <v>756</v>
      </c>
      <c r="D87" s="264" t="s">
        <v>466</v>
      </c>
      <c r="E87" s="265" t="s">
        <v>525</v>
      </c>
      <c r="F87" s="261" t="s">
        <v>666</v>
      </c>
      <c r="G87" s="264" t="s">
        <v>834</v>
      </c>
      <c r="H87" s="262" t="s">
        <v>1225</v>
      </c>
      <c r="I87" s="263" t="s">
        <v>1008</v>
      </c>
      <c r="J87" s="244"/>
      <c r="K87" s="241"/>
      <c r="M87" s="282"/>
      <c r="N87" s="279"/>
      <c r="P87" s="286"/>
      <c r="Q87" s="284"/>
      <c r="S87" s="290"/>
      <c r="T87" s="288"/>
      <c r="V87" s="250"/>
    </row>
    <row r="88" spans="1:22" ht="105.75" hidden="1" thickBot="1" x14ac:dyDescent="0.3">
      <c r="A88" s="260" t="s">
        <v>822</v>
      </c>
      <c r="B88" s="223" t="s">
        <v>152</v>
      </c>
      <c r="C88" s="266" t="s">
        <v>757</v>
      </c>
      <c r="D88" s="264" t="s">
        <v>466</v>
      </c>
      <c r="E88" s="265" t="s">
        <v>526</v>
      </c>
      <c r="F88" s="261" t="s">
        <v>666</v>
      </c>
      <c r="G88" s="267" t="s">
        <v>835</v>
      </c>
      <c r="H88" s="262" t="s">
        <v>1226</v>
      </c>
      <c r="I88" s="263" t="s">
        <v>1009</v>
      </c>
      <c r="J88" s="244"/>
      <c r="K88" s="241"/>
      <c r="M88" s="282"/>
      <c r="N88" s="279"/>
      <c r="P88" s="286"/>
      <c r="Q88" s="284"/>
      <c r="S88" s="290"/>
      <c r="T88" s="288"/>
      <c r="V88" s="250"/>
    </row>
    <row r="89" spans="1:22" ht="105.75" hidden="1" thickBot="1" x14ac:dyDescent="0.3">
      <c r="A89" s="260" t="s">
        <v>822</v>
      </c>
      <c r="B89" s="223" t="s">
        <v>152</v>
      </c>
      <c r="C89" s="266" t="s">
        <v>758</v>
      </c>
      <c r="D89" s="264" t="s">
        <v>466</v>
      </c>
      <c r="E89" s="265" t="s">
        <v>527</v>
      </c>
      <c r="F89" s="268" t="s">
        <v>666</v>
      </c>
      <c r="G89" s="264" t="s">
        <v>836</v>
      </c>
      <c r="H89" s="262" t="s">
        <v>837</v>
      </c>
      <c r="I89" s="263" t="s">
        <v>1009</v>
      </c>
      <c r="J89" s="244"/>
      <c r="K89" s="241"/>
      <c r="M89" s="282"/>
      <c r="N89" s="279"/>
      <c r="P89" s="286"/>
      <c r="Q89" s="284"/>
      <c r="S89" s="290"/>
      <c r="T89" s="288"/>
      <c r="V89" s="250"/>
    </row>
    <row r="90" spans="1:22" ht="165.75" hidden="1" thickBot="1" x14ac:dyDescent="0.3">
      <c r="A90" s="260" t="s">
        <v>822</v>
      </c>
      <c r="B90" s="223" t="s">
        <v>152</v>
      </c>
      <c r="C90" s="266" t="s">
        <v>308</v>
      </c>
      <c r="D90" s="264" t="s">
        <v>466</v>
      </c>
      <c r="E90" s="265" t="s">
        <v>528</v>
      </c>
      <c r="F90" s="261" t="s">
        <v>666</v>
      </c>
      <c r="G90" s="265" t="s">
        <v>838</v>
      </c>
      <c r="H90" s="262" t="s">
        <v>1018</v>
      </c>
      <c r="I90" s="263" t="s">
        <v>1008</v>
      </c>
      <c r="J90" s="244"/>
      <c r="K90" s="241"/>
      <c r="M90" s="282"/>
      <c r="N90" s="279"/>
      <c r="P90" s="286"/>
      <c r="Q90" s="284"/>
      <c r="S90" s="290"/>
      <c r="T90" s="288"/>
      <c r="V90" s="250"/>
    </row>
    <row r="91" spans="1:22" ht="105.75" hidden="1" thickBot="1" x14ac:dyDescent="0.3">
      <c r="A91" s="260" t="s">
        <v>822</v>
      </c>
      <c r="B91" s="223" t="s">
        <v>152</v>
      </c>
      <c r="C91" s="266" t="s">
        <v>309</v>
      </c>
      <c r="D91" s="264" t="s">
        <v>466</v>
      </c>
      <c r="E91" s="265" t="s">
        <v>529</v>
      </c>
      <c r="F91" s="261" t="s">
        <v>666</v>
      </c>
      <c r="G91" s="264" t="s">
        <v>839</v>
      </c>
      <c r="H91" s="262" t="s">
        <v>1019</v>
      </c>
      <c r="I91" s="263" t="s">
        <v>1008</v>
      </c>
      <c r="J91" s="244"/>
      <c r="K91" s="241"/>
      <c r="M91" s="282"/>
      <c r="N91" s="279"/>
      <c r="P91" s="286"/>
      <c r="Q91" s="284"/>
      <c r="S91" s="290"/>
      <c r="T91" s="288"/>
      <c r="V91" s="250"/>
    </row>
    <row r="92" spans="1:22" ht="135.75" hidden="1" thickBot="1" x14ac:dyDescent="0.3">
      <c r="A92" s="260" t="s">
        <v>822</v>
      </c>
      <c r="B92" s="223" t="s">
        <v>152</v>
      </c>
      <c r="C92" s="266" t="s">
        <v>310</v>
      </c>
      <c r="D92" s="264" t="s">
        <v>466</v>
      </c>
      <c r="E92" s="265" t="s">
        <v>530</v>
      </c>
      <c r="F92" s="261" t="s">
        <v>666</v>
      </c>
      <c r="G92" s="264" t="s">
        <v>1020</v>
      </c>
      <c r="H92" s="264" t="s">
        <v>1021</v>
      </c>
      <c r="I92" s="263" t="s">
        <v>1008</v>
      </c>
      <c r="J92" s="244"/>
      <c r="K92" s="241"/>
      <c r="M92" s="282"/>
      <c r="N92" s="279"/>
      <c r="P92" s="286"/>
      <c r="Q92" s="284"/>
      <c r="S92" s="290"/>
      <c r="T92" s="288"/>
      <c r="V92" s="250"/>
    </row>
    <row r="93" spans="1:22" ht="120.75" hidden="1" thickBot="1" x14ac:dyDescent="0.3">
      <c r="A93" s="260" t="s">
        <v>822</v>
      </c>
      <c r="B93" s="223" t="s">
        <v>152</v>
      </c>
      <c r="C93" s="266" t="s">
        <v>311</v>
      </c>
      <c r="D93" s="264" t="s">
        <v>466</v>
      </c>
      <c r="E93" s="265" t="s">
        <v>532</v>
      </c>
      <c r="F93" s="261" t="s">
        <v>666</v>
      </c>
      <c r="G93" s="264" t="s">
        <v>1022</v>
      </c>
      <c r="H93" s="262" t="s">
        <v>1023</v>
      </c>
      <c r="I93" s="263" t="s">
        <v>1009</v>
      </c>
      <c r="J93" s="244"/>
      <c r="K93" s="241"/>
      <c r="M93" s="282"/>
      <c r="N93" s="279"/>
      <c r="P93" s="286"/>
      <c r="Q93" s="284"/>
      <c r="S93" s="290"/>
      <c r="T93" s="288"/>
      <c r="V93" s="250"/>
    </row>
    <row r="94" spans="1:22" ht="105.75" hidden="1" thickBot="1" x14ac:dyDescent="0.3">
      <c r="A94" s="260" t="s">
        <v>822</v>
      </c>
      <c r="B94" s="223" t="s">
        <v>152</v>
      </c>
      <c r="C94" s="266" t="s">
        <v>312</v>
      </c>
      <c r="D94" s="264" t="s">
        <v>466</v>
      </c>
      <c r="E94" s="265" t="s">
        <v>533</v>
      </c>
      <c r="F94" s="261" t="s">
        <v>666</v>
      </c>
      <c r="G94" s="264" t="s">
        <v>1024</v>
      </c>
      <c r="H94" s="262" t="s">
        <v>1025</v>
      </c>
      <c r="I94" s="263" t="s">
        <v>1008</v>
      </c>
      <c r="J94" s="244"/>
      <c r="K94" s="241"/>
      <c r="M94" s="282"/>
      <c r="N94" s="279"/>
      <c r="P94" s="286"/>
      <c r="Q94" s="284"/>
      <c r="S94" s="290"/>
      <c r="T94" s="288"/>
      <c r="V94" s="250"/>
    </row>
    <row r="95" spans="1:22" ht="165.75" hidden="1" thickBot="1" x14ac:dyDescent="0.3">
      <c r="A95" s="260" t="s">
        <v>822</v>
      </c>
      <c r="B95" s="223" t="s">
        <v>152</v>
      </c>
      <c r="C95" s="266" t="s">
        <v>313</v>
      </c>
      <c r="D95" s="264" t="s">
        <v>466</v>
      </c>
      <c r="E95" s="265" t="s">
        <v>534</v>
      </c>
      <c r="F95" s="261" t="s">
        <v>666</v>
      </c>
      <c r="G95" s="264" t="s">
        <v>840</v>
      </c>
      <c r="H95" s="262" t="s">
        <v>1026</v>
      </c>
      <c r="I95" s="263" t="s">
        <v>1008</v>
      </c>
      <c r="J95" s="244"/>
      <c r="K95" s="241"/>
      <c r="M95" s="282"/>
      <c r="N95" s="279"/>
      <c r="P95" s="286"/>
      <c r="Q95" s="284"/>
      <c r="S95" s="290"/>
      <c r="T95" s="288"/>
      <c r="V95" s="250"/>
    </row>
    <row r="96" spans="1:22" ht="135.75" hidden="1" thickBot="1" x14ac:dyDescent="0.3">
      <c r="A96" s="260" t="s">
        <v>822</v>
      </c>
      <c r="B96" s="223" t="s">
        <v>152</v>
      </c>
      <c r="C96" s="266" t="s">
        <v>314</v>
      </c>
      <c r="D96" s="264" t="s">
        <v>466</v>
      </c>
      <c r="E96" s="265" t="s">
        <v>536</v>
      </c>
      <c r="F96" s="261" t="s">
        <v>666</v>
      </c>
      <c r="G96" s="264" t="s">
        <v>841</v>
      </c>
      <c r="H96" s="262" t="s">
        <v>1027</v>
      </c>
      <c r="I96" s="263" t="s">
        <v>1010</v>
      </c>
      <c r="J96" s="244"/>
      <c r="K96" s="241"/>
      <c r="M96" s="282"/>
      <c r="N96" s="279"/>
      <c r="P96" s="286"/>
      <c r="Q96" s="284"/>
      <c r="S96" s="290"/>
      <c r="T96" s="288"/>
      <c r="V96" s="250"/>
    </row>
    <row r="97" spans="1:22" ht="120.75" hidden="1" thickBot="1" x14ac:dyDescent="0.3">
      <c r="A97" s="260" t="s">
        <v>822</v>
      </c>
      <c r="B97" s="223" t="s">
        <v>152</v>
      </c>
      <c r="C97" s="266" t="s">
        <v>315</v>
      </c>
      <c r="D97" s="264" t="s">
        <v>466</v>
      </c>
      <c r="E97" s="265" t="s">
        <v>537</v>
      </c>
      <c r="F97" s="261" t="s">
        <v>666</v>
      </c>
      <c r="G97" s="264" t="s">
        <v>830</v>
      </c>
      <c r="H97" s="262" t="s">
        <v>842</v>
      </c>
      <c r="I97" s="263" t="s">
        <v>1010</v>
      </c>
      <c r="J97" s="244"/>
      <c r="K97" s="241"/>
      <c r="M97" s="282"/>
      <c r="N97" s="279"/>
      <c r="P97" s="286"/>
      <c r="Q97" s="284"/>
      <c r="S97" s="290"/>
      <c r="T97" s="288"/>
      <c r="V97" s="250"/>
    </row>
    <row r="98" spans="1:22" ht="60.75" hidden="1" thickBot="1" x14ac:dyDescent="0.3">
      <c r="A98" s="260" t="s">
        <v>822</v>
      </c>
      <c r="B98" s="223" t="s">
        <v>152</v>
      </c>
      <c r="C98" s="266" t="s">
        <v>316</v>
      </c>
      <c r="D98" s="264" t="s">
        <v>466</v>
      </c>
      <c r="E98" s="265" t="s">
        <v>539</v>
      </c>
      <c r="F98" s="261" t="s">
        <v>666</v>
      </c>
      <c r="G98" s="264" t="s">
        <v>843</v>
      </c>
      <c r="H98" s="262" t="s">
        <v>844</v>
      </c>
      <c r="I98" s="263" t="s">
        <v>1009</v>
      </c>
      <c r="J98" s="244"/>
      <c r="K98" s="241"/>
      <c r="M98" s="282"/>
      <c r="N98" s="279"/>
      <c r="P98" s="286"/>
      <c r="Q98" s="284"/>
      <c r="S98" s="290"/>
      <c r="T98" s="288"/>
      <c r="V98" s="250"/>
    </row>
    <row r="99" spans="1:22" ht="75.75" hidden="1" thickBot="1" x14ac:dyDescent="0.3">
      <c r="A99" s="260" t="s">
        <v>822</v>
      </c>
      <c r="B99" s="223" t="s">
        <v>152</v>
      </c>
      <c r="C99" s="266" t="s">
        <v>317</v>
      </c>
      <c r="D99" s="264" t="s">
        <v>466</v>
      </c>
      <c r="E99" s="265" t="s">
        <v>540</v>
      </c>
      <c r="F99" s="261" t="s">
        <v>666</v>
      </c>
      <c r="G99" s="264" t="s">
        <v>830</v>
      </c>
      <c r="H99" s="262" t="s">
        <v>845</v>
      </c>
      <c r="I99" s="263" t="s">
        <v>1009</v>
      </c>
      <c r="J99" s="244"/>
      <c r="K99" s="241"/>
      <c r="M99" s="282"/>
      <c r="N99" s="279"/>
      <c r="P99" s="286"/>
      <c r="Q99" s="284"/>
      <c r="S99" s="290"/>
      <c r="T99" s="288"/>
      <c r="V99" s="250"/>
    </row>
    <row r="100" spans="1:22" ht="45.75" hidden="1" thickBot="1" x14ac:dyDescent="0.3">
      <c r="A100" s="260" t="s">
        <v>822</v>
      </c>
      <c r="B100" s="223" t="s">
        <v>152</v>
      </c>
      <c r="C100" s="266" t="s">
        <v>318</v>
      </c>
      <c r="D100" s="264" t="s">
        <v>466</v>
      </c>
      <c r="E100" s="264" t="s">
        <v>541</v>
      </c>
      <c r="F100" s="261" t="s">
        <v>666</v>
      </c>
      <c r="G100" s="264" t="s">
        <v>846</v>
      </c>
      <c r="H100" s="262" t="s">
        <v>847</v>
      </c>
      <c r="I100" s="263" t="s">
        <v>1008</v>
      </c>
      <c r="J100" s="244"/>
      <c r="K100" s="241"/>
      <c r="M100" s="282"/>
      <c r="N100" s="279"/>
      <c r="P100" s="286"/>
      <c r="Q100" s="284"/>
      <c r="S100" s="290"/>
      <c r="T100" s="288"/>
      <c r="V100" s="250"/>
    </row>
    <row r="101" spans="1:22" ht="60.75" hidden="1" thickBot="1" x14ac:dyDescent="0.3">
      <c r="A101" s="260" t="s">
        <v>822</v>
      </c>
      <c r="B101" s="223" t="s">
        <v>152</v>
      </c>
      <c r="C101" s="266" t="s">
        <v>319</v>
      </c>
      <c r="D101" s="264" t="s">
        <v>466</v>
      </c>
      <c r="E101" s="264" t="s">
        <v>542</v>
      </c>
      <c r="F101" s="261" t="s">
        <v>666</v>
      </c>
      <c r="G101" s="264" t="s">
        <v>848</v>
      </c>
      <c r="H101" s="262" t="s">
        <v>849</v>
      </c>
      <c r="I101" s="263" t="s">
        <v>1008</v>
      </c>
      <c r="J101" s="244"/>
      <c r="K101" s="241"/>
      <c r="M101" s="282"/>
      <c r="N101" s="279"/>
      <c r="P101" s="286"/>
      <c r="Q101" s="284"/>
      <c r="S101" s="290"/>
      <c r="T101" s="288"/>
      <c r="V101" s="250"/>
    </row>
    <row r="102" spans="1:22" ht="75.75" hidden="1" thickBot="1" x14ac:dyDescent="0.3">
      <c r="A102" s="260" t="s">
        <v>822</v>
      </c>
      <c r="B102" s="223" t="s">
        <v>152</v>
      </c>
      <c r="C102" s="266" t="s">
        <v>320</v>
      </c>
      <c r="D102" s="264" t="s">
        <v>466</v>
      </c>
      <c r="E102" s="264" t="s">
        <v>543</v>
      </c>
      <c r="F102" s="261" t="s">
        <v>666</v>
      </c>
      <c r="G102" s="264" t="s">
        <v>850</v>
      </c>
      <c r="H102" s="262" t="s">
        <v>851</v>
      </c>
      <c r="I102" s="263" t="s">
        <v>1008</v>
      </c>
      <c r="J102" s="244"/>
      <c r="K102" s="241"/>
      <c r="M102" s="282"/>
      <c r="N102" s="279"/>
      <c r="P102" s="286"/>
      <c r="Q102" s="284"/>
      <c r="S102" s="290"/>
      <c r="T102" s="288"/>
      <c r="V102" s="250"/>
    </row>
    <row r="103" spans="1:22" ht="75.75" hidden="1" thickBot="1" x14ac:dyDescent="0.3">
      <c r="A103" s="260" t="s">
        <v>822</v>
      </c>
      <c r="B103" s="223" t="s">
        <v>152</v>
      </c>
      <c r="C103" s="266" t="s">
        <v>321</v>
      </c>
      <c r="D103" s="264" t="s">
        <v>466</v>
      </c>
      <c r="E103" s="264" t="s">
        <v>546</v>
      </c>
      <c r="F103" s="261" t="s">
        <v>666</v>
      </c>
      <c r="G103" s="264" t="s">
        <v>830</v>
      </c>
      <c r="H103" s="262" t="s">
        <v>852</v>
      </c>
      <c r="I103" s="263" t="s">
        <v>1008</v>
      </c>
      <c r="J103" s="244"/>
      <c r="K103" s="241"/>
      <c r="M103" s="282"/>
      <c r="N103" s="279"/>
      <c r="P103" s="286"/>
      <c r="Q103" s="284"/>
      <c r="S103" s="290"/>
      <c r="T103" s="288"/>
      <c r="V103" s="250"/>
    </row>
    <row r="104" spans="1:22" ht="60.75" hidden="1" thickBot="1" x14ac:dyDescent="0.3">
      <c r="A104" s="260" t="s">
        <v>822</v>
      </c>
      <c r="B104" s="223" t="s">
        <v>152</v>
      </c>
      <c r="C104" s="266" t="s">
        <v>322</v>
      </c>
      <c r="D104" s="264" t="s">
        <v>466</v>
      </c>
      <c r="E104" s="264" t="s">
        <v>547</v>
      </c>
      <c r="F104" s="261" t="s">
        <v>666</v>
      </c>
      <c r="G104" s="264" t="s">
        <v>853</v>
      </c>
      <c r="H104" s="262" t="s">
        <v>854</v>
      </c>
      <c r="I104" s="263" t="s">
        <v>1008</v>
      </c>
      <c r="J104" s="244"/>
      <c r="K104" s="241"/>
      <c r="M104" s="282"/>
      <c r="N104" s="279"/>
      <c r="P104" s="286"/>
      <c r="Q104" s="284"/>
      <c r="S104" s="290"/>
      <c r="T104" s="288"/>
      <c r="V104" s="250"/>
    </row>
    <row r="105" spans="1:22" ht="120.75" hidden="1" thickBot="1" x14ac:dyDescent="0.3">
      <c r="A105" s="260" t="s">
        <v>822</v>
      </c>
      <c r="B105" s="223" t="s">
        <v>152</v>
      </c>
      <c r="C105" s="266" t="s">
        <v>323</v>
      </c>
      <c r="D105" s="264" t="s">
        <v>466</v>
      </c>
      <c r="E105" s="265" t="s">
        <v>535</v>
      </c>
      <c r="F105" s="261" t="s">
        <v>666</v>
      </c>
      <c r="G105" s="264" t="s">
        <v>855</v>
      </c>
      <c r="H105" s="269" t="s">
        <v>856</v>
      </c>
      <c r="I105" s="263" t="s">
        <v>1008</v>
      </c>
      <c r="J105" s="244"/>
      <c r="K105" s="241"/>
      <c r="M105" s="282"/>
      <c r="N105" s="279"/>
      <c r="P105" s="286"/>
      <c r="Q105" s="284"/>
      <c r="S105" s="290"/>
      <c r="T105" s="288"/>
      <c r="V105" s="250"/>
    </row>
    <row r="106" spans="1:22" ht="45.75" hidden="1" thickBot="1" x14ac:dyDescent="0.3">
      <c r="A106" s="260" t="s">
        <v>822</v>
      </c>
      <c r="B106" s="223" t="s">
        <v>152</v>
      </c>
      <c r="C106" s="266" t="s">
        <v>324</v>
      </c>
      <c r="D106" s="264" t="s">
        <v>466</v>
      </c>
      <c r="E106" s="265" t="s">
        <v>548</v>
      </c>
      <c r="F106" s="261" t="s">
        <v>666</v>
      </c>
      <c r="G106" s="270" t="s">
        <v>857</v>
      </c>
      <c r="H106" s="271" t="s">
        <v>858</v>
      </c>
      <c r="I106" s="263" t="s">
        <v>1008</v>
      </c>
      <c r="J106" s="244"/>
      <c r="K106" s="241"/>
      <c r="M106" s="282"/>
      <c r="N106" s="279"/>
      <c r="P106" s="286"/>
      <c r="Q106" s="284"/>
      <c r="S106" s="290"/>
      <c r="T106" s="288"/>
      <c r="V106" s="250"/>
    </row>
    <row r="107" spans="1:22" ht="60.75" hidden="1" thickBot="1" x14ac:dyDescent="0.3">
      <c r="A107" s="260" t="s">
        <v>822</v>
      </c>
      <c r="B107" s="223" t="s">
        <v>152</v>
      </c>
      <c r="C107" s="266" t="s">
        <v>325</v>
      </c>
      <c r="D107" s="264" t="s">
        <v>466</v>
      </c>
      <c r="E107" s="265" t="s">
        <v>549</v>
      </c>
      <c r="F107" s="261" t="s">
        <v>666</v>
      </c>
      <c r="G107" s="264" t="s">
        <v>859</v>
      </c>
      <c r="H107" s="262" t="s">
        <v>860</v>
      </c>
      <c r="I107" s="263" t="s">
        <v>1008</v>
      </c>
      <c r="J107" s="244"/>
      <c r="K107" s="241"/>
      <c r="M107" s="282"/>
      <c r="N107" s="279"/>
      <c r="P107" s="286"/>
      <c r="Q107" s="284"/>
      <c r="S107" s="290"/>
      <c r="T107" s="288"/>
      <c r="V107" s="250"/>
    </row>
    <row r="108" spans="1:22" ht="90.75" hidden="1" thickBot="1" x14ac:dyDescent="0.3">
      <c r="A108" s="260" t="s">
        <v>863</v>
      </c>
      <c r="B108" s="223" t="s">
        <v>704</v>
      </c>
      <c r="C108" s="221" t="s">
        <v>286</v>
      </c>
      <c r="D108" s="217" t="s">
        <v>466</v>
      </c>
      <c r="E108" s="220" t="s">
        <v>535</v>
      </c>
      <c r="F108" s="217"/>
      <c r="G108" s="217" t="s">
        <v>861</v>
      </c>
      <c r="H108" s="217" t="s">
        <v>862</v>
      </c>
      <c r="I108" s="263" t="s">
        <v>1008</v>
      </c>
      <c r="J108" s="244"/>
      <c r="K108" s="241"/>
      <c r="M108" s="282"/>
      <c r="N108" s="279"/>
      <c r="P108" s="286"/>
      <c r="Q108" s="284"/>
      <c r="S108" s="290"/>
      <c r="T108" s="288"/>
      <c r="V108" s="250"/>
    </row>
    <row r="109" spans="1:22" ht="45.75" hidden="1" thickBot="1" x14ac:dyDescent="0.3">
      <c r="A109" s="260" t="s">
        <v>863</v>
      </c>
      <c r="B109" s="223" t="s">
        <v>152</v>
      </c>
      <c r="C109" s="228" t="s">
        <v>326</v>
      </c>
      <c r="D109" s="217" t="s">
        <v>466</v>
      </c>
      <c r="E109" s="220" t="s">
        <v>535</v>
      </c>
      <c r="F109" s="217"/>
      <c r="G109" s="217" t="s">
        <v>864</v>
      </c>
      <c r="H109" s="217" t="s">
        <v>865</v>
      </c>
      <c r="I109" s="263" t="s">
        <v>1010</v>
      </c>
      <c r="J109" s="244"/>
      <c r="K109" s="241"/>
      <c r="M109" s="282"/>
      <c r="N109" s="279"/>
      <c r="P109" s="286"/>
      <c r="Q109" s="284"/>
      <c r="S109" s="290"/>
      <c r="T109" s="288"/>
      <c r="V109" s="250"/>
    </row>
    <row r="110" spans="1:22" ht="45.75" hidden="1" thickBot="1" x14ac:dyDescent="0.3">
      <c r="A110" s="260" t="s">
        <v>863</v>
      </c>
      <c r="B110" s="223" t="s">
        <v>152</v>
      </c>
      <c r="C110" s="221" t="s">
        <v>327</v>
      </c>
      <c r="D110" s="217" t="s">
        <v>466</v>
      </c>
      <c r="E110" s="220" t="s">
        <v>535</v>
      </c>
      <c r="F110" s="217"/>
      <c r="G110" s="217" t="s">
        <v>864</v>
      </c>
      <c r="H110" s="217" t="s">
        <v>866</v>
      </c>
      <c r="I110" s="263" t="s">
        <v>1010</v>
      </c>
      <c r="J110" s="244"/>
      <c r="K110" s="241"/>
      <c r="M110" s="282"/>
      <c r="N110" s="279"/>
      <c r="P110" s="286"/>
      <c r="Q110" s="284"/>
      <c r="S110" s="290"/>
      <c r="T110" s="288"/>
      <c r="V110" s="250"/>
    </row>
    <row r="111" spans="1:22" ht="75.75" hidden="1" thickBot="1" x14ac:dyDescent="0.3">
      <c r="A111" s="260" t="s">
        <v>863</v>
      </c>
      <c r="B111" s="223" t="s">
        <v>730</v>
      </c>
      <c r="C111" s="228" t="s">
        <v>443</v>
      </c>
      <c r="D111" s="220" t="s">
        <v>466</v>
      </c>
      <c r="E111" s="220" t="s">
        <v>518</v>
      </c>
      <c r="F111" s="217"/>
      <c r="G111" s="217" t="s">
        <v>867</v>
      </c>
      <c r="H111" s="217" t="s">
        <v>1028</v>
      </c>
      <c r="I111" s="263" t="s">
        <v>1008</v>
      </c>
      <c r="J111" s="244"/>
      <c r="K111" s="241"/>
      <c r="M111" s="282"/>
      <c r="N111" s="279"/>
      <c r="P111" s="286"/>
      <c r="Q111" s="284"/>
      <c r="S111" s="290"/>
      <c r="T111" s="288"/>
      <c r="V111" s="250"/>
    </row>
    <row r="112" spans="1:22" ht="120.75" hidden="1" thickBot="1" x14ac:dyDescent="0.3">
      <c r="A112" s="260" t="s">
        <v>863</v>
      </c>
      <c r="B112" s="223" t="s">
        <v>730</v>
      </c>
      <c r="C112" s="228" t="s">
        <v>444</v>
      </c>
      <c r="D112" s="220" t="s">
        <v>466</v>
      </c>
      <c r="E112" s="220" t="s">
        <v>519</v>
      </c>
      <c r="F112" s="217"/>
      <c r="G112" s="217" t="s">
        <v>868</v>
      </c>
      <c r="H112" s="217" t="s">
        <v>869</v>
      </c>
      <c r="I112" s="263" t="s">
        <v>1008</v>
      </c>
      <c r="J112" s="244"/>
      <c r="K112" s="241"/>
      <c r="M112" s="282"/>
      <c r="N112" s="279"/>
      <c r="P112" s="286"/>
      <c r="Q112" s="284"/>
      <c r="S112" s="290"/>
      <c r="T112" s="288"/>
      <c r="V112" s="250"/>
    </row>
    <row r="113" spans="1:22" ht="75.75" hidden="1" thickBot="1" x14ac:dyDescent="0.3">
      <c r="A113" s="260" t="s">
        <v>863</v>
      </c>
      <c r="B113" s="223" t="s">
        <v>730</v>
      </c>
      <c r="C113" s="228" t="s">
        <v>445</v>
      </c>
      <c r="D113" s="220" t="s">
        <v>466</v>
      </c>
      <c r="E113" s="220" t="s">
        <v>521</v>
      </c>
      <c r="F113" s="217"/>
      <c r="G113" s="217" t="s">
        <v>870</v>
      </c>
      <c r="H113" s="217" t="s">
        <v>871</v>
      </c>
      <c r="I113" s="263" t="s">
        <v>1010</v>
      </c>
      <c r="J113" s="244"/>
      <c r="K113" s="241"/>
      <c r="M113" s="282"/>
      <c r="N113" s="279"/>
      <c r="P113" s="286"/>
      <c r="Q113" s="284"/>
      <c r="S113" s="290"/>
      <c r="T113" s="288"/>
      <c r="V113" s="250"/>
    </row>
    <row r="114" spans="1:22" ht="225.75" hidden="1" thickBot="1" x14ac:dyDescent="0.3">
      <c r="A114" s="260" t="s">
        <v>863</v>
      </c>
      <c r="B114" s="223" t="s">
        <v>730</v>
      </c>
      <c r="C114" s="228" t="s">
        <v>446</v>
      </c>
      <c r="D114" s="220" t="s">
        <v>466</v>
      </c>
      <c r="E114" s="220" t="s">
        <v>525</v>
      </c>
      <c r="F114" s="217"/>
      <c r="G114" s="217" t="s">
        <v>872</v>
      </c>
      <c r="H114" s="217" t="s">
        <v>873</v>
      </c>
      <c r="I114" s="263" t="s">
        <v>1008</v>
      </c>
      <c r="J114" s="244"/>
      <c r="K114" s="241"/>
      <c r="M114" s="282"/>
      <c r="N114" s="279"/>
      <c r="P114" s="286"/>
      <c r="Q114" s="284"/>
      <c r="S114" s="290"/>
      <c r="T114" s="288"/>
      <c r="V114" s="250"/>
    </row>
    <row r="115" spans="1:22" ht="150.75" hidden="1" thickBot="1" x14ac:dyDescent="0.3">
      <c r="A115" s="260" t="s">
        <v>863</v>
      </c>
      <c r="B115" s="223" t="s">
        <v>730</v>
      </c>
      <c r="C115" s="228" t="s">
        <v>447</v>
      </c>
      <c r="D115" s="220" t="s">
        <v>466</v>
      </c>
      <c r="E115" s="220" t="s">
        <v>526</v>
      </c>
      <c r="F115" s="217"/>
      <c r="G115" s="217" t="s">
        <v>1029</v>
      </c>
      <c r="H115" s="217" t="s">
        <v>1030</v>
      </c>
      <c r="I115" s="263" t="s">
        <v>1008</v>
      </c>
      <c r="J115" s="244"/>
      <c r="K115" s="241"/>
      <c r="M115" s="282"/>
      <c r="N115" s="279"/>
      <c r="P115" s="286"/>
      <c r="Q115" s="284"/>
      <c r="S115" s="290"/>
      <c r="T115" s="288"/>
      <c r="V115" s="250"/>
    </row>
    <row r="116" spans="1:22" ht="150.75" hidden="1" thickBot="1" x14ac:dyDescent="0.3">
      <c r="A116" s="260" t="s">
        <v>863</v>
      </c>
      <c r="B116" s="223" t="s">
        <v>730</v>
      </c>
      <c r="C116" s="228" t="s">
        <v>448</v>
      </c>
      <c r="D116" s="220" t="s">
        <v>466</v>
      </c>
      <c r="E116" s="217" t="s">
        <v>529</v>
      </c>
      <c r="F116" s="217"/>
      <c r="G116" s="217" t="s">
        <v>874</v>
      </c>
      <c r="H116" s="217" t="s">
        <v>875</v>
      </c>
      <c r="I116" s="263" t="s">
        <v>1008</v>
      </c>
      <c r="J116" s="244"/>
      <c r="K116" s="241"/>
      <c r="M116" s="282"/>
      <c r="N116" s="279"/>
      <c r="P116" s="286"/>
      <c r="Q116" s="284"/>
      <c r="S116" s="290"/>
      <c r="T116" s="288"/>
      <c r="V116" s="250"/>
    </row>
    <row r="117" spans="1:22" ht="105.75" hidden="1" thickBot="1" x14ac:dyDescent="0.3">
      <c r="A117" s="260" t="s">
        <v>863</v>
      </c>
      <c r="B117" s="223" t="s">
        <v>730</v>
      </c>
      <c r="C117" s="228" t="s">
        <v>449</v>
      </c>
      <c r="D117" s="220" t="s">
        <v>466</v>
      </c>
      <c r="E117" s="217" t="s">
        <v>530</v>
      </c>
      <c r="F117" s="217"/>
      <c r="G117" s="217" t="s">
        <v>1031</v>
      </c>
      <c r="H117" s="217" t="s">
        <v>1227</v>
      </c>
      <c r="I117" s="263" t="s">
        <v>1010</v>
      </c>
      <c r="J117" s="244"/>
      <c r="K117" s="241"/>
      <c r="M117" s="282"/>
      <c r="N117" s="279"/>
      <c r="P117" s="286"/>
      <c r="Q117" s="284"/>
      <c r="S117" s="290"/>
      <c r="T117" s="288"/>
      <c r="V117" s="250"/>
    </row>
    <row r="118" spans="1:22" ht="210.75" hidden="1" thickBot="1" x14ac:dyDescent="0.3">
      <c r="A118" s="260" t="s">
        <v>863</v>
      </c>
      <c r="B118" s="223" t="s">
        <v>730</v>
      </c>
      <c r="C118" s="228" t="s">
        <v>450</v>
      </c>
      <c r="D118" s="220" t="s">
        <v>466</v>
      </c>
      <c r="E118" s="217" t="s">
        <v>532</v>
      </c>
      <c r="F118" s="217"/>
      <c r="G118" s="217" t="s">
        <v>1032</v>
      </c>
      <c r="H118" s="217" t="s">
        <v>1033</v>
      </c>
      <c r="I118" s="263" t="s">
        <v>1010</v>
      </c>
      <c r="J118" s="244"/>
      <c r="K118" s="241"/>
      <c r="M118" s="282"/>
      <c r="N118" s="279"/>
      <c r="P118" s="286"/>
      <c r="Q118" s="284"/>
      <c r="S118" s="290"/>
      <c r="T118" s="288"/>
      <c r="V118" s="250"/>
    </row>
    <row r="119" spans="1:22" ht="135.75" hidden="1" thickBot="1" x14ac:dyDescent="0.3">
      <c r="A119" s="260" t="s">
        <v>863</v>
      </c>
      <c r="B119" s="223" t="s">
        <v>730</v>
      </c>
      <c r="C119" s="228" t="s">
        <v>451</v>
      </c>
      <c r="D119" s="220" t="s">
        <v>466</v>
      </c>
      <c r="E119" s="217" t="s">
        <v>536</v>
      </c>
      <c r="F119" s="217"/>
      <c r="G119" s="217" t="s">
        <v>1034</v>
      </c>
      <c r="H119" s="217" t="s">
        <v>876</v>
      </c>
      <c r="I119" s="263" t="s">
        <v>1010</v>
      </c>
      <c r="J119" s="244"/>
      <c r="K119" s="241"/>
      <c r="M119" s="282"/>
      <c r="N119" s="279"/>
      <c r="P119" s="286"/>
      <c r="Q119" s="284"/>
      <c r="S119" s="290"/>
      <c r="T119" s="288"/>
      <c r="V119" s="250"/>
    </row>
    <row r="120" spans="1:22" ht="135.75" hidden="1" thickBot="1" x14ac:dyDescent="0.3">
      <c r="A120" s="260" t="s">
        <v>863</v>
      </c>
      <c r="B120" s="223" t="s">
        <v>730</v>
      </c>
      <c r="C120" s="228" t="s">
        <v>452</v>
      </c>
      <c r="D120" s="218" t="s">
        <v>466</v>
      </c>
      <c r="E120" s="217" t="s">
        <v>543</v>
      </c>
      <c r="F120" s="217"/>
      <c r="G120" s="218" t="s">
        <v>877</v>
      </c>
      <c r="H120" s="217" t="s">
        <v>878</v>
      </c>
      <c r="I120" s="263" t="s">
        <v>1008</v>
      </c>
      <c r="J120" s="244"/>
      <c r="K120" s="241"/>
      <c r="M120" s="282"/>
      <c r="N120" s="279"/>
      <c r="P120" s="286"/>
      <c r="Q120" s="284"/>
      <c r="S120" s="290"/>
      <c r="T120" s="288"/>
      <c r="V120" s="250"/>
    </row>
    <row r="121" spans="1:22" ht="135.75" hidden="1" thickBot="1" x14ac:dyDescent="0.3">
      <c r="A121" s="260" t="s">
        <v>863</v>
      </c>
      <c r="B121" s="223" t="s">
        <v>730</v>
      </c>
      <c r="C121" s="228" t="s">
        <v>453</v>
      </c>
      <c r="D121" s="218" t="s">
        <v>466</v>
      </c>
      <c r="E121" s="217" t="s">
        <v>546</v>
      </c>
      <c r="F121" s="217"/>
      <c r="G121" s="272"/>
      <c r="H121" s="217" t="s">
        <v>879</v>
      </c>
      <c r="I121" s="263" t="s">
        <v>1008</v>
      </c>
      <c r="J121" s="244"/>
      <c r="K121" s="241"/>
      <c r="M121" s="282"/>
      <c r="N121" s="279"/>
      <c r="P121" s="286"/>
      <c r="Q121" s="284"/>
      <c r="S121" s="290"/>
      <c r="T121" s="288"/>
      <c r="V121" s="250"/>
    </row>
    <row r="122" spans="1:22" ht="195.75" hidden="1" thickBot="1" x14ac:dyDescent="0.3">
      <c r="A122" s="260" t="s">
        <v>863</v>
      </c>
      <c r="B122" s="223" t="s">
        <v>730</v>
      </c>
      <c r="C122" s="228" t="s">
        <v>454</v>
      </c>
      <c r="D122" s="218" t="s">
        <v>466</v>
      </c>
      <c r="E122" s="217" t="s">
        <v>548</v>
      </c>
      <c r="F122" s="217"/>
      <c r="G122" s="220"/>
      <c r="H122" s="217" t="s">
        <v>880</v>
      </c>
      <c r="I122" s="263" t="s">
        <v>1008</v>
      </c>
      <c r="J122" s="244"/>
      <c r="K122" s="241"/>
      <c r="M122" s="282"/>
      <c r="N122" s="279"/>
      <c r="P122" s="286"/>
      <c r="Q122" s="284"/>
      <c r="S122" s="290"/>
      <c r="T122" s="288"/>
      <c r="V122" s="250"/>
    </row>
    <row r="123" spans="1:22" ht="60.75" hidden="1" thickBot="1" x14ac:dyDescent="0.3">
      <c r="A123" s="260" t="s">
        <v>886</v>
      </c>
      <c r="B123" s="223" t="s">
        <v>704</v>
      </c>
      <c r="C123" s="228" t="s">
        <v>285</v>
      </c>
      <c r="D123" s="220" t="s">
        <v>466</v>
      </c>
      <c r="E123" s="220" t="s">
        <v>530</v>
      </c>
      <c r="F123" s="217"/>
      <c r="G123" s="217" t="s">
        <v>882</v>
      </c>
      <c r="H123" s="217" t="s">
        <v>883</v>
      </c>
      <c r="I123" s="263" t="s">
        <v>1008</v>
      </c>
      <c r="J123" s="244"/>
      <c r="K123" s="241"/>
      <c r="M123" s="282"/>
      <c r="N123" s="279"/>
      <c r="P123" s="286"/>
      <c r="Q123" s="284"/>
      <c r="S123" s="290"/>
      <c r="T123" s="288"/>
      <c r="V123" s="250"/>
    </row>
    <row r="124" spans="1:22" ht="75.75" hidden="1" thickBot="1" x14ac:dyDescent="0.3">
      <c r="A124" s="260" t="s">
        <v>886</v>
      </c>
      <c r="B124" s="223" t="s">
        <v>704</v>
      </c>
      <c r="C124" s="228" t="s">
        <v>286</v>
      </c>
      <c r="D124" s="217" t="s">
        <v>466</v>
      </c>
      <c r="E124" s="220" t="s">
        <v>527</v>
      </c>
      <c r="F124" s="217"/>
      <c r="G124" s="217" t="s">
        <v>882</v>
      </c>
      <c r="H124" s="217" t="s">
        <v>884</v>
      </c>
      <c r="I124" s="263" t="s">
        <v>1009</v>
      </c>
      <c r="J124" s="244"/>
      <c r="K124" s="241"/>
      <c r="M124" s="282"/>
      <c r="N124" s="279"/>
      <c r="P124" s="286"/>
      <c r="Q124" s="284"/>
      <c r="S124" s="290"/>
      <c r="T124" s="288"/>
      <c r="V124" s="250"/>
    </row>
    <row r="125" spans="1:22" ht="45.75" hidden="1" thickBot="1" x14ac:dyDescent="0.3">
      <c r="A125" s="260" t="s">
        <v>886</v>
      </c>
      <c r="B125" s="223" t="s">
        <v>704</v>
      </c>
      <c r="C125" s="228" t="s">
        <v>287</v>
      </c>
      <c r="D125" s="217" t="s">
        <v>466</v>
      </c>
      <c r="E125" s="220" t="s">
        <v>532</v>
      </c>
      <c r="F125" s="217"/>
      <c r="G125" s="217" t="s">
        <v>882</v>
      </c>
      <c r="H125" s="217" t="s">
        <v>885</v>
      </c>
      <c r="I125" s="263" t="s">
        <v>1009</v>
      </c>
      <c r="J125" s="244"/>
      <c r="K125" s="241"/>
      <c r="M125" s="282"/>
      <c r="N125" s="279"/>
      <c r="P125" s="286"/>
      <c r="Q125" s="284"/>
      <c r="S125" s="290"/>
      <c r="T125" s="288"/>
      <c r="V125" s="250"/>
    </row>
    <row r="126" spans="1:22" ht="45.75" hidden="1" thickBot="1" x14ac:dyDescent="0.3">
      <c r="A126" s="260" t="s">
        <v>886</v>
      </c>
      <c r="B126" s="223" t="s">
        <v>730</v>
      </c>
      <c r="C126" s="228" t="s">
        <v>439</v>
      </c>
      <c r="D126" s="220" t="s">
        <v>466</v>
      </c>
      <c r="E126" s="220" t="s">
        <v>519</v>
      </c>
      <c r="F126" s="217"/>
      <c r="G126" s="217" t="s">
        <v>887</v>
      </c>
      <c r="H126" s="217" t="s">
        <v>888</v>
      </c>
      <c r="I126" s="263" t="s">
        <v>1008</v>
      </c>
      <c r="J126" s="244"/>
      <c r="K126" s="241"/>
      <c r="M126" s="282"/>
      <c r="N126" s="279"/>
      <c r="P126" s="286"/>
      <c r="Q126" s="284"/>
      <c r="S126" s="290"/>
      <c r="T126" s="288"/>
      <c r="V126" s="250"/>
    </row>
    <row r="127" spans="1:22" ht="60.75" hidden="1" thickBot="1" x14ac:dyDescent="0.3">
      <c r="A127" s="260" t="s">
        <v>886</v>
      </c>
      <c r="B127" s="223" t="s">
        <v>730</v>
      </c>
      <c r="C127" s="228" t="s">
        <v>440</v>
      </c>
      <c r="D127" s="220" t="s">
        <v>466</v>
      </c>
      <c r="E127" s="220" t="s">
        <v>525</v>
      </c>
      <c r="F127" s="217"/>
      <c r="G127" s="217" t="s">
        <v>881</v>
      </c>
      <c r="H127" s="217" t="s">
        <v>889</v>
      </c>
      <c r="I127" s="263" t="s">
        <v>1008</v>
      </c>
      <c r="J127" s="244"/>
      <c r="K127" s="241"/>
      <c r="M127" s="282"/>
      <c r="N127" s="279"/>
      <c r="P127" s="286"/>
      <c r="Q127" s="284"/>
      <c r="S127" s="290"/>
      <c r="T127" s="288"/>
      <c r="V127" s="250"/>
    </row>
    <row r="128" spans="1:22" ht="45.75" hidden="1" thickBot="1" x14ac:dyDescent="0.3">
      <c r="A128" s="260" t="s">
        <v>886</v>
      </c>
      <c r="B128" s="223" t="s">
        <v>730</v>
      </c>
      <c r="C128" s="228" t="s">
        <v>441</v>
      </c>
      <c r="D128" s="220" t="s">
        <v>466</v>
      </c>
      <c r="E128" s="220" t="s">
        <v>535</v>
      </c>
      <c r="F128" s="217"/>
      <c r="G128" s="217" t="s">
        <v>881</v>
      </c>
      <c r="H128" s="217" t="s">
        <v>890</v>
      </c>
      <c r="I128" s="263" t="s">
        <v>1008</v>
      </c>
      <c r="J128" s="244"/>
      <c r="K128" s="241"/>
      <c r="M128" s="282"/>
      <c r="N128" s="279"/>
      <c r="P128" s="286"/>
      <c r="Q128" s="284"/>
      <c r="S128" s="290"/>
      <c r="T128" s="288"/>
      <c r="V128" s="250"/>
    </row>
    <row r="129" spans="1:22" ht="45.75" hidden="1" thickBot="1" x14ac:dyDescent="0.3">
      <c r="A129" s="260" t="s">
        <v>886</v>
      </c>
      <c r="B129" s="223" t="s">
        <v>730</v>
      </c>
      <c r="C129" s="228" t="s">
        <v>442</v>
      </c>
      <c r="D129" s="218" t="s">
        <v>466</v>
      </c>
      <c r="E129" s="218" t="s">
        <v>536</v>
      </c>
      <c r="F129" s="217"/>
      <c r="G129" s="218" t="s">
        <v>891</v>
      </c>
      <c r="H129" s="217" t="s">
        <v>892</v>
      </c>
      <c r="I129" s="263" t="s">
        <v>1010</v>
      </c>
      <c r="J129" s="244"/>
      <c r="K129" s="241"/>
      <c r="M129" s="282"/>
      <c r="N129" s="279"/>
      <c r="P129" s="286"/>
      <c r="Q129" s="284"/>
      <c r="S129" s="290"/>
      <c r="T129" s="288"/>
      <c r="V129" s="250"/>
    </row>
    <row r="130" spans="1:22" ht="45.75" hidden="1" thickBot="1" x14ac:dyDescent="0.3">
      <c r="A130" s="260" t="s">
        <v>886</v>
      </c>
      <c r="B130" s="223" t="s">
        <v>730</v>
      </c>
      <c r="C130" s="228" t="s">
        <v>443</v>
      </c>
      <c r="D130" s="218" t="s">
        <v>466</v>
      </c>
      <c r="E130" s="218" t="s">
        <v>536</v>
      </c>
      <c r="F130" s="217"/>
      <c r="G130" s="220"/>
      <c r="H130" s="217" t="s">
        <v>893</v>
      </c>
      <c r="I130" s="263" t="s">
        <v>1010</v>
      </c>
      <c r="J130" s="244"/>
      <c r="K130" s="241"/>
      <c r="M130" s="282"/>
      <c r="N130" s="279"/>
      <c r="P130" s="286"/>
      <c r="Q130" s="284"/>
      <c r="S130" s="290"/>
      <c r="T130" s="288"/>
      <c r="V130" s="250"/>
    </row>
    <row r="131" spans="1:22" ht="106.5" hidden="1" thickTop="1" thickBot="1" x14ac:dyDescent="0.3">
      <c r="A131" s="260" t="s">
        <v>900</v>
      </c>
      <c r="B131" s="223" t="s">
        <v>704</v>
      </c>
      <c r="C131" s="228" t="s">
        <v>284</v>
      </c>
      <c r="D131" s="217" t="s">
        <v>466</v>
      </c>
      <c r="E131" s="213" t="s">
        <v>536</v>
      </c>
      <c r="F131" s="217" t="s">
        <v>894</v>
      </c>
      <c r="G131" s="217" t="s">
        <v>895</v>
      </c>
      <c r="H131" s="217" t="s">
        <v>896</v>
      </c>
      <c r="I131" s="263" t="s">
        <v>1010</v>
      </c>
      <c r="J131" s="244"/>
      <c r="K131" s="241"/>
      <c r="M131" s="282"/>
      <c r="N131" s="279"/>
      <c r="P131" s="286"/>
      <c r="Q131" s="284"/>
      <c r="S131" s="290"/>
      <c r="T131" s="288"/>
      <c r="V131" s="250"/>
    </row>
    <row r="132" spans="1:22" ht="75.75" hidden="1" thickBot="1" x14ac:dyDescent="0.3">
      <c r="A132" s="260" t="s">
        <v>900</v>
      </c>
      <c r="B132" s="223" t="s">
        <v>704</v>
      </c>
      <c r="C132" s="228" t="s">
        <v>285</v>
      </c>
      <c r="D132" s="217" t="s">
        <v>466</v>
      </c>
      <c r="E132" s="220" t="s">
        <v>532</v>
      </c>
      <c r="F132" s="217" t="s">
        <v>897</v>
      </c>
      <c r="G132" s="217" t="s">
        <v>898</v>
      </c>
      <c r="H132" s="217" t="s">
        <v>899</v>
      </c>
      <c r="I132" s="263" t="s">
        <v>1010</v>
      </c>
      <c r="J132" s="244"/>
      <c r="K132" s="241"/>
      <c r="M132" s="282"/>
      <c r="N132" s="279"/>
      <c r="P132" s="286"/>
      <c r="Q132" s="284"/>
      <c r="S132" s="290"/>
      <c r="T132" s="288"/>
      <c r="V132" s="250"/>
    </row>
    <row r="133" spans="1:22" ht="60.75" hidden="1" thickBot="1" x14ac:dyDescent="0.3">
      <c r="A133" s="260" t="s">
        <v>900</v>
      </c>
      <c r="B133" s="223" t="s">
        <v>730</v>
      </c>
      <c r="C133" s="228" t="s">
        <v>726</v>
      </c>
      <c r="D133" s="217" t="s">
        <v>466</v>
      </c>
      <c r="E133" s="222" t="s">
        <v>476</v>
      </c>
      <c r="F133" s="217" t="s">
        <v>901</v>
      </c>
      <c r="G133" s="217" t="s">
        <v>902</v>
      </c>
      <c r="H133" s="223" t="s">
        <v>903</v>
      </c>
      <c r="I133" s="263" t="s">
        <v>1010</v>
      </c>
      <c r="J133" s="244"/>
      <c r="K133" s="241"/>
      <c r="M133" s="282"/>
      <c r="N133" s="279"/>
      <c r="P133" s="286"/>
      <c r="Q133" s="284"/>
      <c r="S133" s="290"/>
      <c r="T133" s="288"/>
      <c r="V133" s="250"/>
    </row>
    <row r="134" spans="1:22" ht="75.75" hidden="1" thickBot="1" x14ac:dyDescent="0.3">
      <c r="A134" s="260" t="s">
        <v>900</v>
      </c>
      <c r="B134" s="223" t="s">
        <v>730</v>
      </c>
      <c r="C134" s="228" t="s">
        <v>436</v>
      </c>
      <c r="D134" s="217" t="s">
        <v>466</v>
      </c>
      <c r="E134" s="222" t="s">
        <v>515</v>
      </c>
      <c r="F134" s="217" t="s">
        <v>904</v>
      </c>
      <c r="G134" s="217" t="s">
        <v>904</v>
      </c>
      <c r="H134" s="223" t="s">
        <v>905</v>
      </c>
      <c r="I134" s="263" t="s">
        <v>1010</v>
      </c>
      <c r="J134" s="244"/>
      <c r="K134" s="241"/>
      <c r="M134" s="282"/>
      <c r="N134" s="279"/>
      <c r="P134" s="286"/>
      <c r="Q134" s="284"/>
      <c r="S134" s="290"/>
      <c r="T134" s="288"/>
      <c r="V134" s="250"/>
    </row>
    <row r="135" spans="1:22" ht="75.75" hidden="1" thickBot="1" x14ac:dyDescent="0.3">
      <c r="A135" s="260" t="s">
        <v>900</v>
      </c>
      <c r="B135" s="223" t="s">
        <v>730</v>
      </c>
      <c r="C135" s="228" t="s">
        <v>437</v>
      </c>
      <c r="D135" s="217" t="s">
        <v>466</v>
      </c>
      <c r="E135" s="222" t="s">
        <v>525</v>
      </c>
      <c r="F135" s="217" t="s">
        <v>906</v>
      </c>
      <c r="G135" s="217" t="s">
        <v>907</v>
      </c>
      <c r="H135" s="223" t="s">
        <v>908</v>
      </c>
      <c r="I135" s="263" t="s">
        <v>1010</v>
      </c>
      <c r="J135" s="244"/>
      <c r="K135" s="241"/>
      <c r="M135" s="282"/>
      <c r="N135" s="279"/>
      <c r="P135" s="286"/>
      <c r="Q135" s="284"/>
      <c r="S135" s="290"/>
      <c r="T135" s="288"/>
      <c r="V135" s="250"/>
    </row>
    <row r="136" spans="1:22" ht="75.75" hidden="1" thickBot="1" x14ac:dyDescent="0.3">
      <c r="A136" s="260" t="s">
        <v>915</v>
      </c>
      <c r="B136" s="223" t="s">
        <v>704</v>
      </c>
      <c r="C136" s="228" t="s">
        <v>283</v>
      </c>
      <c r="D136" s="217" t="s">
        <v>466</v>
      </c>
      <c r="E136" s="220" t="s">
        <v>525</v>
      </c>
      <c r="F136" s="217"/>
      <c r="G136" s="220" t="s">
        <v>910</v>
      </c>
      <c r="H136" s="223" t="s">
        <v>1228</v>
      </c>
      <c r="I136" s="263" t="s">
        <v>1009</v>
      </c>
      <c r="J136" s="244"/>
      <c r="K136" s="241"/>
      <c r="M136" s="282"/>
      <c r="N136" s="279"/>
      <c r="P136" s="286"/>
      <c r="Q136" s="284"/>
      <c r="S136" s="290"/>
      <c r="T136" s="288"/>
      <c r="V136" s="250"/>
    </row>
    <row r="137" spans="1:22" ht="75.75" hidden="1" thickBot="1" x14ac:dyDescent="0.3">
      <c r="A137" s="260" t="s">
        <v>915</v>
      </c>
      <c r="B137" s="223" t="s">
        <v>704</v>
      </c>
      <c r="C137" s="228" t="s">
        <v>284</v>
      </c>
      <c r="D137" s="217" t="s">
        <v>466</v>
      </c>
      <c r="E137" s="220" t="s">
        <v>533</v>
      </c>
      <c r="F137" s="217"/>
      <c r="G137" s="220" t="s">
        <v>909</v>
      </c>
      <c r="H137" s="223" t="s">
        <v>911</v>
      </c>
      <c r="I137" s="263" t="s">
        <v>1010</v>
      </c>
      <c r="J137" s="244"/>
      <c r="K137" s="241"/>
      <c r="M137" s="282"/>
      <c r="N137" s="279"/>
      <c r="P137" s="286"/>
      <c r="Q137" s="284"/>
      <c r="S137" s="290"/>
      <c r="T137" s="288"/>
      <c r="V137" s="250"/>
    </row>
    <row r="138" spans="1:22" ht="60.75" hidden="1" thickBot="1" x14ac:dyDescent="0.3">
      <c r="A138" s="260" t="s">
        <v>915</v>
      </c>
      <c r="B138" s="223" t="s">
        <v>704</v>
      </c>
      <c r="C138" s="228" t="s">
        <v>286</v>
      </c>
      <c r="D138" s="217" t="s">
        <v>466</v>
      </c>
      <c r="E138" s="220" t="s">
        <v>537</v>
      </c>
      <c r="F138" s="217"/>
      <c r="G138" s="217" t="s">
        <v>912</v>
      </c>
      <c r="H138" s="217" t="s">
        <v>913</v>
      </c>
      <c r="I138" s="263" t="s">
        <v>1008</v>
      </c>
      <c r="J138" s="244"/>
      <c r="K138" s="241"/>
      <c r="M138" s="282"/>
      <c r="N138" s="279"/>
      <c r="P138" s="286"/>
      <c r="Q138" s="284"/>
      <c r="S138" s="290"/>
      <c r="T138" s="288"/>
      <c r="V138" s="250"/>
    </row>
    <row r="139" spans="1:22" ht="75.75" hidden="1" thickBot="1" x14ac:dyDescent="0.3">
      <c r="A139" s="260" t="s">
        <v>915</v>
      </c>
      <c r="B139" s="223" t="s">
        <v>704</v>
      </c>
      <c r="C139" s="228" t="s">
        <v>290</v>
      </c>
      <c r="D139" s="217" t="s">
        <v>466</v>
      </c>
      <c r="E139" s="220" t="s">
        <v>515</v>
      </c>
      <c r="F139" s="217"/>
      <c r="G139" s="220" t="s">
        <v>909</v>
      </c>
      <c r="H139" s="217" t="s">
        <v>914</v>
      </c>
      <c r="I139" s="263" t="s">
        <v>1010</v>
      </c>
      <c r="J139" s="244"/>
      <c r="K139" s="241"/>
      <c r="M139" s="282"/>
      <c r="N139" s="279"/>
      <c r="P139" s="286"/>
      <c r="Q139" s="284"/>
      <c r="S139" s="290"/>
      <c r="T139" s="288"/>
      <c r="V139" s="250"/>
    </row>
    <row r="140" spans="1:22" ht="60.75" hidden="1" thickBot="1" x14ac:dyDescent="0.3">
      <c r="A140" s="260" t="s">
        <v>915</v>
      </c>
      <c r="B140" s="223" t="s">
        <v>730</v>
      </c>
      <c r="C140" s="228" t="s">
        <v>725</v>
      </c>
      <c r="D140" s="220" t="s">
        <v>466</v>
      </c>
      <c r="E140" s="220" t="s">
        <v>516</v>
      </c>
      <c r="F140" s="217"/>
      <c r="G140" s="217" t="s">
        <v>916</v>
      </c>
      <c r="H140" s="217" t="s">
        <v>917</v>
      </c>
      <c r="I140" s="263" t="s">
        <v>1008</v>
      </c>
      <c r="J140" s="244"/>
      <c r="K140" s="241"/>
      <c r="M140" s="282"/>
      <c r="N140" s="279"/>
      <c r="P140" s="286"/>
      <c r="Q140" s="284"/>
      <c r="S140" s="290"/>
      <c r="T140" s="288"/>
      <c r="V140" s="250"/>
    </row>
    <row r="141" spans="1:22" ht="90.75" hidden="1" thickBot="1" x14ac:dyDescent="0.3">
      <c r="A141" s="260" t="s">
        <v>915</v>
      </c>
      <c r="B141" s="223" t="s">
        <v>730</v>
      </c>
      <c r="C141" s="228" t="s">
        <v>726</v>
      </c>
      <c r="D141" s="220" t="s">
        <v>466</v>
      </c>
      <c r="E141" s="220" t="s">
        <v>525</v>
      </c>
      <c r="F141" s="217"/>
      <c r="G141" s="217" t="s">
        <v>916</v>
      </c>
      <c r="H141" s="217" t="s">
        <v>1229</v>
      </c>
      <c r="I141" s="263" t="s">
        <v>1010</v>
      </c>
      <c r="J141" s="244"/>
      <c r="K141" s="241"/>
      <c r="M141" s="282"/>
      <c r="N141" s="279"/>
      <c r="P141" s="286"/>
      <c r="Q141" s="284"/>
      <c r="S141" s="290"/>
      <c r="T141" s="288"/>
      <c r="V141" s="250"/>
    </row>
    <row r="142" spans="1:22" ht="45.75" hidden="1" thickBot="1" x14ac:dyDescent="0.3">
      <c r="A142" s="260" t="s">
        <v>915</v>
      </c>
      <c r="B142" s="223" t="s">
        <v>730</v>
      </c>
      <c r="C142" s="228" t="s">
        <v>759</v>
      </c>
      <c r="D142" s="220" t="s">
        <v>466</v>
      </c>
      <c r="E142" s="220" t="s">
        <v>536</v>
      </c>
      <c r="F142" s="217"/>
      <c r="G142" s="217" t="s">
        <v>912</v>
      </c>
      <c r="H142" s="217" t="s">
        <v>918</v>
      </c>
      <c r="I142" s="263" t="s">
        <v>1010</v>
      </c>
      <c r="J142" s="244"/>
      <c r="K142" s="241"/>
      <c r="M142" s="282"/>
      <c r="N142" s="279"/>
      <c r="P142" s="286"/>
      <c r="Q142" s="284"/>
      <c r="S142" s="290"/>
      <c r="T142" s="288"/>
      <c r="V142" s="250"/>
    </row>
    <row r="143" spans="1:22" ht="45.75" hidden="1" thickBot="1" x14ac:dyDescent="0.3">
      <c r="A143" s="260" t="s">
        <v>944</v>
      </c>
      <c r="B143" s="223" t="s">
        <v>704</v>
      </c>
      <c r="C143" s="228" t="s">
        <v>286</v>
      </c>
      <c r="D143" s="217" t="s">
        <v>466</v>
      </c>
      <c r="E143" s="220" t="s">
        <v>513</v>
      </c>
      <c r="F143" s="217"/>
      <c r="G143" s="217" t="s">
        <v>919</v>
      </c>
      <c r="H143" s="217" t="s">
        <v>920</v>
      </c>
      <c r="I143" s="263" t="s">
        <v>1008</v>
      </c>
      <c r="J143" s="244"/>
      <c r="K143" s="241"/>
      <c r="M143" s="282"/>
      <c r="N143" s="279"/>
      <c r="P143" s="286"/>
      <c r="Q143" s="284"/>
      <c r="S143" s="290"/>
      <c r="T143" s="288"/>
      <c r="V143" s="250"/>
    </row>
    <row r="144" spans="1:22" ht="135.75" hidden="1" thickBot="1" x14ac:dyDescent="0.3">
      <c r="A144" s="260" t="s">
        <v>944</v>
      </c>
      <c r="B144" s="223" t="s">
        <v>704</v>
      </c>
      <c r="C144" s="228" t="s">
        <v>287</v>
      </c>
      <c r="D144" s="217" t="s">
        <v>466</v>
      </c>
      <c r="E144" s="220" t="s">
        <v>515</v>
      </c>
      <c r="F144" s="217"/>
      <c r="G144" s="217" t="s">
        <v>921</v>
      </c>
      <c r="H144" s="217" t="s">
        <v>1047</v>
      </c>
      <c r="I144" s="263" t="s">
        <v>1008</v>
      </c>
      <c r="J144" s="244"/>
      <c r="K144" s="241"/>
      <c r="M144" s="282"/>
      <c r="N144" s="279"/>
      <c r="P144" s="286"/>
      <c r="Q144" s="284"/>
      <c r="S144" s="290"/>
      <c r="T144" s="288"/>
      <c r="V144" s="250"/>
    </row>
    <row r="145" spans="1:22" ht="75.75" hidden="1" thickBot="1" x14ac:dyDescent="0.3">
      <c r="A145" s="260" t="s">
        <v>944</v>
      </c>
      <c r="B145" s="223" t="s">
        <v>704</v>
      </c>
      <c r="C145" s="228" t="s">
        <v>288</v>
      </c>
      <c r="D145" s="217" t="s">
        <v>466</v>
      </c>
      <c r="E145" s="220" t="s">
        <v>516</v>
      </c>
      <c r="F145" s="217"/>
      <c r="G145" s="217" t="s">
        <v>922</v>
      </c>
      <c r="H145" s="217" t="s">
        <v>923</v>
      </c>
      <c r="I145" s="263" t="s">
        <v>1010</v>
      </c>
      <c r="J145" s="244"/>
      <c r="K145" s="241"/>
      <c r="M145" s="282"/>
      <c r="N145" s="279"/>
      <c r="P145" s="286"/>
      <c r="Q145" s="284"/>
      <c r="S145" s="290"/>
      <c r="T145" s="288"/>
      <c r="V145" s="250"/>
    </row>
    <row r="146" spans="1:22" ht="45.75" hidden="1" thickBot="1" x14ac:dyDescent="0.3">
      <c r="A146" s="260" t="s">
        <v>944</v>
      </c>
      <c r="B146" s="223" t="s">
        <v>704</v>
      </c>
      <c r="C146" s="228" t="s">
        <v>289</v>
      </c>
      <c r="D146" s="217" t="s">
        <v>466</v>
      </c>
      <c r="E146" s="220" t="s">
        <v>517</v>
      </c>
      <c r="F146" s="217"/>
      <c r="G146" s="217" t="s">
        <v>924</v>
      </c>
      <c r="H146" s="217" t="s">
        <v>925</v>
      </c>
      <c r="I146" s="263" t="s">
        <v>1008</v>
      </c>
      <c r="J146" s="244"/>
      <c r="K146" s="241"/>
      <c r="M146" s="282"/>
      <c r="N146" s="279"/>
      <c r="P146" s="286"/>
      <c r="Q146" s="284"/>
      <c r="S146" s="290"/>
      <c r="T146" s="288"/>
      <c r="V146" s="250"/>
    </row>
    <row r="147" spans="1:22" ht="45.75" hidden="1" thickBot="1" x14ac:dyDescent="0.3">
      <c r="A147" s="260" t="s">
        <v>944</v>
      </c>
      <c r="B147" s="223" t="s">
        <v>704</v>
      </c>
      <c r="C147" s="228" t="s">
        <v>290</v>
      </c>
      <c r="D147" s="217" t="s">
        <v>466</v>
      </c>
      <c r="E147" s="220" t="s">
        <v>525</v>
      </c>
      <c r="F147" s="217"/>
      <c r="G147" s="217" t="s">
        <v>926</v>
      </c>
      <c r="H147" s="217" t="s">
        <v>927</v>
      </c>
      <c r="I147" s="263" t="s">
        <v>1008</v>
      </c>
      <c r="J147" s="244"/>
      <c r="K147" s="241"/>
      <c r="M147" s="282"/>
      <c r="N147" s="279"/>
      <c r="P147" s="286"/>
      <c r="Q147" s="284"/>
      <c r="S147" s="290"/>
      <c r="T147" s="288"/>
      <c r="V147" s="250"/>
    </row>
    <row r="148" spans="1:22" ht="45.75" hidden="1" thickBot="1" x14ac:dyDescent="0.3">
      <c r="A148" s="260" t="s">
        <v>944</v>
      </c>
      <c r="B148" s="223" t="s">
        <v>704</v>
      </c>
      <c r="C148" s="228" t="s">
        <v>291</v>
      </c>
      <c r="D148" s="217" t="s">
        <v>466</v>
      </c>
      <c r="E148" s="220" t="s">
        <v>527</v>
      </c>
      <c r="F148" s="217"/>
      <c r="G148" s="217" t="s">
        <v>928</v>
      </c>
      <c r="H148" s="217" t="s">
        <v>929</v>
      </c>
      <c r="I148" s="263" t="s">
        <v>1009</v>
      </c>
      <c r="J148" s="244"/>
      <c r="K148" s="241"/>
      <c r="M148" s="282"/>
      <c r="N148" s="279"/>
      <c r="P148" s="286"/>
      <c r="Q148" s="284"/>
      <c r="S148" s="290"/>
      <c r="T148" s="288"/>
      <c r="V148" s="250"/>
    </row>
    <row r="149" spans="1:22" ht="60.75" hidden="1" thickBot="1" x14ac:dyDescent="0.3">
      <c r="A149" s="260" t="s">
        <v>944</v>
      </c>
      <c r="B149" s="223" t="s">
        <v>704</v>
      </c>
      <c r="C149" s="228" t="s">
        <v>292</v>
      </c>
      <c r="D149" s="217" t="s">
        <v>466</v>
      </c>
      <c r="E149" s="220" t="s">
        <v>531</v>
      </c>
      <c r="F149" s="217"/>
      <c r="G149" s="217" t="s">
        <v>930</v>
      </c>
      <c r="H149" s="217" t="s">
        <v>931</v>
      </c>
      <c r="I149" s="263" t="s">
        <v>1010</v>
      </c>
      <c r="J149" s="244"/>
      <c r="K149" s="241"/>
      <c r="M149" s="282"/>
      <c r="N149" s="279"/>
      <c r="P149" s="286"/>
      <c r="Q149" s="284"/>
      <c r="S149" s="290"/>
      <c r="T149" s="288"/>
      <c r="V149" s="250"/>
    </row>
    <row r="150" spans="1:22" ht="45.75" hidden="1" thickBot="1" x14ac:dyDescent="0.3">
      <c r="A150" s="260" t="s">
        <v>944</v>
      </c>
      <c r="B150" s="223" t="s">
        <v>704</v>
      </c>
      <c r="C150" s="228" t="s">
        <v>293</v>
      </c>
      <c r="D150" s="217" t="s">
        <v>466</v>
      </c>
      <c r="E150" s="220" t="s">
        <v>532</v>
      </c>
      <c r="F150" s="217"/>
      <c r="G150" s="217" t="s">
        <v>932</v>
      </c>
      <c r="H150" s="217" t="s">
        <v>933</v>
      </c>
      <c r="I150" s="263" t="s">
        <v>1010</v>
      </c>
      <c r="J150" s="244"/>
      <c r="K150" s="241"/>
      <c r="M150" s="282"/>
      <c r="N150" s="279"/>
      <c r="P150" s="286"/>
      <c r="Q150" s="284"/>
      <c r="S150" s="290"/>
      <c r="T150" s="288"/>
      <c r="V150" s="250"/>
    </row>
    <row r="151" spans="1:22" ht="75.75" hidden="1" thickBot="1" x14ac:dyDescent="0.3">
      <c r="A151" s="260" t="s">
        <v>944</v>
      </c>
      <c r="B151" s="223" t="s">
        <v>704</v>
      </c>
      <c r="C151" s="228" t="s">
        <v>294</v>
      </c>
      <c r="D151" s="217" t="s">
        <v>466</v>
      </c>
      <c r="E151" s="220" t="s">
        <v>535</v>
      </c>
      <c r="F151" s="217"/>
      <c r="G151" s="217" t="s">
        <v>934</v>
      </c>
      <c r="H151" s="217" t="s">
        <v>935</v>
      </c>
      <c r="I151" s="263" t="s">
        <v>1008</v>
      </c>
      <c r="J151" s="244"/>
      <c r="K151" s="241"/>
      <c r="M151" s="282"/>
      <c r="N151" s="279"/>
      <c r="P151" s="286"/>
      <c r="Q151" s="284"/>
      <c r="S151" s="290"/>
      <c r="T151" s="288"/>
      <c r="V151" s="250"/>
    </row>
    <row r="152" spans="1:22" ht="90.75" hidden="1" thickBot="1" x14ac:dyDescent="0.3">
      <c r="A152" s="260" t="s">
        <v>944</v>
      </c>
      <c r="B152" s="223" t="s">
        <v>704</v>
      </c>
      <c r="C152" s="228" t="s">
        <v>295</v>
      </c>
      <c r="D152" s="217" t="s">
        <v>466</v>
      </c>
      <c r="E152" s="220" t="s">
        <v>536</v>
      </c>
      <c r="F152" s="217"/>
      <c r="G152" s="217" t="s">
        <v>936</v>
      </c>
      <c r="H152" s="217" t="s">
        <v>937</v>
      </c>
      <c r="I152" s="263" t="s">
        <v>1010</v>
      </c>
      <c r="J152" s="244"/>
      <c r="K152" s="241"/>
      <c r="M152" s="282"/>
      <c r="N152" s="279"/>
      <c r="P152" s="286"/>
      <c r="Q152" s="284"/>
      <c r="S152" s="290"/>
      <c r="T152" s="288"/>
      <c r="V152" s="250"/>
    </row>
    <row r="153" spans="1:22" ht="60.75" hidden="1" thickBot="1" x14ac:dyDescent="0.3">
      <c r="A153" s="260" t="s">
        <v>944</v>
      </c>
      <c r="B153" s="223" t="s">
        <v>704</v>
      </c>
      <c r="C153" s="228" t="s">
        <v>296</v>
      </c>
      <c r="D153" s="217" t="s">
        <v>466</v>
      </c>
      <c r="E153" s="220" t="s">
        <v>537</v>
      </c>
      <c r="F153" s="217"/>
      <c r="G153" s="217" t="s">
        <v>938</v>
      </c>
      <c r="H153" s="217" t="s">
        <v>939</v>
      </c>
      <c r="I153" s="263" t="s">
        <v>1008</v>
      </c>
      <c r="J153" s="244"/>
      <c r="K153" s="241"/>
      <c r="M153" s="282"/>
      <c r="N153" s="279"/>
      <c r="P153" s="286"/>
      <c r="Q153" s="284"/>
      <c r="S153" s="290"/>
      <c r="T153" s="288"/>
      <c r="V153" s="250"/>
    </row>
    <row r="154" spans="1:22" ht="30.75" hidden="1" thickBot="1" x14ac:dyDescent="0.3">
      <c r="A154" s="260" t="s">
        <v>944</v>
      </c>
      <c r="B154" s="223" t="s">
        <v>704</v>
      </c>
      <c r="C154" s="228" t="s">
        <v>297</v>
      </c>
      <c r="D154" s="217" t="s">
        <v>466</v>
      </c>
      <c r="E154" s="220" t="s">
        <v>543</v>
      </c>
      <c r="F154" s="217"/>
      <c r="G154" s="217" t="s">
        <v>940</v>
      </c>
      <c r="H154" s="217" t="s">
        <v>941</v>
      </c>
      <c r="I154" s="263" t="s">
        <v>1010</v>
      </c>
      <c r="J154" s="244"/>
      <c r="K154" s="241"/>
      <c r="M154" s="282"/>
      <c r="N154" s="279"/>
      <c r="P154" s="286"/>
      <c r="Q154" s="284"/>
      <c r="S154" s="290"/>
      <c r="T154" s="288"/>
      <c r="V154" s="250"/>
    </row>
    <row r="155" spans="1:22" ht="180.75" hidden="1" thickBot="1" x14ac:dyDescent="0.3">
      <c r="A155" s="260" t="s">
        <v>944</v>
      </c>
      <c r="B155" s="223" t="s">
        <v>704</v>
      </c>
      <c r="C155" s="228" t="s">
        <v>298</v>
      </c>
      <c r="D155" s="217" t="s">
        <v>466</v>
      </c>
      <c r="E155" s="220" t="s">
        <v>546</v>
      </c>
      <c r="F155" s="217"/>
      <c r="G155" s="217" t="s">
        <v>940</v>
      </c>
      <c r="H155" s="217" t="s">
        <v>942</v>
      </c>
      <c r="I155" s="263" t="s">
        <v>1008</v>
      </c>
      <c r="J155" s="244"/>
      <c r="K155" s="241"/>
      <c r="M155" s="282"/>
      <c r="N155" s="279"/>
      <c r="P155" s="286"/>
      <c r="Q155" s="284"/>
      <c r="S155" s="290"/>
      <c r="T155" s="288"/>
      <c r="V155" s="250"/>
    </row>
    <row r="156" spans="1:22" ht="30.75" hidden="1" thickBot="1" x14ac:dyDescent="0.3">
      <c r="A156" s="260" t="s">
        <v>944</v>
      </c>
      <c r="B156" s="223" t="s">
        <v>704</v>
      </c>
      <c r="C156" s="228" t="s">
        <v>299</v>
      </c>
      <c r="D156" s="217" t="s">
        <v>466</v>
      </c>
      <c r="E156" s="220" t="s">
        <v>548</v>
      </c>
      <c r="F156" s="217"/>
      <c r="G156" s="217" t="s">
        <v>940</v>
      </c>
      <c r="H156" s="217" t="s">
        <v>943</v>
      </c>
      <c r="I156" s="263" t="s">
        <v>1010</v>
      </c>
      <c r="J156" s="244"/>
      <c r="K156" s="241"/>
      <c r="M156" s="282"/>
      <c r="N156" s="279"/>
      <c r="P156" s="286"/>
      <c r="Q156" s="284"/>
      <c r="S156" s="290"/>
      <c r="T156" s="288"/>
      <c r="V156" s="250"/>
    </row>
    <row r="157" spans="1:22" ht="90.75" hidden="1" thickBot="1" x14ac:dyDescent="0.3">
      <c r="A157" s="260" t="s">
        <v>944</v>
      </c>
      <c r="B157" s="223" t="s">
        <v>730</v>
      </c>
      <c r="C157" s="228" t="s">
        <v>808</v>
      </c>
      <c r="D157" s="220" t="s">
        <v>466</v>
      </c>
      <c r="E157" s="220" t="s">
        <v>513</v>
      </c>
      <c r="F157" s="217"/>
      <c r="G157" s="217" t="s">
        <v>945</v>
      </c>
      <c r="H157" s="217" t="s">
        <v>946</v>
      </c>
      <c r="I157" s="263" t="s">
        <v>1008</v>
      </c>
      <c r="J157" s="244"/>
      <c r="K157" s="241"/>
      <c r="M157" s="282"/>
      <c r="N157" s="279"/>
      <c r="P157" s="286"/>
      <c r="Q157" s="284"/>
      <c r="S157" s="290"/>
      <c r="T157" s="288"/>
      <c r="V157" s="250"/>
    </row>
    <row r="158" spans="1:22" ht="60.75" hidden="1" thickBot="1" x14ac:dyDescent="0.3">
      <c r="A158" s="260" t="s">
        <v>944</v>
      </c>
      <c r="B158" s="223" t="s">
        <v>730</v>
      </c>
      <c r="C158" s="228" t="s">
        <v>436</v>
      </c>
      <c r="D158" s="220" t="s">
        <v>466</v>
      </c>
      <c r="E158" s="220" t="s">
        <v>537</v>
      </c>
      <c r="F158" s="217"/>
      <c r="G158" s="217" t="s">
        <v>947</v>
      </c>
      <c r="H158" s="217" t="s">
        <v>948</v>
      </c>
      <c r="I158" s="263" t="s">
        <v>1010</v>
      </c>
      <c r="J158" s="244"/>
      <c r="K158" s="241"/>
      <c r="M158" s="282"/>
      <c r="N158" s="279"/>
      <c r="P158" s="286"/>
      <c r="Q158" s="284"/>
      <c r="S158" s="290"/>
      <c r="T158" s="288"/>
      <c r="V158" s="250"/>
    </row>
    <row r="159" spans="1:22" ht="60.75" hidden="1" thickBot="1" x14ac:dyDescent="0.3">
      <c r="A159" s="260" t="s">
        <v>944</v>
      </c>
      <c r="B159" s="223" t="s">
        <v>730</v>
      </c>
      <c r="C159" s="228" t="s">
        <v>437</v>
      </c>
      <c r="D159" s="220" t="s">
        <v>466</v>
      </c>
      <c r="E159" s="220" t="s">
        <v>523</v>
      </c>
      <c r="F159" s="217"/>
      <c r="G159" s="217" t="s">
        <v>949</v>
      </c>
      <c r="H159" s="217" t="s">
        <v>950</v>
      </c>
      <c r="I159" s="263" t="s">
        <v>1010</v>
      </c>
      <c r="J159" s="244"/>
      <c r="K159" s="241"/>
      <c r="M159" s="282"/>
      <c r="N159" s="279"/>
      <c r="P159" s="286"/>
      <c r="Q159" s="284"/>
      <c r="S159" s="290"/>
      <c r="T159" s="288"/>
      <c r="V159" s="250"/>
    </row>
    <row r="160" spans="1:22" ht="91.5" hidden="1" thickTop="1" thickBot="1" x14ac:dyDescent="0.3">
      <c r="A160" s="260" t="s">
        <v>974</v>
      </c>
      <c r="B160" s="223" t="s">
        <v>704</v>
      </c>
      <c r="C160" s="228" t="s">
        <v>289</v>
      </c>
      <c r="D160" s="217" t="s">
        <v>466</v>
      </c>
      <c r="E160" s="213" t="s">
        <v>513</v>
      </c>
      <c r="F160" s="217" t="s">
        <v>952</v>
      </c>
      <c r="G160" s="217" t="s">
        <v>953</v>
      </c>
      <c r="H160" s="217" t="s">
        <v>953</v>
      </c>
      <c r="I160" s="263" t="s">
        <v>1008</v>
      </c>
      <c r="J160" s="244"/>
      <c r="K160" s="241"/>
      <c r="M160" s="282"/>
      <c r="N160" s="279"/>
      <c r="P160" s="286"/>
      <c r="Q160" s="284"/>
      <c r="S160" s="290"/>
      <c r="T160" s="288"/>
      <c r="V160" s="250"/>
    </row>
    <row r="161" spans="1:22" ht="76.5" hidden="1" thickTop="1" thickBot="1" x14ac:dyDescent="0.3">
      <c r="A161" s="260" t="s">
        <v>974</v>
      </c>
      <c r="B161" s="223" t="s">
        <v>704</v>
      </c>
      <c r="C161" s="228" t="s">
        <v>290</v>
      </c>
      <c r="D161" s="217" t="s">
        <v>466</v>
      </c>
      <c r="E161" s="213" t="s">
        <v>515</v>
      </c>
      <c r="F161" s="217" t="s">
        <v>954</v>
      </c>
      <c r="G161" s="217" t="s">
        <v>955</v>
      </c>
      <c r="H161" s="217" t="s">
        <v>955</v>
      </c>
      <c r="I161" s="263" t="s">
        <v>1010</v>
      </c>
      <c r="J161" s="244"/>
      <c r="K161" s="241"/>
      <c r="M161" s="282"/>
      <c r="N161" s="279"/>
      <c r="P161" s="286"/>
      <c r="Q161" s="284"/>
      <c r="S161" s="290"/>
      <c r="T161" s="288"/>
      <c r="V161" s="250"/>
    </row>
    <row r="162" spans="1:22" ht="61.5" hidden="1" thickTop="1" thickBot="1" x14ac:dyDescent="0.3">
      <c r="A162" s="260" t="s">
        <v>974</v>
      </c>
      <c r="B162" s="223" t="s">
        <v>704</v>
      </c>
      <c r="C162" s="228" t="s">
        <v>291</v>
      </c>
      <c r="D162" s="217" t="s">
        <v>466</v>
      </c>
      <c r="E162" s="273" t="s">
        <v>516</v>
      </c>
      <c r="F162" s="217" t="s">
        <v>956</v>
      </c>
      <c r="G162" s="217" t="s">
        <v>957</v>
      </c>
      <c r="H162" s="217" t="s">
        <v>957</v>
      </c>
      <c r="I162" s="263" t="s">
        <v>1010</v>
      </c>
      <c r="J162" s="244"/>
      <c r="K162" s="241"/>
      <c r="M162" s="282"/>
      <c r="N162" s="279"/>
      <c r="P162" s="286"/>
      <c r="Q162" s="284"/>
      <c r="S162" s="290"/>
      <c r="T162" s="288"/>
      <c r="V162" s="250"/>
    </row>
    <row r="163" spans="1:22" ht="61.5" hidden="1" thickTop="1" thickBot="1" x14ac:dyDescent="0.3">
      <c r="A163" s="260" t="s">
        <v>974</v>
      </c>
      <c r="B163" s="223" t="s">
        <v>704</v>
      </c>
      <c r="C163" s="228" t="s">
        <v>292</v>
      </c>
      <c r="D163" s="217" t="s">
        <v>466</v>
      </c>
      <c r="E163" s="273" t="s">
        <v>517</v>
      </c>
      <c r="F163" s="255" t="s">
        <v>958</v>
      </c>
      <c r="G163" s="217" t="s">
        <v>959</v>
      </c>
      <c r="H163" s="217" t="s">
        <v>959</v>
      </c>
      <c r="I163" s="263" t="s">
        <v>1008</v>
      </c>
      <c r="J163" s="244"/>
      <c r="K163" s="241"/>
      <c r="M163" s="282"/>
      <c r="N163" s="279"/>
      <c r="P163" s="286"/>
      <c r="Q163" s="284"/>
      <c r="S163" s="290"/>
      <c r="T163" s="288"/>
      <c r="V163" s="250"/>
    </row>
    <row r="164" spans="1:22" ht="45.75" hidden="1" thickBot="1" x14ac:dyDescent="0.3">
      <c r="A164" s="260" t="s">
        <v>974</v>
      </c>
      <c r="B164" s="223" t="s">
        <v>704</v>
      </c>
      <c r="C164" s="228" t="s">
        <v>293</v>
      </c>
      <c r="D164" s="217" t="s">
        <v>466</v>
      </c>
      <c r="E164" s="220" t="s">
        <v>530</v>
      </c>
      <c r="F164" s="217" t="s">
        <v>951</v>
      </c>
      <c r="G164" s="217" t="s">
        <v>960</v>
      </c>
      <c r="H164" s="217" t="s">
        <v>960</v>
      </c>
      <c r="I164" s="263" t="s">
        <v>1008</v>
      </c>
      <c r="J164" s="244"/>
      <c r="K164" s="241"/>
      <c r="M164" s="282"/>
      <c r="N164" s="279"/>
      <c r="P164" s="286"/>
      <c r="Q164" s="284"/>
      <c r="S164" s="290"/>
      <c r="T164" s="288"/>
      <c r="V164" s="250"/>
    </row>
    <row r="165" spans="1:22" ht="60.75" hidden="1" thickBot="1" x14ac:dyDescent="0.3">
      <c r="A165" s="260" t="s">
        <v>974</v>
      </c>
      <c r="B165" s="223" t="s">
        <v>704</v>
      </c>
      <c r="C165" s="228" t="s">
        <v>294</v>
      </c>
      <c r="D165" s="217" t="s">
        <v>466</v>
      </c>
      <c r="E165" s="220" t="s">
        <v>532</v>
      </c>
      <c r="F165" s="217" t="s">
        <v>958</v>
      </c>
      <c r="G165" s="217" t="s">
        <v>961</v>
      </c>
      <c r="H165" s="217" t="s">
        <v>961</v>
      </c>
      <c r="I165" s="263" t="s">
        <v>1010</v>
      </c>
      <c r="J165" s="244"/>
      <c r="K165" s="241"/>
      <c r="M165" s="282"/>
      <c r="N165" s="279"/>
      <c r="P165" s="286"/>
      <c r="Q165" s="284"/>
      <c r="S165" s="290"/>
      <c r="T165" s="288"/>
      <c r="V165" s="250"/>
    </row>
    <row r="166" spans="1:22" ht="30.75" hidden="1" thickBot="1" x14ac:dyDescent="0.3">
      <c r="A166" s="260" t="s">
        <v>974</v>
      </c>
      <c r="B166" s="223" t="s">
        <v>704</v>
      </c>
      <c r="C166" s="228" t="s">
        <v>295</v>
      </c>
      <c r="D166" s="217" t="s">
        <v>466</v>
      </c>
      <c r="E166" s="220" t="s">
        <v>535</v>
      </c>
      <c r="F166" s="217" t="s">
        <v>962</v>
      </c>
      <c r="G166" s="217" t="s">
        <v>963</v>
      </c>
      <c r="H166" s="217" t="s">
        <v>963</v>
      </c>
      <c r="I166" s="263" t="s">
        <v>1010</v>
      </c>
      <c r="J166" s="244"/>
      <c r="K166" s="241"/>
      <c r="M166" s="282"/>
      <c r="N166" s="279"/>
      <c r="P166" s="286"/>
      <c r="Q166" s="284"/>
      <c r="S166" s="290"/>
      <c r="T166" s="288"/>
      <c r="V166" s="250"/>
    </row>
    <row r="167" spans="1:22" ht="45.75" hidden="1" thickBot="1" x14ac:dyDescent="0.3">
      <c r="A167" s="260" t="s">
        <v>974</v>
      </c>
      <c r="B167" s="223" t="s">
        <v>704</v>
      </c>
      <c r="C167" s="228" t="s">
        <v>296</v>
      </c>
      <c r="D167" s="217" t="s">
        <v>466</v>
      </c>
      <c r="E167" s="220" t="s">
        <v>536</v>
      </c>
      <c r="F167" s="217" t="s">
        <v>964</v>
      </c>
      <c r="G167" s="217" t="s">
        <v>965</v>
      </c>
      <c r="H167" s="217" t="s">
        <v>965</v>
      </c>
      <c r="I167" s="263" t="s">
        <v>1010</v>
      </c>
      <c r="J167" s="244"/>
      <c r="K167" s="241"/>
      <c r="M167" s="282"/>
      <c r="N167" s="279"/>
      <c r="P167" s="286"/>
      <c r="Q167" s="284"/>
      <c r="S167" s="290"/>
      <c r="T167" s="288"/>
      <c r="V167" s="250"/>
    </row>
    <row r="168" spans="1:22" ht="60.75" hidden="1" thickBot="1" x14ac:dyDescent="0.3">
      <c r="A168" s="260" t="s">
        <v>974</v>
      </c>
      <c r="B168" s="223" t="s">
        <v>704</v>
      </c>
      <c r="C168" s="228" t="s">
        <v>297</v>
      </c>
      <c r="D168" s="217" t="s">
        <v>466</v>
      </c>
      <c r="E168" s="220" t="s">
        <v>537</v>
      </c>
      <c r="F168" s="255" t="s">
        <v>966</v>
      </c>
      <c r="G168" s="217" t="s">
        <v>967</v>
      </c>
      <c r="H168" s="217" t="s">
        <v>967</v>
      </c>
      <c r="I168" s="263" t="s">
        <v>1010</v>
      </c>
      <c r="J168" s="244"/>
      <c r="K168" s="241"/>
      <c r="M168" s="282"/>
      <c r="N168" s="279"/>
      <c r="P168" s="286"/>
      <c r="Q168" s="284"/>
      <c r="S168" s="290"/>
      <c r="T168" s="288"/>
      <c r="V168" s="250"/>
    </row>
    <row r="169" spans="1:22" ht="135.75" hidden="1" thickBot="1" x14ac:dyDescent="0.3">
      <c r="A169" s="260" t="s">
        <v>974</v>
      </c>
      <c r="B169" s="223" t="s">
        <v>704</v>
      </c>
      <c r="C169" s="228" t="s">
        <v>298</v>
      </c>
      <c r="D169" s="217" t="s">
        <v>466</v>
      </c>
      <c r="E169" s="220" t="s">
        <v>543</v>
      </c>
      <c r="F169" s="217" t="s">
        <v>968</v>
      </c>
      <c r="G169" s="255" t="s">
        <v>969</v>
      </c>
      <c r="H169" s="255" t="s">
        <v>969</v>
      </c>
      <c r="I169" s="263" t="s">
        <v>1010</v>
      </c>
      <c r="J169" s="244"/>
      <c r="K169" s="241"/>
      <c r="M169" s="282"/>
      <c r="N169" s="279"/>
      <c r="P169" s="286"/>
      <c r="Q169" s="284"/>
      <c r="S169" s="290"/>
      <c r="T169" s="288"/>
      <c r="V169" s="250"/>
    </row>
    <row r="170" spans="1:22" ht="60.75" hidden="1" thickBot="1" x14ac:dyDescent="0.3">
      <c r="A170" s="260" t="s">
        <v>974</v>
      </c>
      <c r="B170" s="223" t="s">
        <v>704</v>
      </c>
      <c r="C170" s="228" t="s">
        <v>299</v>
      </c>
      <c r="D170" s="217" t="s">
        <v>466</v>
      </c>
      <c r="E170" s="220" t="s">
        <v>546</v>
      </c>
      <c r="F170" s="217" t="s">
        <v>970</v>
      </c>
      <c r="G170" s="255" t="s">
        <v>971</v>
      </c>
      <c r="H170" s="255" t="s">
        <v>971</v>
      </c>
      <c r="I170" s="263" t="s">
        <v>1010</v>
      </c>
      <c r="J170" s="244"/>
      <c r="K170" s="241"/>
      <c r="M170" s="282"/>
      <c r="N170" s="279"/>
      <c r="P170" s="286"/>
      <c r="Q170" s="284"/>
      <c r="S170" s="290"/>
      <c r="T170" s="288"/>
      <c r="V170" s="250"/>
    </row>
    <row r="171" spans="1:22" ht="60.75" hidden="1" thickBot="1" x14ac:dyDescent="0.3">
      <c r="A171" s="260" t="s">
        <v>974</v>
      </c>
      <c r="B171" s="223" t="s">
        <v>704</v>
      </c>
      <c r="C171" s="228" t="s">
        <v>300</v>
      </c>
      <c r="D171" s="217" t="s">
        <v>466</v>
      </c>
      <c r="E171" s="220" t="s">
        <v>548</v>
      </c>
      <c r="F171" s="217" t="s">
        <v>972</v>
      </c>
      <c r="G171" s="217" t="s">
        <v>973</v>
      </c>
      <c r="H171" s="217" t="s">
        <v>973</v>
      </c>
      <c r="I171" s="263" t="s">
        <v>1010</v>
      </c>
      <c r="J171" s="244"/>
      <c r="K171" s="241"/>
      <c r="M171" s="282"/>
      <c r="N171" s="279"/>
      <c r="P171" s="286"/>
      <c r="Q171" s="284"/>
      <c r="S171" s="290"/>
      <c r="T171" s="288"/>
      <c r="V171" s="250"/>
    </row>
    <row r="172" spans="1:22" ht="61.5" hidden="1" thickTop="1" thickBot="1" x14ac:dyDescent="0.3">
      <c r="A172" s="260" t="s">
        <v>974</v>
      </c>
      <c r="B172" s="223" t="s">
        <v>152</v>
      </c>
      <c r="C172" s="228" t="s">
        <v>719</v>
      </c>
      <c r="D172" s="217" t="s">
        <v>466</v>
      </c>
      <c r="E172" s="213" t="s">
        <v>517</v>
      </c>
      <c r="F172" s="217" t="s">
        <v>975</v>
      </c>
      <c r="G172" s="217" t="s">
        <v>976</v>
      </c>
      <c r="H172" s="217" t="s">
        <v>977</v>
      </c>
      <c r="I172" s="263" t="s">
        <v>1010</v>
      </c>
      <c r="J172" s="244"/>
      <c r="K172" s="241"/>
      <c r="M172" s="282"/>
      <c r="N172" s="279"/>
      <c r="P172" s="286"/>
      <c r="Q172" s="284"/>
      <c r="S172" s="290"/>
      <c r="T172" s="288"/>
      <c r="V172" s="250"/>
    </row>
    <row r="173" spans="1:22" ht="61.5" hidden="1" thickTop="1" thickBot="1" x14ac:dyDescent="0.3">
      <c r="A173" s="260" t="s">
        <v>974</v>
      </c>
      <c r="B173" s="223" t="s">
        <v>152</v>
      </c>
      <c r="C173" s="228" t="s">
        <v>722</v>
      </c>
      <c r="D173" s="217" t="s">
        <v>466</v>
      </c>
      <c r="E173" s="213" t="s">
        <v>516</v>
      </c>
      <c r="F173" s="217" t="s">
        <v>978</v>
      </c>
      <c r="G173" s="217" t="s">
        <v>979</v>
      </c>
      <c r="H173" s="217" t="s">
        <v>980</v>
      </c>
      <c r="I173" s="263" t="s">
        <v>1010</v>
      </c>
      <c r="J173" s="244"/>
      <c r="K173" s="241"/>
      <c r="M173" s="282"/>
      <c r="N173" s="279"/>
      <c r="P173" s="286"/>
      <c r="Q173" s="284"/>
      <c r="S173" s="290"/>
      <c r="T173" s="288"/>
      <c r="V173" s="250"/>
    </row>
    <row r="174" spans="1:22" ht="45.75" hidden="1" thickBot="1" x14ac:dyDescent="0.3">
      <c r="A174" s="260" t="s">
        <v>974</v>
      </c>
      <c r="B174" s="223" t="s">
        <v>152</v>
      </c>
      <c r="C174" s="228" t="s">
        <v>723</v>
      </c>
      <c r="D174" s="217" t="s">
        <v>466</v>
      </c>
      <c r="E174" s="220" t="s">
        <v>535</v>
      </c>
      <c r="F174" s="228" t="s">
        <v>981</v>
      </c>
      <c r="G174" s="217" t="s">
        <v>982</v>
      </c>
      <c r="H174" s="217" t="s">
        <v>983</v>
      </c>
      <c r="I174" s="263" t="s">
        <v>1008</v>
      </c>
      <c r="J174" s="244"/>
      <c r="K174" s="241"/>
      <c r="M174" s="282"/>
      <c r="N174" s="279"/>
      <c r="P174" s="286"/>
      <c r="Q174" s="284"/>
      <c r="S174" s="290"/>
      <c r="T174" s="288"/>
      <c r="V174" s="250"/>
    </row>
    <row r="175" spans="1:22" ht="60.75" hidden="1" thickBot="1" x14ac:dyDescent="0.3">
      <c r="A175" s="260" t="s">
        <v>974</v>
      </c>
      <c r="B175" s="223" t="s">
        <v>730</v>
      </c>
      <c r="C175" s="228" t="s">
        <v>727</v>
      </c>
      <c r="D175" s="220" t="s">
        <v>466</v>
      </c>
      <c r="E175" s="220" t="s">
        <v>597</v>
      </c>
      <c r="F175" s="217" t="s">
        <v>984</v>
      </c>
      <c r="G175" s="217" t="s">
        <v>985</v>
      </c>
      <c r="H175" s="217" t="s">
        <v>986</v>
      </c>
      <c r="I175" s="263" t="s">
        <v>1010</v>
      </c>
      <c r="J175" s="244"/>
      <c r="K175" s="241"/>
      <c r="M175" s="282"/>
      <c r="N175" s="279"/>
      <c r="P175" s="286"/>
      <c r="Q175" s="284"/>
      <c r="S175" s="290"/>
      <c r="T175" s="288"/>
      <c r="V175" s="250"/>
    </row>
    <row r="176" spans="1:22" ht="46.5" hidden="1" thickTop="1" thickBot="1" x14ac:dyDescent="0.3">
      <c r="A176" s="260" t="s">
        <v>974</v>
      </c>
      <c r="B176" s="223" t="s">
        <v>730</v>
      </c>
      <c r="C176" s="228" t="s">
        <v>759</v>
      </c>
      <c r="D176" s="220" t="s">
        <v>466</v>
      </c>
      <c r="E176" s="273" t="s">
        <v>536</v>
      </c>
      <c r="F176" s="217" t="s">
        <v>987</v>
      </c>
      <c r="G176" s="217" t="s">
        <v>965</v>
      </c>
      <c r="H176" s="217" t="s">
        <v>988</v>
      </c>
      <c r="I176" s="263" t="s">
        <v>1010</v>
      </c>
      <c r="J176" s="244"/>
      <c r="K176" s="241"/>
      <c r="M176" s="282"/>
      <c r="N176" s="279"/>
      <c r="P176" s="286"/>
      <c r="Q176" s="284"/>
      <c r="S176" s="290"/>
      <c r="T176" s="288"/>
      <c r="V176" s="250"/>
    </row>
    <row r="177" spans="1:22" ht="45.75" hidden="1" thickBot="1" x14ac:dyDescent="0.3">
      <c r="A177" s="260" t="s">
        <v>1000</v>
      </c>
      <c r="B177" s="223" t="s">
        <v>704</v>
      </c>
      <c r="C177" s="228" t="s">
        <v>289</v>
      </c>
      <c r="D177" s="217" t="s">
        <v>466</v>
      </c>
      <c r="E177" s="220" t="s">
        <v>513</v>
      </c>
      <c r="F177" s="217"/>
      <c r="G177" s="217" t="s">
        <v>989</v>
      </c>
      <c r="H177" s="217" t="s">
        <v>990</v>
      </c>
      <c r="I177" s="263" t="s">
        <v>1010</v>
      </c>
      <c r="J177" s="244"/>
      <c r="K177" s="241"/>
      <c r="M177" s="282"/>
      <c r="N177" s="279"/>
      <c r="P177" s="286"/>
      <c r="Q177" s="284"/>
      <c r="S177" s="290"/>
      <c r="T177" s="288"/>
      <c r="V177" s="250"/>
    </row>
    <row r="178" spans="1:22" ht="90.75" hidden="1" thickBot="1" x14ac:dyDescent="0.3">
      <c r="A178" s="260" t="s">
        <v>1000</v>
      </c>
      <c r="B178" s="223" t="s">
        <v>704</v>
      </c>
      <c r="C178" s="228" t="s">
        <v>290</v>
      </c>
      <c r="D178" s="217" t="s">
        <v>466</v>
      </c>
      <c r="E178" s="220" t="s">
        <v>535</v>
      </c>
      <c r="F178" s="217"/>
      <c r="G178" s="217" t="s">
        <v>991</v>
      </c>
      <c r="H178" s="217" t="s">
        <v>992</v>
      </c>
      <c r="I178" s="263" t="s">
        <v>1010</v>
      </c>
      <c r="J178" s="244"/>
      <c r="K178" s="241"/>
      <c r="M178" s="282"/>
      <c r="N178" s="279"/>
      <c r="P178" s="286"/>
      <c r="Q178" s="284"/>
      <c r="S178" s="290"/>
      <c r="T178" s="288"/>
      <c r="V178" s="250"/>
    </row>
    <row r="179" spans="1:22" ht="120.75" hidden="1" thickBot="1" x14ac:dyDescent="0.3">
      <c r="A179" s="260" t="s">
        <v>1000</v>
      </c>
      <c r="B179" s="223" t="s">
        <v>704</v>
      </c>
      <c r="C179" s="228" t="s">
        <v>291</v>
      </c>
      <c r="D179" s="217" t="s">
        <v>466</v>
      </c>
      <c r="E179" s="220" t="s">
        <v>536</v>
      </c>
      <c r="F179" s="217"/>
      <c r="G179" s="217" t="s">
        <v>993</v>
      </c>
      <c r="H179" s="217" t="s">
        <v>994</v>
      </c>
      <c r="I179" s="263" t="s">
        <v>1010</v>
      </c>
      <c r="J179" s="244"/>
      <c r="K179" s="241"/>
      <c r="M179" s="282"/>
      <c r="N179" s="279"/>
      <c r="P179" s="286"/>
      <c r="Q179" s="284"/>
      <c r="S179" s="290"/>
      <c r="T179" s="288"/>
      <c r="V179" s="250"/>
    </row>
    <row r="180" spans="1:22" ht="45.75" hidden="1" thickBot="1" x14ac:dyDescent="0.3">
      <c r="A180" s="260" t="s">
        <v>1000</v>
      </c>
      <c r="B180" s="223" t="s">
        <v>704</v>
      </c>
      <c r="C180" s="228" t="s">
        <v>292</v>
      </c>
      <c r="D180" s="217" t="s">
        <v>466</v>
      </c>
      <c r="E180" s="220" t="s">
        <v>543</v>
      </c>
      <c r="F180" s="217"/>
      <c r="G180" s="217" t="s">
        <v>995</v>
      </c>
      <c r="H180" s="217" t="s">
        <v>996</v>
      </c>
      <c r="I180" s="263" t="s">
        <v>1010</v>
      </c>
      <c r="J180" s="244"/>
      <c r="K180" s="241"/>
      <c r="M180" s="282"/>
      <c r="N180" s="279"/>
      <c r="P180" s="286"/>
      <c r="Q180" s="284"/>
      <c r="S180" s="290"/>
      <c r="T180" s="288"/>
      <c r="V180" s="250"/>
    </row>
    <row r="181" spans="1:22" ht="60.75" hidden="1" thickBot="1" x14ac:dyDescent="0.3">
      <c r="A181" s="260" t="s">
        <v>1000</v>
      </c>
      <c r="B181" s="223" t="s">
        <v>704</v>
      </c>
      <c r="C181" s="228" t="s">
        <v>293</v>
      </c>
      <c r="D181" s="217" t="s">
        <v>466</v>
      </c>
      <c r="E181" s="220" t="s">
        <v>544</v>
      </c>
      <c r="F181" s="217"/>
      <c r="G181" s="217" t="s">
        <v>997</v>
      </c>
      <c r="H181" s="217" t="s">
        <v>998</v>
      </c>
      <c r="I181" s="263" t="s">
        <v>1010</v>
      </c>
      <c r="J181" s="244"/>
      <c r="K181" s="241"/>
      <c r="M181" s="282"/>
      <c r="N181" s="279"/>
      <c r="P181" s="286"/>
      <c r="Q181" s="284"/>
      <c r="S181" s="290"/>
      <c r="T181" s="288"/>
      <c r="V181" s="250"/>
    </row>
    <row r="182" spans="1:22" ht="45.75" hidden="1" thickBot="1" x14ac:dyDescent="0.3">
      <c r="A182" s="260" t="s">
        <v>1000</v>
      </c>
      <c r="B182" s="223" t="s">
        <v>704</v>
      </c>
      <c r="C182" s="228" t="s">
        <v>294</v>
      </c>
      <c r="D182" s="217" t="s">
        <v>466</v>
      </c>
      <c r="E182" s="220" t="s">
        <v>546</v>
      </c>
      <c r="F182" s="217"/>
      <c r="G182" s="217" t="s">
        <v>997</v>
      </c>
      <c r="H182" s="217" t="s">
        <v>999</v>
      </c>
      <c r="I182" s="263" t="s">
        <v>1010</v>
      </c>
      <c r="J182" s="244"/>
      <c r="K182" s="241"/>
      <c r="M182" s="282"/>
      <c r="N182" s="279"/>
      <c r="P182" s="286"/>
      <c r="Q182" s="284"/>
      <c r="S182" s="290"/>
      <c r="T182" s="288"/>
      <c r="V182" s="250"/>
    </row>
    <row r="183" spans="1:22" ht="75.75" hidden="1" thickBot="1" x14ac:dyDescent="0.3">
      <c r="A183" s="260" t="s">
        <v>1000</v>
      </c>
      <c r="B183" s="223" t="s">
        <v>152</v>
      </c>
      <c r="C183" s="228" t="s">
        <v>313</v>
      </c>
      <c r="D183" s="217" t="s">
        <v>466</v>
      </c>
      <c r="E183" s="220" t="s">
        <v>515</v>
      </c>
      <c r="F183" s="217"/>
      <c r="G183" s="217" t="s">
        <v>1001</v>
      </c>
      <c r="H183" s="217" t="s">
        <v>1002</v>
      </c>
      <c r="I183" s="263" t="s">
        <v>1010</v>
      </c>
      <c r="J183" s="244"/>
      <c r="K183" s="241"/>
      <c r="M183" s="282"/>
      <c r="N183" s="279"/>
      <c r="P183" s="286"/>
      <c r="Q183" s="284"/>
      <c r="S183" s="290"/>
      <c r="T183" s="288"/>
      <c r="V183" s="250"/>
    </row>
    <row r="184" spans="1:22" ht="75.75" hidden="1" thickBot="1" x14ac:dyDescent="0.3">
      <c r="A184" s="260" t="s">
        <v>1000</v>
      </c>
      <c r="B184" s="223" t="s">
        <v>152</v>
      </c>
      <c r="C184" s="228" t="s">
        <v>314</v>
      </c>
      <c r="D184" s="217" t="s">
        <v>466</v>
      </c>
      <c r="E184" s="220" t="s">
        <v>515</v>
      </c>
      <c r="F184" s="217"/>
      <c r="G184" s="217" t="s">
        <v>1003</v>
      </c>
      <c r="H184" s="217" t="s">
        <v>1004</v>
      </c>
      <c r="I184" s="263" t="s">
        <v>1010</v>
      </c>
      <c r="J184" s="244"/>
      <c r="K184" s="241"/>
      <c r="M184" s="282"/>
      <c r="N184" s="279"/>
      <c r="P184" s="286"/>
      <c r="Q184" s="284"/>
      <c r="S184" s="290"/>
      <c r="T184" s="288"/>
      <c r="V184" s="250"/>
    </row>
    <row r="185" spans="1:22" ht="75.75" hidden="1" thickBot="1" x14ac:dyDescent="0.3">
      <c r="A185" s="260" t="s">
        <v>1035</v>
      </c>
      <c r="B185" s="223" t="s">
        <v>704</v>
      </c>
      <c r="C185" s="228" t="s">
        <v>283</v>
      </c>
      <c r="D185" s="217" t="s">
        <v>466</v>
      </c>
      <c r="E185" s="220" t="s">
        <v>533</v>
      </c>
      <c r="F185" s="217"/>
      <c r="G185" s="220" t="s">
        <v>1036</v>
      </c>
      <c r="H185" s="217" t="s">
        <v>1037</v>
      </c>
      <c r="I185" s="263" t="s">
        <v>1008</v>
      </c>
      <c r="J185" s="244"/>
      <c r="K185" s="241"/>
      <c r="M185" s="282"/>
      <c r="N185" s="279"/>
      <c r="P185" s="286"/>
      <c r="Q185" s="284"/>
      <c r="S185" s="290"/>
      <c r="T185" s="288"/>
      <c r="V185" s="250"/>
    </row>
    <row r="186" spans="1:22" ht="30.75" hidden="1" thickBot="1" x14ac:dyDescent="0.3">
      <c r="A186" s="260" t="s">
        <v>1035</v>
      </c>
      <c r="B186" s="223" t="s">
        <v>704</v>
      </c>
      <c r="C186" s="228" t="s">
        <v>284</v>
      </c>
      <c r="D186" s="217" t="s">
        <v>466</v>
      </c>
      <c r="E186" s="220" t="s">
        <v>532</v>
      </c>
      <c r="F186" s="217"/>
      <c r="G186" s="220" t="s">
        <v>1036</v>
      </c>
      <c r="H186" s="217" t="s">
        <v>1038</v>
      </c>
      <c r="I186" s="263" t="s">
        <v>1009</v>
      </c>
      <c r="J186" s="244"/>
      <c r="K186" s="241"/>
      <c r="M186" s="282"/>
      <c r="N186" s="279"/>
      <c r="P186" s="286"/>
      <c r="Q186" s="284"/>
      <c r="S186" s="290"/>
      <c r="T186" s="288"/>
      <c r="V186" s="250"/>
    </row>
    <row r="187" spans="1:22" ht="60.75" hidden="1" thickBot="1" x14ac:dyDescent="0.3">
      <c r="A187" s="260" t="s">
        <v>1035</v>
      </c>
      <c r="B187" s="223" t="s">
        <v>704</v>
      </c>
      <c r="C187" s="228" t="s">
        <v>285</v>
      </c>
      <c r="D187" s="217" t="s">
        <v>466</v>
      </c>
      <c r="E187" s="220" t="s">
        <v>535</v>
      </c>
      <c r="F187" s="217"/>
      <c r="G187" s="220" t="s">
        <v>1036</v>
      </c>
      <c r="H187" s="255" t="s">
        <v>1039</v>
      </c>
      <c r="I187" s="263" t="s">
        <v>1008</v>
      </c>
      <c r="J187" s="244"/>
      <c r="K187" s="241"/>
      <c r="M187" s="282"/>
      <c r="N187" s="279"/>
      <c r="P187" s="286"/>
      <c r="Q187" s="284"/>
      <c r="S187" s="290"/>
      <c r="T187" s="288"/>
      <c r="V187" s="250"/>
    </row>
    <row r="188" spans="1:22" ht="30.75" hidden="1" thickBot="1" x14ac:dyDescent="0.3">
      <c r="A188" s="260" t="s">
        <v>1035</v>
      </c>
      <c r="B188" s="223" t="s">
        <v>704</v>
      </c>
      <c r="C188" s="228" t="s">
        <v>286</v>
      </c>
      <c r="D188" s="217" t="s">
        <v>466</v>
      </c>
      <c r="E188" s="220" t="s">
        <v>530</v>
      </c>
      <c r="F188" s="217"/>
      <c r="G188" s="220" t="s">
        <v>1036</v>
      </c>
      <c r="H188" s="217" t="s">
        <v>1040</v>
      </c>
      <c r="I188" s="263" t="s">
        <v>1009</v>
      </c>
      <c r="J188" s="244"/>
      <c r="K188" s="241"/>
      <c r="M188" s="282"/>
      <c r="N188" s="279"/>
      <c r="P188" s="286"/>
      <c r="Q188" s="284"/>
      <c r="S188" s="290"/>
      <c r="T188" s="288"/>
      <c r="V188" s="250"/>
    </row>
    <row r="189" spans="1:22" ht="45.75" hidden="1" thickBot="1" x14ac:dyDescent="0.3">
      <c r="A189" s="260" t="s">
        <v>1035</v>
      </c>
      <c r="B189" s="223" t="s">
        <v>704</v>
      </c>
      <c r="C189" s="228" t="s">
        <v>287</v>
      </c>
      <c r="D189" s="217" t="s">
        <v>466</v>
      </c>
      <c r="E189" s="220" t="s">
        <v>541</v>
      </c>
      <c r="F189" s="217"/>
      <c r="G189" s="220" t="s">
        <v>1036</v>
      </c>
      <c r="H189" s="217" t="s">
        <v>1041</v>
      </c>
      <c r="I189" s="263" t="s">
        <v>1008</v>
      </c>
      <c r="J189" s="244"/>
      <c r="K189" s="241"/>
      <c r="M189" s="282"/>
      <c r="N189" s="279"/>
      <c r="P189" s="286"/>
      <c r="Q189" s="284"/>
      <c r="S189" s="290"/>
      <c r="T189" s="288"/>
      <c r="V189" s="250"/>
    </row>
    <row r="190" spans="1:22" ht="45.75" hidden="1" thickBot="1" x14ac:dyDescent="0.3">
      <c r="A190" s="260" t="s">
        <v>1035</v>
      </c>
      <c r="B190" s="223" t="s">
        <v>714</v>
      </c>
      <c r="C190" s="228" t="s">
        <v>713</v>
      </c>
      <c r="D190" s="217" t="s">
        <v>466</v>
      </c>
      <c r="E190" s="220" t="s">
        <v>592</v>
      </c>
      <c r="F190" s="217" t="s">
        <v>1042</v>
      </c>
      <c r="G190" s="217" t="s">
        <v>1043</v>
      </c>
      <c r="H190" s="217" t="s">
        <v>1044</v>
      </c>
      <c r="I190" s="263" t="s">
        <v>1009</v>
      </c>
      <c r="J190" s="244"/>
      <c r="K190" s="241"/>
      <c r="M190" s="282"/>
      <c r="N190" s="279"/>
      <c r="P190" s="286"/>
      <c r="Q190" s="284"/>
      <c r="S190" s="290"/>
      <c r="T190" s="288"/>
      <c r="V190" s="250"/>
    </row>
    <row r="191" spans="1:22" ht="60.75" hidden="1" thickBot="1" x14ac:dyDescent="0.3">
      <c r="A191" s="260" t="s">
        <v>1035</v>
      </c>
      <c r="B191" s="223" t="s">
        <v>730</v>
      </c>
      <c r="C191" s="228" t="s">
        <v>727</v>
      </c>
      <c r="D191" s="220" t="s">
        <v>466</v>
      </c>
      <c r="E191" s="220" t="s">
        <v>544</v>
      </c>
      <c r="F191" s="217"/>
      <c r="G191" s="220" t="s">
        <v>1036</v>
      </c>
      <c r="H191" s="217" t="s">
        <v>1045</v>
      </c>
      <c r="I191" s="263" t="s">
        <v>1008</v>
      </c>
      <c r="J191" s="244"/>
      <c r="K191" s="241"/>
      <c r="M191" s="282"/>
      <c r="N191" s="279"/>
      <c r="P191" s="286"/>
      <c r="Q191" s="284"/>
      <c r="S191" s="290"/>
      <c r="T191" s="288"/>
      <c r="V191" s="250"/>
    </row>
    <row r="192" spans="1:22" ht="60.75" hidden="1" thickBot="1" x14ac:dyDescent="0.3">
      <c r="A192" s="260" t="s">
        <v>1035</v>
      </c>
      <c r="B192" s="223" t="s">
        <v>730</v>
      </c>
      <c r="C192" s="228" t="s">
        <v>759</v>
      </c>
      <c r="D192" s="220" t="s">
        <v>466</v>
      </c>
      <c r="E192" s="220" t="s">
        <v>516</v>
      </c>
      <c r="F192" s="217"/>
      <c r="G192" s="220" t="s">
        <v>1036</v>
      </c>
      <c r="H192" s="217" t="s">
        <v>1046</v>
      </c>
      <c r="I192" s="263" t="s">
        <v>1009</v>
      </c>
      <c r="J192" s="244"/>
      <c r="K192" s="241"/>
      <c r="M192" s="282"/>
      <c r="N192" s="279"/>
      <c r="P192" s="286"/>
      <c r="Q192" s="284"/>
      <c r="S192" s="290"/>
      <c r="T192" s="288"/>
      <c r="V192" s="250"/>
    </row>
    <row r="193" spans="1:22" ht="45.75" hidden="1" thickBot="1" x14ac:dyDescent="0.3">
      <c r="A193" s="260" t="s">
        <v>1051</v>
      </c>
      <c r="B193" s="223" t="s">
        <v>704</v>
      </c>
      <c r="C193" s="221" t="s">
        <v>282</v>
      </c>
      <c r="D193" s="220" t="s">
        <v>466</v>
      </c>
      <c r="E193" s="220" t="s">
        <v>525</v>
      </c>
      <c r="F193" s="221" t="s">
        <v>666</v>
      </c>
      <c r="G193" s="220" t="s">
        <v>1052</v>
      </c>
      <c r="H193" s="220" t="s">
        <v>1053</v>
      </c>
      <c r="I193" s="263" t="s">
        <v>1008</v>
      </c>
      <c r="J193" s="244"/>
      <c r="K193" s="241"/>
      <c r="M193" s="282"/>
      <c r="N193" s="279"/>
      <c r="P193" s="286"/>
      <c r="Q193" s="284"/>
      <c r="S193" s="290"/>
      <c r="T193" s="288"/>
      <c r="V193" s="250"/>
    </row>
    <row r="194" spans="1:22" ht="135.75" hidden="1" thickBot="1" x14ac:dyDescent="0.3">
      <c r="A194" s="260" t="s">
        <v>1051</v>
      </c>
      <c r="B194" s="223" t="s">
        <v>704</v>
      </c>
      <c r="C194" s="221" t="s">
        <v>283</v>
      </c>
      <c r="D194" s="217" t="s">
        <v>466</v>
      </c>
      <c r="E194" s="214" t="s">
        <v>528</v>
      </c>
      <c r="F194" s="221" t="s">
        <v>666</v>
      </c>
      <c r="G194" s="217" t="s">
        <v>1054</v>
      </c>
      <c r="H194" s="217" t="s">
        <v>1055</v>
      </c>
      <c r="I194" s="263" t="s">
        <v>1008</v>
      </c>
      <c r="J194" s="244"/>
      <c r="K194" s="241"/>
      <c r="M194" s="282"/>
      <c r="N194" s="279"/>
      <c r="P194" s="286"/>
      <c r="Q194" s="284"/>
      <c r="S194" s="290"/>
      <c r="T194" s="288"/>
      <c r="V194" s="250"/>
    </row>
    <row r="195" spans="1:22" ht="105.75" hidden="1" thickBot="1" x14ac:dyDescent="0.3">
      <c r="A195" s="260" t="s">
        <v>1051</v>
      </c>
      <c r="B195" s="223" t="s">
        <v>704</v>
      </c>
      <c r="C195" s="221" t="s">
        <v>284</v>
      </c>
      <c r="D195" s="217" t="s">
        <v>466</v>
      </c>
      <c r="E195" s="220" t="s">
        <v>529</v>
      </c>
      <c r="F195" s="221" t="s">
        <v>666</v>
      </c>
      <c r="G195" s="217" t="s">
        <v>1056</v>
      </c>
      <c r="H195" s="217" t="s">
        <v>1218</v>
      </c>
      <c r="I195" s="263" t="s">
        <v>1010</v>
      </c>
      <c r="J195" s="244"/>
      <c r="K195" s="241"/>
      <c r="M195" s="282"/>
      <c r="N195" s="279"/>
      <c r="P195" s="286"/>
      <c r="Q195" s="284"/>
      <c r="S195" s="290"/>
      <c r="T195" s="288"/>
      <c r="V195" s="250"/>
    </row>
    <row r="196" spans="1:22" ht="180.75" hidden="1" thickBot="1" x14ac:dyDescent="0.3">
      <c r="A196" s="260" t="s">
        <v>1051</v>
      </c>
      <c r="B196" s="223" t="s">
        <v>704</v>
      </c>
      <c r="C196" s="221" t="s">
        <v>285</v>
      </c>
      <c r="D196" s="217" t="s">
        <v>466</v>
      </c>
      <c r="E196" s="220" t="s">
        <v>535</v>
      </c>
      <c r="F196" s="221" t="s">
        <v>666</v>
      </c>
      <c r="G196" s="217" t="s">
        <v>1057</v>
      </c>
      <c r="H196" s="217" t="s">
        <v>1058</v>
      </c>
      <c r="I196" s="263" t="s">
        <v>1010</v>
      </c>
      <c r="J196" s="244"/>
      <c r="K196" s="241"/>
      <c r="M196" s="282"/>
      <c r="N196" s="279"/>
      <c r="P196" s="286"/>
      <c r="Q196" s="284"/>
      <c r="S196" s="290"/>
      <c r="T196" s="288"/>
      <c r="V196" s="250"/>
    </row>
    <row r="197" spans="1:22" ht="75.75" hidden="1" thickBot="1" x14ac:dyDescent="0.3">
      <c r="A197" s="260" t="s">
        <v>1051</v>
      </c>
      <c r="B197" s="223" t="s">
        <v>704</v>
      </c>
      <c r="C197" s="221" t="s">
        <v>286</v>
      </c>
      <c r="D197" s="217" t="s">
        <v>466</v>
      </c>
      <c r="E197" s="220" t="s">
        <v>567</v>
      </c>
      <c r="F197" s="221" t="s">
        <v>666</v>
      </c>
      <c r="G197" s="217" t="s">
        <v>1059</v>
      </c>
      <c r="H197" s="217" t="s">
        <v>1060</v>
      </c>
      <c r="I197" s="263" t="s">
        <v>1008</v>
      </c>
      <c r="J197" s="244"/>
      <c r="K197" s="241"/>
      <c r="M197" s="282"/>
      <c r="N197" s="279"/>
      <c r="P197" s="286"/>
      <c r="Q197" s="284"/>
      <c r="S197" s="290"/>
      <c r="T197" s="288"/>
      <c r="V197" s="250"/>
    </row>
    <row r="198" spans="1:22" ht="75.75" hidden="1" thickBot="1" x14ac:dyDescent="0.3">
      <c r="A198" s="260" t="s">
        <v>1051</v>
      </c>
      <c r="B198" s="223" t="s">
        <v>704</v>
      </c>
      <c r="C198" s="221" t="s">
        <v>287</v>
      </c>
      <c r="D198" s="217" t="s">
        <v>466</v>
      </c>
      <c r="E198" s="220" t="s">
        <v>526</v>
      </c>
      <c r="F198" s="221" t="s">
        <v>666</v>
      </c>
      <c r="G198" s="217" t="s">
        <v>1061</v>
      </c>
      <c r="H198" s="217" t="s">
        <v>1062</v>
      </c>
      <c r="I198" s="263" t="s">
        <v>1008</v>
      </c>
      <c r="J198" s="244"/>
      <c r="K198" s="241"/>
      <c r="M198" s="282"/>
      <c r="N198" s="279"/>
      <c r="P198" s="286"/>
      <c r="Q198" s="284"/>
      <c r="S198" s="290"/>
      <c r="T198" s="288"/>
      <c r="V198" s="250"/>
    </row>
    <row r="199" spans="1:22" ht="60.75" hidden="1" thickBot="1" x14ac:dyDescent="0.3">
      <c r="A199" s="260" t="s">
        <v>1063</v>
      </c>
      <c r="B199" s="223" t="s">
        <v>730</v>
      </c>
      <c r="C199" s="274" t="s">
        <v>448</v>
      </c>
      <c r="D199" s="259" t="s">
        <v>466</v>
      </c>
      <c r="E199" s="258" t="s">
        <v>516</v>
      </c>
      <c r="F199" s="259" t="s">
        <v>1065</v>
      </c>
      <c r="G199" s="259" t="s">
        <v>1066</v>
      </c>
      <c r="H199" s="259" t="s">
        <v>1067</v>
      </c>
      <c r="I199" s="263" t="s">
        <v>1008</v>
      </c>
      <c r="J199" s="244"/>
      <c r="K199" s="241"/>
      <c r="M199" s="282"/>
      <c r="N199" s="279"/>
      <c r="P199" s="286"/>
      <c r="Q199" s="284"/>
      <c r="S199" s="290"/>
      <c r="T199" s="288"/>
      <c r="V199" s="250"/>
    </row>
    <row r="200" spans="1:22" ht="75.75" hidden="1" thickBot="1" x14ac:dyDescent="0.3">
      <c r="A200" s="260" t="s">
        <v>1063</v>
      </c>
      <c r="B200" s="223" t="s">
        <v>730</v>
      </c>
      <c r="C200" s="274" t="s">
        <v>449</v>
      </c>
      <c r="D200" s="259" t="s">
        <v>466</v>
      </c>
      <c r="E200" s="258" t="s">
        <v>518</v>
      </c>
      <c r="F200" s="259" t="s">
        <v>1068</v>
      </c>
      <c r="G200" s="259" t="s">
        <v>1219</v>
      </c>
      <c r="H200" s="259" t="s">
        <v>1069</v>
      </c>
      <c r="I200" s="263" t="s">
        <v>1008</v>
      </c>
      <c r="J200" s="244"/>
      <c r="K200" s="241"/>
      <c r="M200" s="282"/>
      <c r="N200" s="279"/>
      <c r="P200" s="286"/>
      <c r="Q200" s="284"/>
      <c r="S200" s="290"/>
      <c r="T200" s="288"/>
      <c r="V200" s="250"/>
    </row>
    <row r="201" spans="1:22" ht="45.75" hidden="1" thickBot="1" x14ac:dyDescent="0.3">
      <c r="A201" s="260" t="s">
        <v>1063</v>
      </c>
      <c r="B201" s="223" t="s">
        <v>730</v>
      </c>
      <c r="C201" s="274" t="s">
        <v>450</v>
      </c>
      <c r="D201" s="259" t="s">
        <v>466</v>
      </c>
      <c r="E201" s="258" t="s">
        <v>519</v>
      </c>
      <c r="F201" s="259" t="s">
        <v>1070</v>
      </c>
      <c r="G201" s="259" t="s">
        <v>1064</v>
      </c>
      <c r="H201" s="259" t="s">
        <v>1071</v>
      </c>
      <c r="I201" s="263" t="s">
        <v>1008</v>
      </c>
      <c r="J201" s="244"/>
      <c r="K201" s="241"/>
      <c r="M201" s="282"/>
      <c r="N201" s="279"/>
      <c r="P201" s="286"/>
      <c r="Q201" s="284"/>
      <c r="S201" s="290"/>
      <c r="T201" s="288"/>
      <c r="V201" s="250"/>
    </row>
    <row r="202" spans="1:22" ht="60.75" hidden="1" thickBot="1" x14ac:dyDescent="0.3">
      <c r="A202" s="260" t="s">
        <v>1072</v>
      </c>
      <c r="B202" s="223" t="s">
        <v>704</v>
      </c>
      <c r="C202" s="228" t="s">
        <v>295</v>
      </c>
      <c r="D202" s="217" t="s">
        <v>466</v>
      </c>
      <c r="E202" s="220" t="s">
        <v>516</v>
      </c>
      <c r="F202" s="217" t="s">
        <v>1074</v>
      </c>
      <c r="G202" s="217" t="s">
        <v>1075</v>
      </c>
      <c r="H202" s="228" t="s">
        <v>1076</v>
      </c>
      <c r="I202" s="263" t="s">
        <v>1008</v>
      </c>
      <c r="J202" s="244"/>
      <c r="K202" s="241"/>
      <c r="M202" s="282"/>
      <c r="N202" s="279"/>
      <c r="P202" s="286"/>
      <c r="Q202" s="284"/>
      <c r="S202" s="290"/>
      <c r="T202" s="288"/>
      <c r="V202" s="250"/>
    </row>
    <row r="203" spans="1:22" ht="30.75" hidden="1" thickBot="1" x14ac:dyDescent="0.3">
      <c r="A203" s="260" t="s">
        <v>1072</v>
      </c>
      <c r="B203" s="223" t="s">
        <v>704</v>
      </c>
      <c r="C203" s="228" t="s">
        <v>296</v>
      </c>
      <c r="D203" s="217" t="s">
        <v>466</v>
      </c>
      <c r="E203" s="220" t="s">
        <v>518</v>
      </c>
      <c r="F203" s="217" t="s">
        <v>1077</v>
      </c>
      <c r="G203" s="217" t="s">
        <v>1073</v>
      </c>
      <c r="H203" s="228" t="s">
        <v>1078</v>
      </c>
      <c r="I203" s="263" t="s">
        <v>1008</v>
      </c>
      <c r="J203" s="244"/>
      <c r="K203" s="241"/>
      <c r="M203" s="282"/>
      <c r="N203" s="279"/>
      <c r="P203" s="286"/>
      <c r="Q203" s="284"/>
      <c r="S203" s="290"/>
      <c r="T203" s="288"/>
      <c r="V203" s="250"/>
    </row>
    <row r="204" spans="1:22" ht="45.75" hidden="1" thickBot="1" x14ac:dyDescent="0.3">
      <c r="A204" s="260" t="s">
        <v>1072</v>
      </c>
      <c r="B204" s="223" t="s">
        <v>704</v>
      </c>
      <c r="C204" s="228" t="s">
        <v>297</v>
      </c>
      <c r="D204" s="217" t="s">
        <v>466</v>
      </c>
      <c r="E204" s="220" t="s">
        <v>519</v>
      </c>
      <c r="F204" s="217" t="s">
        <v>1079</v>
      </c>
      <c r="G204" s="217" t="s">
        <v>1073</v>
      </c>
      <c r="H204" s="228" t="s">
        <v>1080</v>
      </c>
      <c r="I204" s="263" t="s">
        <v>1008</v>
      </c>
      <c r="J204" s="244"/>
      <c r="K204" s="241"/>
      <c r="M204" s="282"/>
      <c r="N204" s="279"/>
      <c r="P204" s="286"/>
      <c r="Q204" s="284"/>
      <c r="S204" s="290"/>
      <c r="T204" s="288"/>
      <c r="V204" s="250"/>
    </row>
    <row r="205" spans="1:22" ht="150.75" hidden="1" thickBot="1" x14ac:dyDescent="0.3">
      <c r="A205" s="260" t="s">
        <v>1072</v>
      </c>
      <c r="B205" s="223" t="s">
        <v>704</v>
      </c>
      <c r="C205" s="228" t="s">
        <v>298</v>
      </c>
      <c r="D205" s="217" t="s">
        <v>466</v>
      </c>
      <c r="E205" s="220" t="s">
        <v>525</v>
      </c>
      <c r="F205" s="217" t="s">
        <v>1081</v>
      </c>
      <c r="G205" s="217" t="s">
        <v>1082</v>
      </c>
      <c r="H205" s="228" t="s">
        <v>1083</v>
      </c>
      <c r="I205" s="263" t="s">
        <v>1010</v>
      </c>
      <c r="J205" s="244"/>
      <c r="K205" s="241"/>
      <c r="M205" s="282"/>
      <c r="N205" s="279"/>
      <c r="P205" s="286"/>
      <c r="Q205" s="284"/>
      <c r="S205" s="290"/>
      <c r="T205" s="288"/>
      <c r="V205" s="250"/>
    </row>
    <row r="206" spans="1:22" ht="60.75" hidden="1" thickBot="1" x14ac:dyDescent="0.3">
      <c r="A206" s="260" t="s">
        <v>1072</v>
      </c>
      <c r="B206" s="223" t="s">
        <v>704</v>
      </c>
      <c r="C206" s="228" t="s">
        <v>299</v>
      </c>
      <c r="D206" s="217" t="s">
        <v>466</v>
      </c>
      <c r="E206" s="220" t="s">
        <v>527</v>
      </c>
      <c r="F206" s="217" t="s">
        <v>1084</v>
      </c>
      <c r="G206" s="217" t="s">
        <v>1085</v>
      </c>
      <c r="H206" s="228" t="s">
        <v>1086</v>
      </c>
      <c r="I206" s="263" t="s">
        <v>1010</v>
      </c>
      <c r="J206" s="244"/>
      <c r="K206" s="241"/>
      <c r="M206" s="282"/>
      <c r="N206" s="279"/>
      <c r="P206" s="286"/>
      <c r="Q206" s="284"/>
      <c r="S206" s="290"/>
      <c r="T206" s="288"/>
      <c r="V206" s="250"/>
    </row>
    <row r="207" spans="1:22" ht="105.75" hidden="1" thickBot="1" x14ac:dyDescent="0.3">
      <c r="A207" s="260" t="s">
        <v>1072</v>
      </c>
      <c r="B207" s="223" t="s">
        <v>704</v>
      </c>
      <c r="C207" s="228" t="s">
        <v>301</v>
      </c>
      <c r="D207" s="217" t="s">
        <v>466</v>
      </c>
      <c r="E207" s="220" t="s">
        <v>533</v>
      </c>
      <c r="F207" s="217" t="s">
        <v>1087</v>
      </c>
      <c r="G207" s="217" t="s">
        <v>1088</v>
      </c>
      <c r="H207" s="228" t="s">
        <v>1089</v>
      </c>
      <c r="I207" s="263" t="s">
        <v>1009</v>
      </c>
      <c r="J207" s="244"/>
      <c r="K207" s="241"/>
      <c r="M207" s="282"/>
      <c r="N207" s="279"/>
      <c r="P207" s="286"/>
      <c r="Q207" s="284"/>
      <c r="S207" s="290"/>
      <c r="T207" s="288"/>
      <c r="V207" s="250"/>
    </row>
    <row r="208" spans="1:22" ht="135.75" hidden="1" thickBot="1" x14ac:dyDescent="0.3">
      <c r="A208" s="260" t="s">
        <v>1072</v>
      </c>
      <c r="B208" s="223" t="s">
        <v>704</v>
      </c>
      <c r="C208" s="228" t="s">
        <v>302</v>
      </c>
      <c r="D208" s="217" t="s">
        <v>466</v>
      </c>
      <c r="E208" s="220" t="s">
        <v>535</v>
      </c>
      <c r="F208" s="217" t="s">
        <v>1090</v>
      </c>
      <c r="G208" s="217" t="s">
        <v>1091</v>
      </c>
      <c r="H208" s="228" t="s">
        <v>1092</v>
      </c>
      <c r="I208" s="263" t="s">
        <v>1008</v>
      </c>
      <c r="J208" s="244"/>
      <c r="K208" s="241"/>
      <c r="M208" s="282"/>
      <c r="N208" s="279"/>
      <c r="P208" s="286"/>
      <c r="Q208" s="284"/>
      <c r="S208" s="290"/>
      <c r="T208" s="288"/>
      <c r="V208" s="250"/>
    </row>
    <row r="209" spans="1:22" ht="75.75" hidden="1" thickBot="1" x14ac:dyDescent="0.3">
      <c r="A209" s="260" t="s">
        <v>1072</v>
      </c>
      <c r="B209" s="223" t="s">
        <v>704</v>
      </c>
      <c r="C209" s="228" t="s">
        <v>303</v>
      </c>
      <c r="D209" s="217" t="s">
        <v>466</v>
      </c>
      <c r="E209" s="220" t="s">
        <v>539</v>
      </c>
      <c r="F209" s="217" t="s">
        <v>1093</v>
      </c>
      <c r="G209" s="217" t="s">
        <v>1094</v>
      </c>
      <c r="H209" s="228" t="s">
        <v>1095</v>
      </c>
      <c r="I209" s="263" t="s">
        <v>1008</v>
      </c>
      <c r="J209" s="244"/>
      <c r="K209" s="241"/>
      <c r="M209" s="282"/>
      <c r="N209" s="279"/>
      <c r="P209" s="286"/>
      <c r="Q209" s="284"/>
      <c r="S209" s="290"/>
      <c r="T209" s="288"/>
      <c r="V209" s="250"/>
    </row>
    <row r="210" spans="1:22" ht="60.75" hidden="1" thickBot="1" x14ac:dyDescent="0.3">
      <c r="A210" s="260" t="s">
        <v>1072</v>
      </c>
      <c r="B210" s="223" t="s">
        <v>704</v>
      </c>
      <c r="C210" s="228" t="s">
        <v>304</v>
      </c>
      <c r="D210" s="217" t="s">
        <v>466</v>
      </c>
      <c r="E210" s="220" t="s">
        <v>546</v>
      </c>
      <c r="F210" s="217" t="s">
        <v>1096</v>
      </c>
      <c r="G210" s="217" t="s">
        <v>1097</v>
      </c>
      <c r="H210" s="228" t="s">
        <v>1095</v>
      </c>
      <c r="I210" s="263" t="s">
        <v>1008</v>
      </c>
      <c r="J210" s="244"/>
      <c r="K210" s="241"/>
      <c r="M210" s="282"/>
      <c r="N210" s="279"/>
      <c r="P210" s="286"/>
      <c r="Q210" s="284"/>
      <c r="S210" s="290"/>
      <c r="T210" s="288"/>
      <c r="V210" s="250"/>
    </row>
    <row r="211" spans="1:22" ht="45.75" hidden="1" thickBot="1" x14ac:dyDescent="0.3">
      <c r="A211" s="260" t="s">
        <v>1072</v>
      </c>
      <c r="B211" s="223" t="s">
        <v>704</v>
      </c>
      <c r="C211" s="228" t="s">
        <v>305</v>
      </c>
      <c r="D211" s="217" t="s">
        <v>466</v>
      </c>
      <c r="E211" s="220" t="s">
        <v>541</v>
      </c>
      <c r="F211" s="217" t="s">
        <v>1098</v>
      </c>
      <c r="G211" s="217" t="s">
        <v>1099</v>
      </c>
      <c r="H211" s="228" t="s">
        <v>1100</v>
      </c>
      <c r="I211" s="263" t="s">
        <v>1008</v>
      </c>
      <c r="J211" s="244"/>
      <c r="K211" s="241"/>
      <c r="M211" s="282"/>
      <c r="N211" s="279"/>
      <c r="P211" s="286"/>
      <c r="Q211" s="284"/>
      <c r="S211" s="290"/>
      <c r="T211" s="288"/>
      <c r="V211" s="250"/>
    </row>
    <row r="212" spans="1:22" ht="150.75" hidden="1" thickBot="1" x14ac:dyDescent="0.3">
      <c r="A212" s="260" t="s">
        <v>1101</v>
      </c>
      <c r="B212" s="223" t="s">
        <v>704</v>
      </c>
      <c r="C212" s="228" t="s">
        <v>294</v>
      </c>
      <c r="D212" s="217" t="s">
        <v>466</v>
      </c>
      <c r="E212" s="220" t="s">
        <v>515</v>
      </c>
      <c r="F212" s="217"/>
      <c r="G212" s="217" t="s">
        <v>1102</v>
      </c>
      <c r="H212" s="217" t="s">
        <v>1220</v>
      </c>
      <c r="I212" s="263" t="s">
        <v>1008</v>
      </c>
      <c r="J212" s="244"/>
      <c r="K212" s="241"/>
      <c r="M212" s="282"/>
      <c r="N212" s="279"/>
      <c r="P212" s="286"/>
      <c r="Q212" s="284"/>
      <c r="S212" s="290"/>
      <c r="T212" s="288"/>
      <c r="V212" s="250"/>
    </row>
    <row r="213" spans="1:22" ht="90.75" hidden="1" thickBot="1" x14ac:dyDescent="0.3">
      <c r="A213" s="260" t="s">
        <v>1101</v>
      </c>
      <c r="B213" s="223" t="s">
        <v>704</v>
      </c>
      <c r="C213" s="228" t="s">
        <v>295</v>
      </c>
      <c r="D213" s="217" t="s">
        <v>466</v>
      </c>
      <c r="E213" s="220" t="s">
        <v>516</v>
      </c>
      <c r="F213" s="217"/>
      <c r="G213" s="217" t="s">
        <v>1103</v>
      </c>
      <c r="H213" s="217" t="s">
        <v>1221</v>
      </c>
      <c r="I213" s="263" t="s">
        <v>1010</v>
      </c>
      <c r="J213" s="244"/>
      <c r="K213" s="241"/>
      <c r="M213" s="282"/>
      <c r="N213" s="279"/>
      <c r="P213" s="286"/>
      <c r="Q213" s="284"/>
      <c r="S213" s="290"/>
      <c r="T213" s="288"/>
      <c r="V213" s="250"/>
    </row>
    <row r="214" spans="1:22" ht="45.75" hidden="1" thickBot="1" x14ac:dyDescent="0.3">
      <c r="A214" s="260" t="s">
        <v>1101</v>
      </c>
      <c r="B214" s="223" t="s">
        <v>704</v>
      </c>
      <c r="C214" s="228" t="s">
        <v>296</v>
      </c>
      <c r="D214" s="217" t="s">
        <v>466</v>
      </c>
      <c r="E214" s="220" t="s">
        <v>517</v>
      </c>
      <c r="F214" s="217"/>
      <c r="G214" s="217" t="s">
        <v>1104</v>
      </c>
      <c r="H214" s="217" t="s">
        <v>1222</v>
      </c>
      <c r="I214" s="263" t="s">
        <v>1008</v>
      </c>
      <c r="J214" s="244"/>
      <c r="K214" s="241"/>
      <c r="M214" s="282"/>
      <c r="N214" s="279"/>
      <c r="P214" s="286"/>
      <c r="Q214" s="284"/>
      <c r="S214" s="290"/>
      <c r="T214" s="288"/>
      <c r="V214" s="250"/>
    </row>
    <row r="215" spans="1:22" ht="60.75" hidden="1" thickBot="1" x14ac:dyDescent="0.3">
      <c r="A215" s="260" t="s">
        <v>1101</v>
      </c>
      <c r="B215" s="223" t="s">
        <v>704</v>
      </c>
      <c r="C215" s="228" t="s">
        <v>297</v>
      </c>
      <c r="D215" s="217" t="s">
        <v>466</v>
      </c>
      <c r="E215" s="220" t="s">
        <v>518</v>
      </c>
      <c r="F215" s="217"/>
      <c r="G215" s="217" t="s">
        <v>1104</v>
      </c>
      <c r="H215" s="217" t="s">
        <v>1105</v>
      </c>
      <c r="I215" s="263" t="s">
        <v>1008</v>
      </c>
      <c r="J215" s="244"/>
      <c r="K215" s="241"/>
      <c r="M215" s="282"/>
      <c r="N215" s="279"/>
      <c r="P215" s="286"/>
      <c r="Q215" s="284"/>
      <c r="S215" s="290"/>
      <c r="T215" s="288"/>
      <c r="V215" s="250"/>
    </row>
    <row r="216" spans="1:22" ht="90.75" hidden="1" thickBot="1" x14ac:dyDescent="0.3">
      <c r="A216" s="260" t="s">
        <v>1101</v>
      </c>
      <c r="B216" s="223" t="s">
        <v>704</v>
      </c>
      <c r="C216" s="228" t="s">
        <v>298</v>
      </c>
      <c r="D216" s="217" t="s">
        <v>466</v>
      </c>
      <c r="E216" s="220" t="s">
        <v>524</v>
      </c>
      <c r="F216" s="217"/>
      <c r="G216" s="217" t="s">
        <v>1106</v>
      </c>
      <c r="H216" s="217" t="s">
        <v>1223</v>
      </c>
      <c r="I216" s="263" t="s">
        <v>1008</v>
      </c>
      <c r="J216" s="244"/>
      <c r="K216" s="241"/>
      <c r="M216" s="282"/>
      <c r="N216" s="279"/>
      <c r="P216" s="286"/>
      <c r="Q216" s="284"/>
      <c r="S216" s="290"/>
      <c r="T216" s="288"/>
      <c r="V216" s="250"/>
    </row>
    <row r="217" spans="1:22" ht="120.75" hidden="1" thickBot="1" x14ac:dyDescent="0.3">
      <c r="A217" s="260" t="s">
        <v>1101</v>
      </c>
      <c r="B217" s="223" t="s">
        <v>704</v>
      </c>
      <c r="C217" s="228" t="s">
        <v>299</v>
      </c>
      <c r="D217" s="217" t="s">
        <v>466</v>
      </c>
      <c r="E217" s="220" t="s">
        <v>525</v>
      </c>
      <c r="F217" s="217"/>
      <c r="G217" s="217" t="s">
        <v>1107</v>
      </c>
      <c r="H217" s="217" t="s">
        <v>1108</v>
      </c>
      <c r="I217" s="263" t="s">
        <v>1010</v>
      </c>
      <c r="J217" s="244"/>
      <c r="K217" s="241"/>
      <c r="M217" s="282"/>
      <c r="N217" s="279"/>
      <c r="P217" s="286"/>
      <c r="Q217" s="284"/>
      <c r="S217" s="290"/>
      <c r="T217" s="288"/>
      <c r="V217" s="250"/>
    </row>
    <row r="218" spans="1:22" ht="90.75" hidden="1" thickBot="1" x14ac:dyDescent="0.3">
      <c r="A218" s="260" t="s">
        <v>1101</v>
      </c>
      <c r="B218" s="223" t="s">
        <v>704</v>
      </c>
      <c r="C218" s="228" t="s">
        <v>300</v>
      </c>
      <c r="D218" s="217" t="s">
        <v>466</v>
      </c>
      <c r="E218" s="220" t="s">
        <v>527</v>
      </c>
      <c r="F218" s="217"/>
      <c r="G218" s="217" t="s">
        <v>1109</v>
      </c>
      <c r="H218" s="217" t="s">
        <v>1110</v>
      </c>
      <c r="I218" s="263" t="s">
        <v>1010</v>
      </c>
      <c r="J218" s="244"/>
      <c r="K218" s="241"/>
      <c r="M218" s="282"/>
      <c r="N218" s="279"/>
      <c r="P218" s="286"/>
      <c r="Q218" s="284"/>
      <c r="S218" s="290"/>
      <c r="T218" s="288"/>
      <c r="V218" s="250"/>
    </row>
    <row r="219" spans="1:22" ht="75.75" hidden="1" thickBot="1" x14ac:dyDescent="0.3">
      <c r="A219" s="260" t="s">
        <v>1101</v>
      </c>
      <c r="B219" s="223" t="s">
        <v>704</v>
      </c>
      <c r="C219" s="228" t="s">
        <v>301</v>
      </c>
      <c r="D219" s="217" t="s">
        <v>466</v>
      </c>
      <c r="E219" s="214" t="s">
        <v>528</v>
      </c>
      <c r="F219" s="217"/>
      <c r="G219" s="217" t="s">
        <v>1104</v>
      </c>
      <c r="H219" s="217" t="s">
        <v>1111</v>
      </c>
      <c r="I219" s="263" t="s">
        <v>1008</v>
      </c>
      <c r="J219" s="244"/>
      <c r="K219" s="241"/>
      <c r="M219" s="282"/>
      <c r="N219" s="279"/>
      <c r="P219" s="286"/>
      <c r="Q219" s="284"/>
      <c r="S219" s="290"/>
      <c r="T219" s="288"/>
      <c r="V219" s="250"/>
    </row>
    <row r="220" spans="1:22" ht="60.75" hidden="1" thickBot="1" x14ac:dyDescent="0.3">
      <c r="A220" s="260" t="s">
        <v>1101</v>
      </c>
      <c r="B220" s="223" t="s">
        <v>704</v>
      </c>
      <c r="C220" s="228" t="s">
        <v>302</v>
      </c>
      <c r="D220" s="217" t="s">
        <v>466</v>
      </c>
      <c r="E220" s="214" t="s">
        <v>531</v>
      </c>
      <c r="F220" s="217"/>
      <c r="G220" s="217" t="s">
        <v>1112</v>
      </c>
      <c r="H220" s="217" t="s">
        <v>1113</v>
      </c>
      <c r="I220" s="263" t="s">
        <v>1009</v>
      </c>
      <c r="J220" s="244"/>
      <c r="K220" s="241"/>
      <c r="M220" s="282"/>
      <c r="N220" s="279"/>
      <c r="P220" s="286"/>
      <c r="Q220" s="284"/>
      <c r="S220" s="290"/>
      <c r="T220" s="288"/>
      <c r="V220" s="250"/>
    </row>
    <row r="221" spans="1:22" ht="60.75" hidden="1" thickBot="1" x14ac:dyDescent="0.3">
      <c r="A221" s="260" t="s">
        <v>1101</v>
      </c>
      <c r="B221" s="223" t="s">
        <v>704</v>
      </c>
      <c r="C221" s="228" t="s">
        <v>303</v>
      </c>
      <c r="D221" s="217" t="s">
        <v>466</v>
      </c>
      <c r="E221" s="217" t="s">
        <v>532</v>
      </c>
      <c r="F221" s="217"/>
      <c r="G221" s="217" t="s">
        <v>1114</v>
      </c>
      <c r="H221" s="217" t="s">
        <v>1115</v>
      </c>
      <c r="I221" s="263" t="s">
        <v>1009</v>
      </c>
      <c r="J221" s="244"/>
      <c r="K221" s="241"/>
      <c r="M221" s="282"/>
      <c r="N221" s="279"/>
      <c r="P221" s="286"/>
      <c r="Q221" s="284"/>
      <c r="S221" s="290"/>
      <c r="T221" s="288"/>
      <c r="V221" s="250"/>
    </row>
    <row r="222" spans="1:22" ht="90.75" hidden="1" thickBot="1" x14ac:dyDescent="0.3">
      <c r="A222" s="260" t="s">
        <v>1101</v>
      </c>
      <c r="B222" s="223" t="s">
        <v>704</v>
      </c>
      <c r="C222" s="228" t="s">
        <v>304</v>
      </c>
      <c r="D222" s="217" t="s">
        <v>466</v>
      </c>
      <c r="E222" s="217" t="s">
        <v>533</v>
      </c>
      <c r="F222" s="217"/>
      <c r="G222" s="217" t="s">
        <v>1116</v>
      </c>
      <c r="H222" s="217" t="s">
        <v>1224</v>
      </c>
      <c r="I222" s="263" t="s">
        <v>1010</v>
      </c>
      <c r="J222" s="244"/>
      <c r="K222" s="241"/>
      <c r="M222" s="282"/>
      <c r="N222" s="279"/>
      <c r="P222" s="286"/>
      <c r="Q222" s="284"/>
      <c r="S222" s="290"/>
      <c r="T222" s="288"/>
      <c r="V222" s="250"/>
    </row>
    <row r="223" spans="1:22" ht="45.75" hidden="1" thickBot="1" x14ac:dyDescent="0.3">
      <c r="A223" s="260" t="s">
        <v>1101</v>
      </c>
      <c r="B223" s="223" t="s">
        <v>714</v>
      </c>
      <c r="C223" s="228" t="s">
        <v>753</v>
      </c>
      <c r="D223" s="217" t="s">
        <v>466</v>
      </c>
      <c r="E223" s="220" t="s">
        <v>517</v>
      </c>
      <c r="F223" s="217"/>
      <c r="G223" s="217" t="s">
        <v>989</v>
      </c>
      <c r="H223" s="217" t="s">
        <v>1117</v>
      </c>
      <c r="I223" s="263" t="s">
        <v>1010</v>
      </c>
      <c r="J223" s="244"/>
      <c r="K223" s="241"/>
      <c r="M223" s="282"/>
      <c r="N223" s="279"/>
      <c r="P223" s="286"/>
      <c r="Q223" s="284"/>
      <c r="S223" s="290"/>
      <c r="T223" s="288"/>
      <c r="V223" s="250"/>
    </row>
    <row r="224" spans="1:22" ht="60.75" hidden="1" thickBot="1" x14ac:dyDescent="0.3">
      <c r="A224" s="260" t="s">
        <v>1118</v>
      </c>
      <c r="B224" s="223" t="s">
        <v>730</v>
      </c>
      <c r="C224" s="228" t="s">
        <v>759</v>
      </c>
      <c r="D224" s="217" t="s">
        <v>466</v>
      </c>
      <c r="E224" s="220" t="s">
        <v>491</v>
      </c>
      <c r="F224" s="217" t="s">
        <v>1119</v>
      </c>
      <c r="G224" s="217" t="s">
        <v>1120</v>
      </c>
      <c r="H224" s="217" t="s">
        <v>1121</v>
      </c>
      <c r="I224" s="263" t="s">
        <v>1009</v>
      </c>
      <c r="J224" s="244"/>
      <c r="K224" s="241"/>
      <c r="M224" s="282"/>
      <c r="N224" s="279"/>
      <c r="P224" s="286"/>
      <c r="Q224" s="284"/>
      <c r="S224" s="290"/>
      <c r="T224" s="288"/>
      <c r="V224" s="250"/>
    </row>
    <row r="225" spans="1:22" ht="30.75" hidden="1" thickBot="1" x14ac:dyDescent="0.3">
      <c r="A225" s="260" t="s">
        <v>1122</v>
      </c>
      <c r="B225" s="223" t="s">
        <v>704</v>
      </c>
      <c r="C225" s="221" t="s">
        <v>282</v>
      </c>
      <c r="D225" s="220" t="s">
        <v>466</v>
      </c>
      <c r="E225" s="217" t="s">
        <v>518</v>
      </c>
      <c r="F225" s="217"/>
      <c r="G225" s="217" t="s">
        <v>1123</v>
      </c>
      <c r="H225" s="217" t="s">
        <v>1124</v>
      </c>
      <c r="I225" s="263" t="s">
        <v>1008</v>
      </c>
      <c r="J225" s="244"/>
      <c r="K225" s="241"/>
      <c r="M225" s="282"/>
      <c r="N225" s="279"/>
      <c r="P225" s="286"/>
      <c r="Q225" s="284"/>
      <c r="S225" s="290"/>
      <c r="T225" s="288"/>
      <c r="V225" s="250"/>
    </row>
    <row r="226" spans="1:22" ht="90.75" hidden="1" thickBot="1" x14ac:dyDescent="0.3">
      <c r="A226" s="260" t="s">
        <v>1122</v>
      </c>
      <c r="B226" s="223" t="s">
        <v>704</v>
      </c>
      <c r="C226" s="228" t="s">
        <v>283</v>
      </c>
      <c r="D226" s="220" t="s">
        <v>466</v>
      </c>
      <c r="E226" s="217" t="s">
        <v>525</v>
      </c>
      <c r="F226" s="217"/>
      <c r="G226" s="217" t="s">
        <v>1125</v>
      </c>
      <c r="H226" s="217" t="s">
        <v>1126</v>
      </c>
      <c r="I226" s="263" t="s">
        <v>1009</v>
      </c>
      <c r="J226" s="244"/>
      <c r="K226" s="241"/>
      <c r="M226" s="282"/>
      <c r="N226" s="279"/>
      <c r="P226" s="286"/>
      <c r="Q226" s="284"/>
      <c r="S226" s="290"/>
      <c r="T226" s="288"/>
      <c r="V226" s="250"/>
    </row>
    <row r="227" spans="1:22" ht="120.75" hidden="1" thickBot="1" x14ac:dyDescent="0.3">
      <c r="A227" s="260" t="s">
        <v>1122</v>
      </c>
      <c r="B227" s="223" t="s">
        <v>704</v>
      </c>
      <c r="C227" s="221" t="s">
        <v>284</v>
      </c>
      <c r="D227" s="220" t="s">
        <v>466</v>
      </c>
      <c r="E227" s="214" t="s">
        <v>528</v>
      </c>
      <c r="F227" s="217"/>
      <c r="G227" s="217" t="s">
        <v>1127</v>
      </c>
      <c r="H227" s="217" t="s">
        <v>1128</v>
      </c>
      <c r="I227" s="263" t="s">
        <v>1008</v>
      </c>
      <c r="J227" s="244"/>
      <c r="K227" s="241"/>
      <c r="M227" s="282"/>
      <c r="N227" s="279"/>
      <c r="P227" s="286"/>
      <c r="Q227" s="284"/>
      <c r="S227" s="290"/>
      <c r="T227" s="288"/>
      <c r="V227" s="250"/>
    </row>
    <row r="228" spans="1:22" ht="60.75" hidden="1" thickBot="1" x14ac:dyDescent="0.3">
      <c r="A228" s="260" t="s">
        <v>1122</v>
      </c>
      <c r="B228" s="223" t="s">
        <v>704</v>
      </c>
      <c r="C228" s="228" t="s">
        <v>285</v>
      </c>
      <c r="D228" s="220" t="s">
        <v>466</v>
      </c>
      <c r="E228" s="217" t="s">
        <v>530</v>
      </c>
      <c r="F228" s="217"/>
      <c r="G228" s="217" t="s">
        <v>1129</v>
      </c>
      <c r="H228" s="217" t="s">
        <v>1130</v>
      </c>
      <c r="I228" s="263" t="s">
        <v>1008</v>
      </c>
      <c r="J228" s="244"/>
      <c r="K228" s="241"/>
      <c r="M228" s="282"/>
      <c r="N228" s="279"/>
      <c r="P228" s="286"/>
      <c r="Q228" s="284"/>
      <c r="S228" s="290"/>
      <c r="T228" s="288"/>
      <c r="V228" s="250"/>
    </row>
    <row r="229" spans="1:22" ht="105.75" hidden="1" thickBot="1" x14ac:dyDescent="0.3">
      <c r="A229" s="260" t="s">
        <v>1122</v>
      </c>
      <c r="B229" s="223" t="s">
        <v>704</v>
      </c>
      <c r="C229" s="221" t="s">
        <v>286</v>
      </c>
      <c r="D229" s="220" t="s">
        <v>466</v>
      </c>
      <c r="E229" s="217" t="s">
        <v>537</v>
      </c>
      <c r="F229" s="217"/>
      <c r="G229" s="217" t="s">
        <v>1131</v>
      </c>
      <c r="H229" s="217" t="s">
        <v>1132</v>
      </c>
      <c r="I229" s="263" t="s">
        <v>1010</v>
      </c>
      <c r="J229" s="244"/>
      <c r="K229" s="241"/>
      <c r="M229" s="282"/>
      <c r="N229" s="279"/>
      <c r="P229" s="286"/>
      <c r="Q229" s="284"/>
      <c r="S229" s="290"/>
      <c r="T229" s="288"/>
      <c r="V229" s="250"/>
    </row>
    <row r="230" spans="1:22" ht="60.75" hidden="1" thickBot="1" x14ac:dyDescent="0.3">
      <c r="A230" s="260" t="s">
        <v>1133</v>
      </c>
      <c r="B230" s="223" t="s">
        <v>704</v>
      </c>
      <c r="C230" s="228" t="s">
        <v>282</v>
      </c>
      <c r="D230" s="217" t="s">
        <v>466</v>
      </c>
      <c r="E230" s="220" t="s">
        <v>529</v>
      </c>
      <c r="F230" s="221" t="s">
        <v>666</v>
      </c>
      <c r="G230" s="217" t="s">
        <v>1134</v>
      </c>
      <c r="H230" s="217" t="s">
        <v>1135</v>
      </c>
      <c r="I230" s="263" t="s">
        <v>1009</v>
      </c>
      <c r="J230" s="244"/>
      <c r="K230" s="241"/>
      <c r="M230" s="282"/>
      <c r="N230" s="279"/>
      <c r="P230" s="286"/>
      <c r="Q230" s="284"/>
      <c r="S230" s="290"/>
      <c r="T230" s="288"/>
      <c r="V230" s="250"/>
    </row>
    <row r="231" spans="1:22" ht="195.75" hidden="1" thickBot="1" x14ac:dyDescent="0.3">
      <c r="A231" s="260" t="s">
        <v>1133</v>
      </c>
      <c r="B231" s="223" t="s">
        <v>704</v>
      </c>
      <c r="C231" s="228" t="s">
        <v>283</v>
      </c>
      <c r="D231" s="217" t="s">
        <v>466</v>
      </c>
      <c r="E231" s="220" t="s">
        <v>534</v>
      </c>
      <c r="F231" s="221" t="s">
        <v>666</v>
      </c>
      <c r="G231" s="217" t="s">
        <v>1136</v>
      </c>
      <c r="H231" s="217" t="s">
        <v>1137</v>
      </c>
      <c r="I231" s="263" t="s">
        <v>1010</v>
      </c>
      <c r="J231" s="244"/>
      <c r="K231" s="241"/>
      <c r="M231" s="282"/>
      <c r="N231" s="279"/>
      <c r="P231" s="286"/>
      <c r="Q231" s="284"/>
      <c r="S231" s="290"/>
      <c r="T231" s="288"/>
      <c r="V231" s="250"/>
    </row>
    <row r="232" spans="1:22" ht="135.75" hidden="1" thickBot="1" x14ac:dyDescent="0.3">
      <c r="A232" s="260" t="s">
        <v>1133</v>
      </c>
      <c r="B232" s="223" t="s">
        <v>704</v>
      </c>
      <c r="C232" s="228" t="s">
        <v>284</v>
      </c>
      <c r="D232" s="217" t="s">
        <v>466</v>
      </c>
      <c r="E232" s="220" t="s">
        <v>535</v>
      </c>
      <c r="F232" s="221" t="s">
        <v>666</v>
      </c>
      <c r="G232" s="217" t="s">
        <v>1138</v>
      </c>
      <c r="H232" s="217" t="s">
        <v>1139</v>
      </c>
      <c r="I232" s="263" t="s">
        <v>1010</v>
      </c>
      <c r="J232" s="244"/>
      <c r="K232" s="241"/>
      <c r="M232" s="282"/>
      <c r="N232" s="279"/>
      <c r="P232" s="286"/>
      <c r="Q232" s="284"/>
      <c r="S232" s="290"/>
      <c r="T232" s="288"/>
      <c r="V232" s="250"/>
    </row>
    <row r="233" spans="1:22" ht="225.75" hidden="1" thickBot="1" x14ac:dyDescent="0.3">
      <c r="A233" s="260" t="s">
        <v>1133</v>
      </c>
      <c r="B233" s="223" t="s">
        <v>704</v>
      </c>
      <c r="C233" s="228" t="s">
        <v>285</v>
      </c>
      <c r="D233" s="220" t="s">
        <v>466</v>
      </c>
      <c r="E233" s="220" t="s">
        <v>519</v>
      </c>
      <c r="F233" s="221" t="s">
        <v>666</v>
      </c>
      <c r="G233" s="217" t="s">
        <v>1140</v>
      </c>
      <c r="H233" s="217" t="s">
        <v>1141</v>
      </c>
      <c r="I233" s="263" t="s">
        <v>1010</v>
      </c>
      <c r="J233" s="244"/>
      <c r="K233" s="241"/>
      <c r="M233" s="282"/>
      <c r="N233" s="279"/>
      <c r="P233" s="286"/>
      <c r="Q233" s="284"/>
      <c r="S233" s="290"/>
      <c r="T233" s="288"/>
      <c r="V233" s="250"/>
    </row>
    <row r="234" spans="1:22" ht="61.5" hidden="1" thickTop="1" thickBot="1" x14ac:dyDescent="0.3">
      <c r="A234" s="260" t="s">
        <v>1133</v>
      </c>
      <c r="B234" s="223" t="s">
        <v>704</v>
      </c>
      <c r="C234" s="228" t="s">
        <v>286</v>
      </c>
      <c r="D234" s="220" t="s">
        <v>466</v>
      </c>
      <c r="E234" s="220" t="s">
        <v>537</v>
      </c>
      <c r="F234" s="213" t="s">
        <v>1142</v>
      </c>
      <c r="G234" s="217" t="s">
        <v>1143</v>
      </c>
      <c r="H234" s="217" t="s">
        <v>1144</v>
      </c>
      <c r="I234" s="263" t="s">
        <v>1010</v>
      </c>
      <c r="J234" s="244"/>
      <c r="K234" s="241"/>
      <c r="M234" s="282"/>
      <c r="N234" s="279"/>
      <c r="P234" s="286"/>
      <c r="Q234" s="284"/>
      <c r="S234" s="290"/>
      <c r="T234" s="288"/>
      <c r="V234" s="250"/>
    </row>
    <row r="235" spans="1:22" ht="225.75" hidden="1" thickBot="1" x14ac:dyDescent="0.3">
      <c r="A235" s="260" t="s">
        <v>1133</v>
      </c>
      <c r="B235" s="223" t="s">
        <v>152</v>
      </c>
      <c r="C235" s="228" t="s">
        <v>722</v>
      </c>
      <c r="D235" s="220" t="s">
        <v>466</v>
      </c>
      <c r="E235" s="220" t="s">
        <v>519</v>
      </c>
      <c r="F235" s="221" t="s">
        <v>666</v>
      </c>
      <c r="G235" s="217" t="s">
        <v>1140</v>
      </c>
      <c r="H235" s="217" t="s">
        <v>1141</v>
      </c>
      <c r="I235" s="263" t="s">
        <v>1010</v>
      </c>
      <c r="J235" s="244"/>
      <c r="K235" s="241"/>
      <c r="M235" s="282"/>
      <c r="N235" s="279"/>
      <c r="P235" s="286"/>
      <c r="Q235" s="284"/>
      <c r="S235" s="290"/>
      <c r="T235" s="288"/>
      <c r="V235" s="250"/>
    </row>
    <row r="236" spans="1:22" ht="45.75" hidden="1" thickBot="1" x14ac:dyDescent="0.3">
      <c r="A236" s="260" t="s">
        <v>1146</v>
      </c>
      <c r="B236" s="223" t="s">
        <v>704</v>
      </c>
      <c r="C236" s="228" t="s">
        <v>282</v>
      </c>
      <c r="D236" s="217" t="s">
        <v>466</v>
      </c>
      <c r="E236" s="220" t="s">
        <v>529</v>
      </c>
      <c r="F236" s="221" t="s">
        <v>666</v>
      </c>
      <c r="G236" s="217" t="s">
        <v>1147</v>
      </c>
      <c r="H236" s="217" t="s">
        <v>1148</v>
      </c>
      <c r="I236" s="263" t="s">
        <v>1010</v>
      </c>
      <c r="J236" s="244"/>
      <c r="K236" s="241"/>
      <c r="M236" s="282"/>
      <c r="N236" s="279"/>
      <c r="P236" s="286"/>
      <c r="Q236" s="284"/>
      <c r="S236" s="290"/>
      <c r="T236" s="288"/>
      <c r="V236" s="250"/>
    </row>
    <row r="237" spans="1:22" ht="45.75" hidden="1" thickBot="1" x14ac:dyDescent="0.3">
      <c r="A237" s="260" t="s">
        <v>1146</v>
      </c>
      <c r="B237" s="223" t="s">
        <v>704</v>
      </c>
      <c r="C237" s="228" t="s">
        <v>283</v>
      </c>
      <c r="D237" s="217" t="s">
        <v>466</v>
      </c>
      <c r="E237" s="220" t="s">
        <v>534</v>
      </c>
      <c r="F237" s="221" t="s">
        <v>666</v>
      </c>
      <c r="G237" s="217" t="s">
        <v>1149</v>
      </c>
      <c r="H237" s="220" t="s">
        <v>1150</v>
      </c>
      <c r="I237" s="263" t="s">
        <v>1010</v>
      </c>
      <c r="J237" s="244"/>
      <c r="K237" s="241"/>
      <c r="M237" s="282"/>
      <c r="N237" s="279"/>
      <c r="P237" s="286"/>
      <c r="Q237" s="284"/>
      <c r="S237" s="290"/>
      <c r="T237" s="288"/>
      <c r="V237" s="250"/>
    </row>
    <row r="238" spans="1:22" ht="45.75" hidden="1" thickBot="1" x14ac:dyDescent="0.3">
      <c r="A238" s="260" t="s">
        <v>1146</v>
      </c>
      <c r="B238" s="223" t="s">
        <v>704</v>
      </c>
      <c r="C238" s="228" t="s">
        <v>284</v>
      </c>
      <c r="D238" s="220" t="s">
        <v>466</v>
      </c>
      <c r="E238" s="220" t="s">
        <v>519</v>
      </c>
      <c r="F238" s="217"/>
      <c r="G238" s="217" t="s">
        <v>1151</v>
      </c>
      <c r="H238" s="217" t="s">
        <v>1152</v>
      </c>
      <c r="I238" s="263" t="s">
        <v>1010</v>
      </c>
      <c r="J238" s="244"/>
      <c r="K238" s="241"/>
      <c r="M238" s="282"/>
      <c r="N238" s="279"/>
      <c r="P238" s="286"/>
      <c r="Q238" s="284"/>
      <c r="S238" s="290"/>
      <c r="T238" s="288"/>
      <c r="V238" s="250"/>
    </row>
    <row r="239" spans="1:22" ht="60.75" hidden="1" thickBot="1" x14ac:dyDescent="0.3">
      <c r="A239" s="260" t="s">
        <v>1146</v>
      </c>
      <c r="B239" s="223" t="s">
        <v>704</v>
      </c>
      <c r="C239" s="228" t="s">
        <v>285</v>
      </c>
      <c r="D239" s="220" t="s">
        <v>466</v>
      </c>
      <c r="E239" s="220" t="s">
        <v>537</v>
      </c>
      <c r="F239" s="217" t="s">
        <v>682</v>
      </c>
      <c r="G239" s="217" t="s">
        <v>1153</v>
      </c>
      <c r="H239" s="217" t="s">
        <v>1144</v>
      </c>
      <c r="I239" s="263" t="s">
        <v>1010</v>
      </c>
      <c r="J239" s="244"/>
      <c r="K239" s="241"/>
      <c r="M239" s="282"/>
      <c r="N239" s="279"/>
      <c r="P239" s="286"/>
      <c r="Q239" s="284"/>
      <c r="S239" s="290"/>
      <c r="T239" s="288"/>
      <c r="V239" s="250"/>
    </row>
    <row r="240" spans="1:22" ht="45.75" hidden="1" thickBot="1" x14ac:dyDescent="0.3">
      <c r="A240" s="260" t="s">
        <v>1145</v>
      </c>
      <c r="B240" s="223" t="s">
        <v>704</v>
      </c>
      <c r="C240" s="228" t="s">
        <v>282</v>
      </c>
      <c r="D240" s="220" t="s">
        <v>466</v>
      </c>
      <c r="E240" s="220" t="s">
        <v>519</v>
      </c>
      <c r="F240" s="221" t="s">
        <v>666</v>
      </c>
      <c r="G240" s="217" t="s">
        <v>1151</v>
      </c>
      <c r="H240" s="217" t="s">
        <v>1152</v>
      </c>
      <c r="I240" s="263" t="s">
        <v>1010</v>
      </c>
      <c r="J240" s="244"/>
      <c r="K240" s="241"/>
      <c r="M240" s="282"/>
      <c r="N240" s="279"/>
      <c r="P240" s="286"/>
      <c r="Q240" s="284"/>
      <c r="S240" s="290"/>
      <c r="T240" s="288"/>
      <c r="V240" s="250"/>
    </row>
    <row r="241" spans="1:22" ht="60.75" hidden="1" thickBot="1" x14ac:dyDescent="0.3">
      <c r="A241" s="260" t="s">
        <v>1145</v>
      </c>
      <c r="B241" s="223" t="s">
        <v>704</v>
      </c>
      <c r="C241" s="228" t="s">
        <v>283</v>
      </c>
      <c r="D241" s="220" t="s">
        <v>466</v>
      </c>
      <c r="E241" s="220" t="s">
        <v>537</v>
      </c>
      <c r="F241" s="217" t="s">
        <v>682</v>
      </c>
      <c r="G241" s="217" t="s">
        <v>1153</v>
      </c>
      <c r="H241" s="217" t="s">
        <v>1144</v>
      </c>
      <c r="I241" s="263" t="s">
        <v>1010</v>
      </c>
      <c r="J241" s="244"/>
      <c r="K241" s="241"/>
      <c r="M241" s="282"/>
      <c r="N241" s="279"/>
      <c r="P241" s="286"/>
      <c r="Q241" s="284"/>
      <c r="S241" s="290"/>
      <c r="T241" s="288"/>
      <c r="V241" s="250"/>
    </row>
    <row r="242" spans="1:22" ht="45.75" hidden="1" thickBot="1" x14ac:dyDescent="0.3">
      <c r="A242" s="260" t="s">
        <v>1145</v>
      </c>
      <c r="B242" s="223" t="s">
        <v>704</v>
      </c>
      <c r="C242" s="228" t="s">
        <v>284</v>
      </c>
      <c r="D242" s="217" t="s">
        <v>466</v>
      </c>
      <c r="E242" s="220" t="s">
        <v>529</v>
      </c>
      <c r="F242" s="217"/>
      <c r="G242" s="217" t="s">
        <v>1147</v>
      </c>
      <c r="H242" s="217" t="s">
        <v>1148</v>
      </c>
      <c r="I242" s="263" t="s">
        <v>1010</v>
      </c>
      <c r="J242" s="244"/>
      <c r="K242" s="241"/>
      <c r="M242" s="282"/>
      <c r="N242" s="279"/>
      <c r="P242" s="286"/>
      <c r="Q242" s="284"/>
      <c r="S242" s="290"/>
      <c r="T242" s="288"/>
      <c r="V242" s="250"/>
    </row>
    <row r="243" spans="1:22" ht="45.75" hidden="1" thickBot="1" x14ac:dyDescent="0.3">
      <c r="A243" s="260" t="s">
        <v>1145</v>
      </c>
      <c r="B243" s="223" t="s">
        <v>704</v>
      </c>
      <c r="C243" s="228" t="s">
        <v>285</v>
      </c>
      <c r="D243" s="217" t="s">
        <v>466</v>
      </c>
      <c r="E243" s="220" t="s">
        <v>534</v>
      </c>
      <c r="F243" s="217"/>
      <c r="G243" s="217" t="s">
        <v>1149</v>
      </c>
      <c r="H243" s="220" t="s">
        <v>1150</v>
      </c>
      <c r="I243" s="263" t="s">
        <v>1010</v>
      </c>
      <c r="J243" s="244"/>
      <c r="K243" s="241"/>
      <c r="M243" s="282"/>
      <c r="N243" s="279"/>
      <c r="P243" s="286"/>
      <c r="Q243" s="284"/>
      <c r="S243" s="290"/>
      <c r="T243" s="288"/>
      <c r="V243" s="250"/>
    </row>
    <row r="244" spans="1:22" ht="45.75" hidden="1" thickBot="1" x14ac:dyDescent="0.3">
      <c r="A244" s="260" t="s">
        <v>1154</v>
      </c>
      <c r="B244" s="223" t="s">
        <v>704</v>
      </c>
      <c r="C244" s="228" t="s">
        <v>282</v>
      </c>
      <c r="D244" s="217" t="s">
        <v>466</v>
      </c>
      <c r="E244" s="220" t="s">
        <v>529</v>
      </c>
      <c r="F244" s="221" t="s">
        <v>666</v>
      </c>
      <c r="G244" s="217" t="s">
        <v>1155</v>
      </c>
      <c r="H244" s="217" t="s">
        <v>1156</v>
      </c>
      <c r="I244" s="263" t="s">
        <v>1010</v>
      </c>
      <c r="J244" s="244"/>
      <c r="K244" s="241"/>
      <c r="M244" s="282"/>
      <c r="N244" s="279"/>
      <c r="P244" s="286"/>
      <c r="Q244" s="284"/>
      <c r="S244" s="290"/>
      <c r="T244" s="288"/>
      <c r="V244" s="250"/>
    </row>
    <row r="245" spans="1:22" ht="45.75" hidden="1" thickBot="1" x14ac:dyDescent="0.3">
      <c r="A245" s="260" t="s">
        <v>1154</v>
      </c>
      <c r="B245" s="223" t="s">
        <v>704</v>
      </c>
      <c r="C245" s="228" t="s">
        <v>283</v>
      </c>
      <c r="D245" s="220" t="s">
        <v>466</v>
      </c>
      <c r="E245" s="220" t="s">
        <v>519</v>
      </c>
      <c r="F245" s="221" t="s">
        <v>666</v>
      </c>
      <c r="G245" s="217" t="s">
        <v>1157</v>
      </c>
      <c r="H245" s="217" t="s">
        <v>1158</v>
      </c>
      <c r="I245" s="263" t="s">
        <v>1010</v>
      </c>
      <c r="J245" s="244"/>
      <c r="K245" s="241"/>
      <c r="M245" s="282"/>
      <c r="N245" s="279"/>
      <c r="P245" s="286"/>
      <c r="Q245" s="284"/>
      <c r="S245" s="290"/>
      <c r="T245" s="288"/>
      <c r="V245" s="250"/>
    </row>
    <row r="246" spans="1:22" ht="60.75" hidden="1" thickBot="1" x14ac:dyDescent="0.3">
      <c r="A246" s="260" t="s">
        <v>1154</v>
      </c>
      <c r="B246" s="223" t="s">
        <v>704</v>
      </c>
      <c r="C246" s="228" t="s">
        <v>284</v>
      </c>
      <c r="D246" s="220" t="s">
        <v>466</v>
      </c>
      <c r="E246" s="220" t="s">
        <v>537</v>
      </c>
      <c r="F246" s="221" t="s">
        <v>666</v>
      </c>
      <c r="G246" s="275" t="s">
        <v>1159</v>
      </c>
      <c r="H246" s="217" t="s">
        <v>1160</v>
      </c>
      <c r="I246" s="263" t="s">
        <v>1010</v>
      </c>
      <c r="J246" s="244"/>
      <c r="K246" s="241"/>
      <c r="M246" s="282"/>
      <c r="N246" s="279"/>
      <c r="P246" s="286"/>
      <c r="Q246" s="284"/>
      <c r="S246" s="290"/>
      <c r="T246" s="288"/>
      <c r="V246" s="250"/>
    </row>
    <row r="247" spans="1:22" ht="75.75" hidden="1" thickBot="1" x14ac:dyDescent="0.3">
      <c r="A247" s="260" t="s">
        <v>1154</v>
      </c>
      <c r="B247" s="223" t="s">
        <v>730</v>
      </c>
      <c r="C247" s="228" t="s">
        <v>807</v>
      </c>
      <c r="D247" s="220" t="s">
        <v>466</v>
      </c>
      <c r="E247" s="220" t="s">
        <v>545</v>
      </c>
      <c r="F247" s="221" t="s">
        <v>666</v>
      </c>
      <c r="G247" s="217" t="s">
        <v>1161</v>
      </c>
      <c r="H247" s="217" t="s">
        <v>1162</v>
      </c>
      <c r="I247" s="263" t="s">
        <v>1010</v>
      </c>
      <c r="J247" s="244"/>
      <c r="K247" s="241"/>
      <c r="M247" s="282"/>
      <c r="N247" s="279"/>
      <c r="P247" s="286"/>
      <c r="Q247" s="284"/>
      <c r="S247" s="290"/>
      <c r="T247" s="288"/>
      <c r="V247" s="250"/>
    </row>
    <row r="248" spans="1:22" ht="60.75" hidden="1" thickBot="1" x14ac:dyDescent="0.3">
      <c r="A248" s="260" t="s">
        <v>1163</v>
      </c>
      <c r="B248" s="223" t="s">
        <v>704</v>
      </c>
      <c r="C248" s="228" t="s">
        <v>282</v>
      </c>
      <c r="D248" s="220" t="s">
        <v>466</v>
      </c>
      <c r="E248" s="220" t="s">
        <v>537</v>
      </c>
      <c r="F248" s="221" t="s">
        <v>666</v>
      </c>
      <c r="G248" s="275" t="s">
        <v>1159</v>
      </c>
      <c r="H248" s="217" t="s">
        <v>1164</v>
      </c>
      <c r="I248" s="263" t="s">
        <v>1010</v>
      </c>
      <c r="J248" s="244"/>
      <c r="K248" s="241"/>
      <c r="M248" s="282"/>
      <c r="N248" s="279"/>
      <c r="P248" s="286"/>
      <c r="Q248" s="284"/>
      <c r="S248" s="290"/>
      <c r="T248" s="288"/>
      <c r="V248" s="250"/>
    </row>
    <row r="249" spans="1:22" ht="45.75" hidden="1" thickBot="1" x14ac:dyDescent="0.3">
      <c r="A249" s="260" t="s">
        <v>1163</v>
      </c>
      <c r="B249" s="223" t="s">
        <v>704</v>
      </c>
      <c r="C249" s="228" t="s">
        <v>283</v>
      </c>
      <c r="D249" s="220" t="s">
        <v>466</v>
      </c>
      <c r="E249" s="220" t="s">
        <v>519</v>
      </c>
      <c r="F249" s="221" t="s">
        <v>666</v>
      </c>
      <c r="G249" s="217" t="s">
        <v>1157</v>
      </c>
      <c r="H249" s="217" t="s">
        <v>1158</v>
      </c>
      <c r="I249" s="263" t="s">
        <v>1010</v>
      </c>
      <c r="J249" s="244"/>
      <c r="K249" s="241"/>
      <c r="M249" s="282"/>
      <c r="N249" s="279"/>
      <c r="P249" s="286"/>
      <c r="Q249" s="284"/>
      <c r="S249" s="290"/>
      <c r="T249" s="288"/>
      <c r="V249" s="250"/>
    </row>
    <row r="250" spans="1:22" ht="45.75" hidden="1" thickBot="1" x14ac:dyDescent="0.3">
      <c r="A250" s="260" t="s">
        <v>1163</v>
      </c>
      <c r="B250" s="223" t="s">
        <v>704</v>
      </c>
      <c r="C250" s="228" t="s">
        <v>284</v>
      </c>
      <c r="D250" s="217" t="s">
        <v>466</v>
      </c>
      <c r="E250" s="220" t="s">
        <v>529</v>
      </c>
      <c r="F250" s="221" t="s">
        <v>666</v>
      </c>
      <c r="G250" s="217" t="s">
        <v>1155</v>
      </c>
      <c r="H250" s="217" t="s">
        <v>1156</v>
      </c>
      <c r="I250" s="263" t="s">
        <v>1010</v>
      </c>
      <c r="J250" s="244"/>
      <c r="K250" s="241"/>
      <c r="M250" s="282"/>
      <c r="N250" s="279"/>
      <c r="P250" s="286"/>
      <c r="Q250" s="284"/>
      <c r="S250" s="290"/>
      <c r="T250" s="288"/>
      <c r="V250" s="250"/>
    </row>
    <row r="251" spans="1:22" ht="75.75" hidden="1" thickBot="1" x14ac:dyDescent="0.3">
      <c r="A251" s="260" t="s">
        <v>1163</v>
      </c>
      <c r="B251" s="223" t="s">
        <v>730</v>
      </c>
      <c r="C251" s="228" t="s">
        <v>807</v>
      </c>
      <c r="D251" s="220" t="s">
        <v>466</v>
      </c>
      <c r="E251" s="220" t="s">
        <v>545</v>
      </c>
      <c r="F251" s="221" t="s">
        <v>666</v>
      </c>
      <c r="G251" s="217" t="s">
        <v>1161</v>
      </c>
      <c r="H251" s="217" t="s">
        <v>1162</v>
      </c>
      <c r="I251" s="263" t="s">
        <v>1010</v>
      </c>
      <c r="J251" s="244"/>
      <c r="K251" s="241"/>
      <c r="M251" s="282"/>
      <c r="N251" s="279"/>
      <c r="P251" s="286"/>
      <c r="Q251" s="284"/>
      <c r="S251" s="290"/>
      <c r="T251" s="288"/>
      <c r="V251" s="250"/>
    </row>
    <row r="252" spans="1:22" ht="45.75" hidden="1" thickBot="1" x14ac:dyDescent="0.3">
      <c r="A252" s="260" t="s">
        <v>1165</v>
      </c>
      <c r="B252" s="223" t="s">
        <v>704</v>
      </c>
      <c r="C252" s="228" t="s">
        <v>282</v>
      </c>
      <c r="D252" s="220" t="s">
        <v>466</v>
      </c>
      <c r="E252" s="220" t="s">
        <v>519</v>
      </c>
      <c r="F252" s="217"/>
      <c r="G252" s="217" t="s">
        <v>1166</v>
      </c>
      <c r="H252" s="217" t="s">
        <v>1167</v>
      </c>
      <c r="I252" s="263" t="s">
        <v>1010</v>
      </c>
      <c r="J252" s="244"/>
      <c r="K252" s="241"/>
      <c r="M252" s="282"/>
      <c r="N252" s="279"/>
      <c r="P252" s="286"/>
      <c r="Q252" s="284"/>
      <c r="S252" s="290"/>
      <c r="T252" s="288"/>
      <c r="V252" s="250"/>
    </row>
    <row r="253" spans="1:22" ht="60.75" hidden="1" thickBot="1" x14ac:dyDescent="0.3">
      <c r="A253" s="260" t="s">
        <v>1165</v>
      </c>
      <c r="B253" s="223" t="s">
        <v>704</v>
      </c>
      <c r="C253" s="228" t="s">
        <v>283</v>
      </c>
      <c r="D253" s="220" t="s">
        <v>466</v>
      </c>
      <c r="E253" s="220" t="s">
        <v>537</v>
      </c>
      <c r="F253" s="217" t="s">
        <v>682</v>
      </c>
      <c r="G253" s="217" t="s">
        <v>1153</v>
      </c>
      <c r="H253" s="217" t="s">
        <v>1168</v>
      </c>
      <c r="I253" s="263" t="s">
        <v>1010</v>
      </c>
      <c r="J253" s="244"/>
      <c r="K253" s="241"/>
      <c r="M253" s="282"/>
      <c r="N253" s="279"/>
      <c r="P253" s="286"/>
      <c r="Q253" s="284"/>
      <c r="S253" s="290"/>
      <c r="T253" s="288"/>
      <c r="V253" s="250"/>
    </row>
    <row r="254" spans="1:22" ht="45.75" hidden="1" thickBot="1" x14ac:dyDescent="0.3">
      <c r="A254" s="260" t="s">
        <v>1165</v>
      </c>
      <c r="B254" s="223" t="s">
        <v>704</v>
      </c>
      <c r="C254" s="228" t="s">
        <v>284</v>
      </c>
      <c r="D254" s="217" t="s">
        <v>466</v>
      </c>
      <c r="E254" s="220" t="s">
        <v>529</v>
      </c>
      <c r="F254" s="217"/>
      <c r="G254" s="217" t="s">
        <v>1147</v>
      </c>
      <c r="H254" s="217" t="s">
        <v>1156</v>
      </c>
      <c r="I254" s="263" t="s">
        <v>1010</v>
      </c>
      <c r="J254" s="244"/>
      <c r="K254" s="241"/>
      <c r="M254" s="282"/>
      <c r="N254" s="279"/>
      <c r="P254" s="286"/>
      <c r="Q254" s="284"/>
      <c r="S254" s="290"/>
      <c r="T254" s="288"/>
      <c r="V254" s="250"/>
    </row>
    <row r="255" spans="1:22" ht="45.75" hidden="1" thickBot="1" x14ac:dyDescent="0.3">
      <c r="A255" s="260" t="s">
        <v>1165</v>
      </c>
      <c r="B255" s="223" t="s">
        <v>704</v>
      </c>
      <c r="C255" s="228" t="s">
        <v>285</v>
      </c>
      <c r="D255" s="217" t="s">
        <v>466</v>
      </c>
      <c r="E255" s="220" t="s">
        <v>534</v>
      </c>
      <c r="F255" s="217"/>
      <c r="G255" s="217" t="s">
        <v>1149</v>
      </c>
      <c r="H255" s="220" t="s">
        <v>1169</v>
      </c>
      <c r="I255" s="263" t="s">
        <v>1010</v>
      </c>
      <c r="J255" s="244"/>
      <c r="K255" s="241"/>
      <c r="M255" s="282"/>
      <c r="N255" s="279"/>
      <c r="P255" s="286"/>
      <c r="Q255" s="284"/>
      <c r="S255" s="290"/>
      <c r="T255" s="288"/>
      <c r="V255" s="250"/>
    </row>
    <row r="256" spans="1:22" ht="45.75" hidden="1" thickBot="1" x14ac:dyDescent="0.3">
      <c r="A256" s="260" t="s">
        <v>1170</v>
      </c>
      <c r="B256" s="223" t="s">
        <v>704</v>
      </c>
      <c r="C256" s="228" t="s">
        <v>285</v>
      </c>
      <c r="D256" s="217" t="s">
        <v>466</v>
      </c>
      <c r="E256" s="220" t="s">
        <v>529</v>
      </c>
      <c r="F256" s="217"/>
      <c r="G256" s="217" t="s">
        <v>1147</v>
      </c>
      <c r="H256" s="217" t="s">
        <v>1156</v>
      </c>
      <c r="I256" s="263" t="s">
        <v>1010</v>
      </c>
      <c r="J256" s="244"/>
      <c r="K256" s="241"/>
      <c r="M256" s="282"/>
      <c r="N256" s="279"/>
      <c r="P256" s="286"/>
      <c r="Q256" s="284"/>
      <c r="S256" s="290"/>
      <c r="T256" s="288"/>
      <c r="V256" s="250"/>
    </row>
    <row r="257" spans="1:22" ht="45.75" hidden="1" thickBot="1" x14ac:dyDescent="0.3">
      <c r="A257" s="260" t="s">
        <v>1170</v>
      </c>
      <c r="B257" s="223" t="s">
        <v>704</v>
      </c>
      <c r="C257" s="221" t="s">
        <v>286</v>
      </c>
      <c r="D257" s="217" t="s">
        <v>466</v>
      </c>
      <c r="E257" s="220" t="s">
        <v>534</v>
      </c>
      <c r="F257" s="217"/>
      <c r="G257" s="217" t="s">
        <v>1149</v>
      </c>
      <c r="H257" s="220" t="s">
        <v>1169</v>
      </c>
      <c r="I257" s="263" t="s">
        <v>1010</v>
      </c>
      <c r="J257" s="244"/>
      <c r="K257" s="241"/>
      <c r="M257" s="282"/>
      <c r="N257" s="279"/>
      <c r="P257" s="286"/>
      <c r="Q257" s="284"/>
      <c r="S257" s="290"/>
      <c r="T257" s="288"/>
      <c r="V257" s="250"/>
    </row>
    <row r="258" spans="1:22" ht="45.75" hidden="1" thickBot="1" x14ac:dyDescent="0.3">
      <c r="A258" s="260" t="s">
        <v>1170</v>
      </c>
      <c r="B258" s="223" t="s">
        <v>730</v>
      </c>
      <c r="C258" s="228" t="s">
        <v>760</v>
      </c>
      <c r="D258" s="220" t="s">
        <v>466</v>
      </c>
      <c r="E258" s="220" t="s">
        <v>519</v>
      </c>
      <c r="F258" s="217"/>
      <c r="G258" s="217" t="s">
        <v>1166</v>
      </c>
      <c r="H258" s="217" t="s">
        <v>1167</v>
      </c>
      <c r="I258" s="263" t="s">
        <v>1010</v>
      </c>
      <c r="J258" s="244"/>
      <c r="K258" s="241"/>
      <c r="M258" s="282"/>
      <c r="N258" s="279"/>
      <c r="P258" s="286"/>
      <c r="Q258" s="284"/>
      <c r="S258" s="290"/>
      <c r="T258" s="288"/>
      <c r="V258" s="250"/>
    </row>
    <row r="259" spans="1:22" ht="60.75" hidden="1" thickBot="1" x14ac:dyDescent="0.3">
      <c r="A259" s="260" t="s">
        <v>1170</v>
      </c>
      <c r="B259" s="223" t="s">
        <v>730</v>
      </c>
      <c r="C259" s="228" t="s">
        <v>763</v>
      </c>
      <c r="D259" s="220" t="s">
        <v>466</v>
      </c>
      <c r="E259" s="220" t="s">
        <v>537</v>
      </c>
      <c r="F259" s="217" t="s">
        <v>682</v>
      </c>
      <c r="G259" s="217" t="s">
        <v>1153</v>
      </c>
      <c r="H259" s="217" t="s">
        <v>1168</v>
      </c>
      <c r="I259" s="263" t="s">
        <v>1010</v>
      </c>
      <c r="J259" s="244"/>
      <c r="K259" s="241"/>
      <c r="M259" s="282"/>
      <c r="N259" s="279"/>
      <c r="P259" s="286"/>
      <c r="Q259" s="284"/>
      <c r="S259" s="290"/>
      <c r="T259" s="288"/>
      <c r="V259" s="250"/>
    </row>
    <row r="260" spans="1:22" ht="60.75" hidden="1" thickBot="1" x14ac:dyDescent="0.3">
      <c r="A260" s="260" t="s">
        <v>1170</v>
      </c>
      <c r="B260" s="223" t="s">
        <v>730</v>
      </c>
      <c r="C260" s="228" t="s">
        <v>807</v>
      </c>
      <c r="D260" s="220" t="s">
        <v>466</v>
      </c>
      <c r="E260" s="217" t="s">
        <v>524</v>
      </c>
      <c r="F260" s="217"/>
      <c r="G260" s="217" t="s">
        <v>1171</v>
      </c>
      <c r="H260" s="217" t="s">
        <v>1172</v>
      </c>
      <c r="I260" s="263" t="s">
        <v>1010</v>
      </c>
      <c r="J260" s="244"/>
      <c r="K260" s="241"/>
      <c r="M260" s="282"/>
      <c r="N260" s="279"/>
      <c r="P260" s="286"/>
      <c r="Q260" s="284"/>
      <c r="S260" s="290"/>
      <c r="T260" s="288"/>
      <c r="V260" s="250"/>
    </row>
    <row r="261" spans="1:22" ht="155.1" customHeight="1" thickTop="1" thickBot="1" x14ac:dyDescent="0.3">
      <c r="A261" s="260" t="s">
        <v>1215</v>
      </c>
      <c r="B261" s="223" t="s">
        <v>730</v>
      </c>
      <c r="C261" s="218" t="s">
        <v>724</v>
      </c>
      <c r="D261" s="256" t="s">
        <v>466</v>
      </c>
      <c r="E261" s="256" t="s">
        <v>1173</v>
      </c>
      <c r="F261" s="257" t="s">
        <v>1174</v>
      </c>
      <c r="G261" s="217" t="s">
        <v>1175</v>
      </c>
      <c r="H261" s="217" t="s">
        <v>1176</v>
      </c>
      <c r="I261" s="263" t="s">
        <v>1008</v>
      </c>
      <c r="J261" s="300" t="s">
        <v>1323</v>
      </c>
      <c r="K261" s="301">
        <v>0.2</v>
      </c>
      <c r="L261" s="306" t="s">
        <v>1333</v>
      </c>
      <c r="M261" s="282" t="s">
        <v>1342</v>
      </c>
      <c r="N261" s="308">
        <v>0.2</v>
      </c>
      <c r="O261" s="311"/>
      <c r="P261" s="286" t="s">
        <v>1374</v>
      </c>
      <c r="Q261" s="314">
        <v>0.8</v>
      </c>
      <c r="R261" s="316" t="s">
        <v>1400</v>
      </c>
      <c r="S261" s="290" t="s">
        <v>1399</v>
      </c>
      <c r="T261" s="288"/>
      <c r="V261" s="250"/>
    </row>
    <row r="262" spans="1:22" s="327" customFormat="1" ht="358.5" thickTop="1" thickBot="1" x14ac:dyDescent="0.3">
      <c r="A262" s="317" t="s">
        <v>1215</v>
      </c>
      <c r="B262" s="318" t="s">
        <v>730</v>
      </c>
      <c r="C262" s="319" t="s">
        <v>725</v>
      </c>
      <c r="D262" s="320" t="s">
        <v>466</v>
      </c>
      <c r="E262" s="320" t="s">
        <v>1173</v>
      </c>
      <c r="F262" s="257" t="s">
        <v>1177</v>
      </c>
      <c r="G262" s="321" t="s">
        <v>1175</v>
      </c>
      <c r="H262" s="321" t="s">
        <v>1178</v>
      </c>
      <c r="I262" s="322" t="s">
        <v>1008</v>
      </c>
      <c r="J262" s="323" t="s">
        <v>1177</v>
      </c>
      <c r="K262" s="324">
        <v>0.2</v>
      </c>
      <c r="L262" s="325" t="s">
        <v>1334</v>
      </c>
      <c r="M262" s="322" t="s">
        <v>1343</v>
      </c>
      <c r="N262" s="324">
        <v>0.3</v>
      </c>
      <c r="O262" s="325" t="s">
        <v>1380</v>
      </c>
      <c r="P262" s="322" t="s">
        <v>1381</v>
      </c>
      <c r="Q262" s="324">
        <v>0.3</v>
      </c>
      <c r="R262" s="318"/>
      <c r="S262" s="322" t="s">
        <v>1401</v>
      </c>
      <c r="T262" s="326"/>
      <c r="U262" s="318"/>
      <c r="V262" s="322"/>
    </row>
    <row r="263" spans="1:22" ht="301.5" thickTop="1" thickBot="1" x14ac:dyDescent="0.3">
      <c r="A263" s="260" t="s">
        <v>1215</v>
      </c>
      <c r="B263" s="223" t="s">
        <v>730</v>
      </c>
      <c r="C263" s="218" t="s">
        <v>726</v>
      </c>
      <c r="D263" s="256" t="s">
        <v>466</v>
      </c>
      <c r="E263" s="256" t="s">
        <v>1173</v>
      </c>
      <c r="F263" s="257" t="s">
        <v>1179</v>
      </c>
      <c r="G263" s="217" t="s">
        <v>1180</v>
      </c>
      <c r="H263" s="217" t="s">
        <v>1181</v>
      </c>
      <c r="I263" s="263" t="s">
        <v>1008</v>
      </c>
      <c r="J263" s="299" t="s">
        <v>1316</v>
      </c>
      <c r="K263" s="301" t="s">
        <v>1330</v>
      </c>
      <c r="L263" s="238" t="s">
        <v>1335</v>
      </c>
      <c r="M263" s="282" t="s">
        <v>1344</v>
      </c>
      <c r="N263" s="308">
        <v>0.5</v>
      </c>
      <c r="O263" s="312" t="s">
        <v>1364</v>
      </c>
      <c r="P263" s="286" t="s">
        <v>1357</v>
      </c>
      <c r="Q263" s="315">
        <v>1</v>
      </c>
      <c r="R263" s="234" t="s">
        <v>1397</v>
      </c>
      <c r="S263" s="290" t="s">
        <v>1385</v>
      </c>
      <c r="T263" s="288"/>
      <c r="V263" s="250"/>
    </row>
    <row r="264" spans="1:22" ht="301.5" thickTop="1" thickBot="1" x14ac:dyDescent="0.3">
      <c r="A264" s="260" t="s">
        <v>1215</v>
      </c>
      <c r="B264" s="223" t="s">
        <v>730</v>
      </c>
      <c r="C264" s="218" t="s">
        <v>727</v>
      </c>
      <c r="D264" s="256" t="s">
        <v>466</v>
      </c>
      <c r="E264" s="256" t="s">
        <v>1173</v>
      </c>
      <c r="F264" s="257" t="s">
        <v>1182</v>
      </c>
      <c r="G264" s="217" t="s">
        <v>1180</v>
      </c>
      <c r="H264" s="217" t="s">
        <v>1183</v>
      </c>
      <c r="I264" s="263" t="s">
        <v>1008</v>
      </c>
      <c r="J264" s="299" t="s">
        <v>1324</v>
      </c>
      <c r="K264" s="301">
        <v>0.5</v>
      </c>
      <c r="L264" s="238" t="s">
        <v>1335</v>
      </c>
      <c r="M264" s="282" t="s">
        <v>1345</v>
      </c>
      <c r="N264" s="308">
        <v>0.5</v>
      </c>
      <c r="O264" s="312" t="s">
        <v>1365</v>
      </c>
      <c r="P264" s="286" t="s">
        <v>1358</v>
      </c>
      <c r="Q264" s="315">
        <v>1</v>
      </c>
      <c r="R264" s="234" t="s">
        <v>1397</v>
      </c>
      <c r="S264" s="290" t="s">
        <v>1384</v>
      </c>
      <c r="T264" s="288"/>
      <c r="V264" s="250"/>
    </row>
    <row r="265" spans="1:22" ht="301.5" thickTop="1" thickBot="1" x14ac:dyDescent="0.3">
      <c r="A265" s="260" t="s">
        <v>1215</v>
      </c>
      <c r="B265" s="223" t="s">
        <v>730</v>
      </c>
      <c r="C265" s="218" t="s">
        <v>759</v>
      </c>
      <c r="D265" s="256" t="s">
        <v>466</v>
      </c>
      <c r="E265" s="256" t="s">
        <v>1173</v>
      </c>
      <c r="F265" s="257" t="s">
        <v>1184</v>
      </c>
      <c r="G265" s="217" t="s">
        <v>1180</v>
      </c>
      <c r="H265" s="217" t="s">
        <v>1185</v>
      </c>
      <c r="I265" s="263" t="s">
        <v>1008</v>
      </c>
      <c r="J265" s="299" t="s">
        <v>1325</v>
      </c>
      <c r="K265" s="301">
        <v>0.34</v>
      </c>
      <c r="L265" s="238" t="s">
        <v>1335</v>
      </c>
      <c r="M265" s="282" t="s">
        <v>1346</v>
      </c>
      <c r="N265" s="308">
        <v>0.5</v>
      </c>
      <c r="O265" s="312" t="s">
        <v>1379</v>
      </c>
      <c r="P265" s="286" t="s">
        <v>1359</v>
      </c>
      <c r="Q265" s="315">
        <v>1</v>
      </c>
      <c r="R265" s="234" t="s">
        <v>1397</v>
      </c>
      <c r="S265" s="290" t="s">
        <v>1383</v>
      </c>
      <c r="T265" s="288"/>
      <c r="V265" s="250"/>
    </row>
    <row r="266" spans="1:22" ht="301.5" thickTop="1" thickBot="1" x14ac:dyDescent="0.3">
      <c r="A266" s="260" t="s">
        <v>1215</v>
      </c>
      <c r="B266" s="223" t="s">
        <v>730</v>
      </c>
      <c r="C266" s="218" t="s">
        <v>760</v>
      </c>
      <c r="D266" s="256" t="s">
        <v>466</v>
      </c>
      <c r="E266" s="256" t="s">
        <v>1173</v>
      </c>
      <c r="F266" s="229" t="s">
        <v>1186</v>
      </c>
      <c r="G266" s="217" t="s">
        <v>1180</v>
      </c>
      <c r="H266" s="217" t="s">
        <v>1187</v>
      </c>
      <c r="I266" s="263" t="s">
        <v>1008</v>
      </c>
      <c r="J266" s="299" t="s">
        <v>1326</v>
      </c>
      <c r="K266" s="301">
        <v>0.5</v>
      </c>
      <c r="L266" s="238" t="s">
        <v>1335</v>
      </c>
      <c r="M266" s="282" t="s">
        <v>1347</v>
      </c>
      <c r="N266" s="308">
        <v>0.5</v>
      </c>
      <c r="O266" s="312" t="s">
        <v>1366</v>
      </c>
      <c r="P266" s="286" t="s">
        <v>1360</v>
      </c>
      <c r="Q266" s="314">
        <v>0.8</v>
      </c>
      <c r="R266" s="234" t="s">
        <v>1397</v>
      </c>
      <c r="S266" s="290" t="s">
        <v>1382</v>
      </c>
      <c r="T266" s="288"/>
      <c r="V266" s="250"/>
    </row>
    <row r="267" spans="1:22" ht="240.6" customHeight="1" thickTop="1" thickBot="1" x14ac:dyDescent="0.3">
      <c r="A267" s="260" t="s">
        <v>1215</v>
      </c>
      <c r="B267" s="223" t="s">
        <v>730</v>
      </c>
      <c r="C267" s="218" t="s">
        <v>763</v>
      </c>
      <c r="D267" s="256" t="s">
        <v>466</v>
      </c>
      <c r="E267" s="256" t="s">
        <v>1173</v>
      </c>
      <c r="F267" s="229" t="s">
        <v>1188</v>
      </c>
      <c r="G267" s="217" t="s">
        <v>1180</v>
      </c>
      <c r="H267" s="217" t="s">
        <v>1189</v>
      </c>
      <c r="I267" s="263" t="s">
        <v>1008</v>
      </c>
      <c r="J267" s="299" t="s">
        <v>1327</v>
      </c>
      <c r="K267" s="301">
        <v>0</v>
      </c>
      <c r="M267" s="305" t="s">
        <v>1348</v>
      </c>
      <c r="N267" s="279"/>
      <c r="P267" s="309" t="s">
        <v>1348</v>
      </c>
      <c r="Q267" s="314">
        <v>0.25</v>
      </c>
      <c r="R267" s="234" t="s">
        <v>1397</v>
      </c>
      <c r="S267" s="290" t="s">
        <v>1396</v>
      </c>
      <c r="T267" s="288"/>
      <c r="V267" s="250"/>
    </row>
    <row r="268" spans="1:22" ht="301.5" thickTop="1" thickBot="1" x14ac:dyDescent="0.3">
      <c r="A268" s="260" t="s">
        <v>1215</v>
      </c>
      <c r="B268" s="223" t="s">
        <v>730</v>
      </c>
      <c r="C268" s="218" t="s">
        <v>807</v>
      </c>
      <c r="D268" s="256" t="s">
        <v>466</v>
      </c>
      <c r="E268" s="256" t="s">
        <v>1173</v>
      </c>
      <c r="F268" s="229" t="s">
        <v>1190</v>
      </c>
      <c r="G268" s="217" t="s">
        <v>1180</v>
      </c>
      <c r="H268" s="229" t="s">
        <v>1191</v>
      </c>
      <c r="I268" s="263" t="s">
        <v>1008</v>
      </c>
      <c r="J268" s="299" t="s">
        <v>1328</v>
      </c>
      <c r="K268" s="301">
        <v>0.3</v>
      </c>
      <c r="L268" s="238" t="s">
        <v>1335</v>
      </c>
      <c r="M268" s="282" t="s">
        <v>1349</v>
      </c>
      <c r="N268" s="308">
        <v>0.5</v>
      </c>
      <c r="O268" s="312" t="s">
        <v>1367</v>
      </c>
      <c r="P268" s="286" t="s">
        <v>1361</v>
      </c>
      <c r="Q268" s="314">
        <v>0.9</v>
      </c>
      <c r="R268" s="234" t="s">
        <v>1397</v>
      </c>
      <c r="S268" s="290" t="s">
        <v>1386</v>
      </c>
      <c r="T268" s="288"/>
      <c r="V268" s="250"/>
    </row>
    <row r="269" spans="1:22" ht="106.5" thickTop="1" thickBot="1" x14ac:dyDescent="0.3">
      <c r="A269" s="260" t="s">
        <v>1215</v>
      </c>
      <c r="B269" s="223" t="s">
        <v>730</v>
      </c>
      <c r="C269" s="218" t="s">
        <v>808</v>
      </c>
      <c r="D269" s="256" t="s">
        <v>466</v>
      </c>
      <c r="E269" s="256" t="s">
        <v>1173</v>
      </c>
      <c r="F269" s="229" t="s">
        <v>1192</v>
      </c>
      <c r="G269" s="217" t="s">
        <v>1193</v>
      </c>
      <c r="H269" s="257" t="s">
        <v>1194</v>
      </c>
      <c r="I269" s="263" t="s">
        <v>1008</v>
      </c>
      <c r="J269" s="300" t="s">
        <v>1192</v>
      </c>
      <c r="K269" s="301">
        <v>0.4</v>
      </c>
      <c r="M269" s="282" t="s">
        <v>1350</v>
      </c>
      <c r="N269" s="308">
        <v>0.4</v>
      </c>
      <c r="P269" s="286" t="s">
        <v>1368</v>
      </c>
      <c r="Q269" s="314">
        <v>0.8</v>
      </c>
      <c r="S269" s="290" t="s">
        <v>1387</v>
      </c>
      <c r="T269" s="288"/>
      <c r="V269" s="250"/>
    </row>
    <row r="270" spans="1:22" ht="136.5" thickTop="1" thickBot="1" x14ac:dyDescent="0.3">
      <c r="A270" s="260" t="s">
        <v>1215</v>
      </c>
      <c r="B270" s="223" t="s">
        <v>730</v>
      </c>
      <c r="C270" s="218" t="s">
        <v>436</v>
      </c>
      <c r="D270" s="256" t="s">
        <v>466</v>
      </c>
      <c r="E270" s="256" t="s">
        <v>1173</v>
      </c>
      <c r="F270" s="229" t="s">
        <v>1195</v>
      </c>
      <c r="G270" s="217" t="s">
        <v>1180</v>
      </c>
      <c r="H270" s="217" t="s">
        <v>1196</v>
      </c>
      <c r="I270" s="263" t="s">
        <v>1008</v>
      </c>
      <c r="J270" s="300" t="s">
        <v>1338</v>
      </c>
      <c r="K270" s="301">
        <v>0.25</v>
      </c>
      <c r="L270" s="310" t="s">
        <v>1377</v>
      </c>
      <c r="M270" s="282" t="s">
        <v>1339</v>
      </c>
      <c r="N270" s="308">
        <v>0.5</v>
      </c>
      <c r="O270" s="311" t="s">
        <v>1369</v>
      </c>
      <c r="P270" s="286" t="s">
        <v>1363</v>
      </c>
      <c r="Q270" s="314">
        <v>0.75</v>
      </c>
      <c r="R270" s="316" t="s">
        <v>1389</v>
      </c>
      <c r="S270" s="290" t="s">
        <v>1390</v>
      </c>
      <c r="T270" s="288"/>
      <c r="V270" s="250"/>
    </row>
    <row r="271" spans="1:22" ht="191.25" thickTop="1" thickBot="1" x14ac:dyDescent="0.3">
      <c r="A271" s="260" t="s">
        <v>1215</v>
      </c>
      <c r="B271" s="223" t="s">
        <v>730</v>
      </c>
      <c r="C271" s="218" t="s">
        <v>437</v>
      </c>
      <c r="D271" s="256" t="s">
        <v>466</v>
      </c>
      <c r="E271" s="214" t="s">
        <v>522</v>
      </c>
      <c r="F271" s="229" t="s">
        <v>1197</v>
      </c>
      <c r="G271" s="217" t="s">
        <v>1180</v>
      </c>
      <c r="H271" s="217" t="s">
        <v>1198</v>
      </c>
      <c r="I271" s="263" t="s">
        <v>1008</v>
      </c>
      <c r="J271" s="300" t="s">
        <v>1197</v>
      </c>
      <c r="K271" s="301">
        <v>0.5</v>
      </c>
      <c r="L271" s="238" t="s">
        <v>1331</v>
      </c>
      <c r="M271" s="282" t="s">
        <v>1351</v>
      </c>
      <c r="N271" s="308">
        <v>0.5</v>
      </c>
      <c r="O271" s="313" t="s">
        <v>1371</v>
      </c>
      <c r="P271" s="286" t="s">
        <v>1370</v>
      </c>
      <c r="Q271" s="315">
        <v>1</v>
      </c>
      <c r="R271" s="234" t="s">
        <v>1398</v>
      </c>
      <c r="S271" s="290" t="s">
        <v>1395</v>
      </c>
      <c r="T271" s="288"/>
      <c r="V271" s="250"/>
    </row>
    <row r="272" spans="1:22" s="327" customFormat="1" ht="46.5" thickTop="1" thickBot="1" x14ac:dyDescent="0.3">
      <c r="A272" s="317" t="s">
        <v>1215</v>
      </c>
      <c r="B272" s="318" t="s">
        <v>730</v>
      </c>
      <c r="C272" s="319" t="s">
        <v>438</v>
      </c>
      <c r="D272" s="320" t="s">
        <v>466</v>
      </c>
      <c r="E272" s="319" t="s">
        <v>1199</v>
      </c>
      <c r="F272" s="229" t="s">
        <v>1200</v>
      </c>
      <c r="G272" s="321" t="s">
        <v>1201</v>
      </c>
      <c r="H272" s="321" t="s">
        <v>1202</v>
      </c>
      <c r="I272" s="322" t="s">
        <v>1008</v>
      </c>
      <c r="J272" s="323" t="s">
        <v>1200</v>
      </c>
      <c r="K272" s="324">
        <v>0</v>
      </c>
      <c r="L272" s="318"/>
      <c r="M272" s="328" t="s">
        <v>1332</v>
      </c>
      <c r="N272" s="324">
        <v>0</v>
      </c>
      <c r="O272" s="318"/>
      <c r="P272" s="328" t="s">
        <v>1332</v>
      </c>
      <c r="Q272" s="324">
        <v>0</v>
      </c>
      <c r="R272" s="318"/>
      <c r="S272" s="328" t="s">
        <v>1332</v>
      </c>
      <c r="T272" s="326"/>
      <c r="U272" s="318"/>
      <c r="V272" s="322"/>
    </row>
    <row r="273" spans="1:22" ht="181.5" thickTop="1" thickBot="1" x14ac:dyDescent="0.3">
      <c r="A273" s="260" t="s">
        <v>1215</v>
      </c>
      <c r="B273" s="223" t="s">
        <v>730</v>
      </c>
      <c r="C273" s="218" t="s">
        <v>439</v>
      </c>
      <c r="D273" s="256" t="s">
        <v>466</v>
      </c>
      <c r="E273" s="218" t="s">
        <v>1199</v>
      </c>
      <c r="F273" s="217" t="s">
        <v>1203</v>
      </c>
      <c r="G273" s="217" t="s">
        <v>1204</v>
      </c>
      <c r="H273" s="218" t="s">
        <v>1205</v>
      </c>
      <c r="I273" s="263" t="s">
        <v>1008</v>
      </c>
      <c r="J273" s="302" t="s">
        <v>1203</v>
      </c>
      <c r="K273" s="301">
        <v>0</v>
      </c>
      <c r="M273" s="282" t="s">
        <v>1352</v>
      </c>
      <c r="N273" s="308">
        <v>0</v>
      </c>
      <c r="P273" s="286" t="s">
        <v>1352</v>
      </c>
      <c r="Q273" s="314">
        <v>0</v>
      </c>
      <c r="S273" s="290" t="s">
        <v>1352</v>
      </c>
      <c r="T273" s="288"/>
      <c r="V273" s="250"/>
    </row>
    <row r="274" spans="1:22" ht="409.6" thickTop="1" thickBot="1" x14ac:dyDescent="0.3">
      <c r="A274" s="260" t="s">
        <v>1215</v>
      </c>
      <c r="B274" s="223" t="s">
        <v>730</v>
      </c>
      <c r="C274" s="218" t="s">
        <v>440</v>
      </c>
      <c r="D274" s="256" t="s">
        <v>466</v>
      </c>
      <c r="E274" s="218" t="s">
        <v>1199</v>
      </c>
      <c r="F274" s="217" t="s">
        <v>1206</v>
      </c>
      <c r="G274" s="217" t="s">
        <v>1180</v>
      </c>
      <c r="H274" s="220"/>
      <c r="I274" s="263" t="s">
        <v>1010</v>
      </c>
      <c r="J274" s="302" t="s">
        <v>1206</v>
      </c>
      <c r="K274" s="301">
        <v>0</v>
      </c>
      <c r="M274" s="282" t="s">
        <v>1353</v>
      </c>
      <c r="N274" s="308">
        <v>0</v>
      </c>
      <c r="P274" s="286" t="s">
        <v>1353</v>
      </c>
      <c r="Q274" s="315">
        <v>1</v>
      </c>
      <c r="R274" s="316" t="s">
        <v>1393</v>
      </c>
      <c r="S274" s="290" t="s">
        <v>1394</v>
      </c>
      <c r="T274" s="288"/>
      <c r="V274" s="250"/>
    </row>
    <row r="275" spans="1:22" ht="344.25" thickTop="1" thickBot="1" x14ac:dyDescent="0.3">
      <c r="A275" s="260" t="s">
        <v>1215</v>
      </c>
      <c r="B275" s="223" t="s">
        <v>730</v>
      </c>
      <c r="C275" s="218" t="s">
        <v>441</v>
      </c>
      <c r="D275" s="256" t="s">
        <v>466</v>
      </c>
      <c r="E275" s="218" t="s">
        <v>1199</v>
      </c>
      <c r="F275" s="217" t="s">
        <v>1207</v>
      </c>
      <c r="G275" s="217" t="s">
        <v>1175</v>
      </c>
      <c r="H275" s="217" t="s">
        <v>1208</v>
      </c>
      <c r="I275" s="263" t="s">
        <v>1008</v>
      </c>
      <c r="J275" s="300" t="s">
        <v>1329</v>
      </c>
      <c r="K275" s="301">
        <v>0.3</v>
      </c>
      <c r="L275" s="306" t="s">
        <v>1337</v>
      </c>
      <c r="M275" s="282" t="s">
        <v>1354</v>
      </c>
      <c r="N275" s="308">
        <v>0.5</v>
      </c>
      <c r="O275" s="313" t="s">
        <v>1372</v>
      </c>
      <c r="P275" s="286" t="s">
        <v>1373</v>
      </c>
      <c r="Q275" s="314">
        <v>0.6</v>
      </c>
      <c r="R275" s="316" t="s">
        <v>1403</v>
      </c>
      <c r="S275" s="290" t="s">
        <v>1402</v>
      </c>
      <c r="T275" s="288"/>
      <c r="V275" s="250"/>
    </row>
    <row r="276" spans="1:22" ht="106.5" thickTop="1" thickBot="1" x14ac:dyDescent="0.3">
      <c r="A276" s="260" t="s">
        <v>1215</v>
      </c>
      <c r="B276" s="223" t="s">
        <v>730</v>
      </c>
      <c r="C276" s="218" t="s">
        <v>442</v>
      </c>
      <c r="D276" s="256" t="s">
        <v>466</v>
      </c>
      <c r="E276" s="218" t="s">
        <v>1199</v>
      </c>
      <c r="F276" s="217" t="s">
        <v>1209</v>
      </c>
      <c r="G276" s="217" t="s">
        <v>1210</v>
      </c>
      <c r="H276" s="217" t="s">
        <v>1211</v>
      </c>
      <c r="I276" s="263" t="s">
        <v>1010</v>
      </c>
      <c r="J276" s="302" t="s">
        <v>1209</v>
      </c>
      <c r="K276" s="307" t="s">
        <v>1340</v>
      </c>
      <c r="L276" s="306" t="s">
        <v>1341</v>
      </c>
      <c r="M276" s="282" t="s">
        <v>1355</v>
      </c>
      <c r="N276" s="308">
        <v>0.5</v>
      </c>
      <c r="O276" s="311" t="s">
        <v>1376</v>
      </c>
      <c r="P276" s="286" t="s">
        <v>1375</v>
      </c>
      <c r="Q276" s="315">
        <v>1</v>
      </c>
      <c r="R276" s="316" t="s">
        <v>1391</v>
      </c>
      <c r="S276" s="290" t="s">
        <v>1388</v>
      </c>
      <c r="T276" s="288"/>
      <c r="V276" s="250"/>
    </row>
    <row r="277" spans="1:22" ht="300.75" thickTop="1" x14ac:dyDescent="0.25">
      <c r="A277" s="260" t="s">
        <v>1215</v>
      </c>
      <c r="B277" s="223" t="s">
        <v>730</v>
      </c>
      <c r="C277" s="218" t="s">
        <v>443</v>
      </c>
      <c r="D277" s="256" t="s">
        <v>466</v>
      </c>
      <c r="E277" s="218" t="s">
        <v>1199</v>
      </c>
      <c r="F277" s="217" t="s">
        <v>1212</v>
      </c>
      <c r="G277" s="217" t="s">
        <v>1213</v>
      </c>
      <c r="H277" s="217" t="s">
        <v>1214</v>
      </c>
      <c r="I277" s="263" t="s">
        <v>1008</v>
      </c>
      <c r="J277" s="300" t="s">
        <v>1322</v>
      </c>
      <c r="K277" s="301">
        <v>0.5</v>
      </c>
      <c r="L277" s="238" t="s">
        <v>1336</v>
      </c>
      <c r="M277" s="282" t="s">
        <v>1356</v>
      </c>
      <c r="N277" s="308">
        <v>0.5</v>
      </c>
      <c r="O277" s="312" t="s">
        <v>1378</v>
      </c>
      <c r="P277" s="286" t="s">
        <v>1362</v>
      </c>
      <c r="Q277" s="315">
        <v>1</v>
      </c>
      <c r="R277" s="234" t="s">
        <v>1397</v>
      </c>
      <c r="S277" s="290" t="s">
        <v>1392</v>
      </c>
      <c r="T277" s="288"/>
      <c r="V277" s="250"/>
    </row>
    <row r="278" spans="1:22" ht="60.75" hidden="1" thickTop="1" x14ac:dyDescent="0.25">
      <c r="A278" s="260" t="s">
        <v>1217</v>
      </c>
      <c r="B278" s="223" t="s">
        <v>730</v>
      </c>
      <c r="C278" s="218" t="s">
        <v>724</v>
      </c>
      <c r="D278" s="256" t="s">
        <v>466</v>
      </c>
      <c r="E278" s="214" t="s">
        <v>522</v>
      </c>
      <c r="F278" s="257" t="s">
        <v>1174</v>
      </c>
      <c r="G278" s="217" t="s">
        <v>1175</v>
      </c>
      <c r="H278" s="217" t="s">
        <v>1216</v>
      </c>
      <c r="I278" s="263" t="s">
        <v>1008</v>
      </c>
      <c r="J278" s="300" t="s">
        <v>1323</v>
      </c>
      <c r="K278" s="301"/>
      <c r="L278" s="306"/>
      <c r="M278" s="282"/>
      <c r="N278" s="279"/>
      <c r="P278" s="286"/>
      <c r="Q278" s="284"/>
      <c r="S278" s="290"/>
      <c r="T278" s="288"/>
      <c r="V278" s="250"/>
    </row>
    <row r="279" spans="1:22" ht="105.75" hidden="1" thickTop="1" x14ac:dyDescent="0.25">
      <c r="A279" s="260" t="s">
        <v>1217</v>
      </c>
      <c r="B279" s="223" t="s">
        <v>730</v>
      </c>
      <c r="C279" s="218" t="s">
        <v>725</v>
      </c>
      <c r="D279" s="256" t="s">
        <v>466</v>
      </c>
      <c r="E279" s="214" t="s">
        <v>522</v>
      </c>
      <c r="F279" s="257" t="s">
        <v>1177</v>
      </c>
      <c r="G279" s="217" t="s">
        <v>1175</v>
      </c>
      <c r="H279" s="217" t="s">
        <v>1178</v>
      </c>
      <c r="I279" s="263" t="s">
        <v>1008</v>
      </c>
      <c r="J279" s="300" t="s">
        <v>1177</v>
      </c>
      <c r="K279" s="301"/>
      <c r="L279" s="306"/>
      <c r="M279" s="282"/>
      <c r="N279" s="279"/>
      <c r="P279" s="286"/>
      <c r="Q279" s="284"/>
      <c r="S279" s="290"/>
      <c r="T279" s="288"/>
      <c r="V279" s="250"/>
    </row>
    <row r="280" spans="1:22" ht="104.25" hidden="1" thickTop="1" x14ac:dyDescent="0.25">
      <c r="A280" s="260" t="s">
        <v>1217</v>
      </c>
      <c r="B280" s="223" t="s">
        <v>730</v>
      </c>
      <c r="C280" s="218" t="s">
        <v>726</v>
      </c>
      <c r="D280" s="256" t="s">
        <v>466</v>
      </c>
      <c r="E280" s="214" t="s">
        <v>522</v>
      </c>
      <c r="F280" s="257" t="s">
        <v>1179</v>
      </c>
      <c r="G280" s="217" t="s">
        <v>1180</v>
      </c>
      <c r="H280" s="217" t="s">
        <v>1181</v>
      </c>
      <c r="I280" s="263" t="s">
        <v>1008</v>
      </c>
      <c r="J280" s="299" t="s">
        <v>1316</v>
      </c>
      <c r="K280" s="241"/>
      <c r="M280" s="282"/>
      <c r="N280" s="279"/>
      <c r="P280" s="286"/>
      <c r="Q280" s="284"/>
      <c r="S280" s="290"/>
      <c r="T280" s="288"/>
      <c r="V280" s="250"/>
    </row>
    <row r="281" spans="1:22" ht="90" hidden="1" thickTop="1" x14ac:dyDescent="0.25">
      <c r="A281" s="260" t="s">
        <v>1217</v>
      </c>
      <c r="B281" s="223" t="s">
        <v>730</v>
      </c>
      <c r="C281" s="218" t="s">
        <v>727</v>
      </c>
      <c r="D281" s="256" t="s">
        <v>466</v>
      </c>
      <c r="E281" s="214" t="s">
        <v>522</v>
      </c>
      <c r="F281" s="257" t="s">
        <v>1182</v>
      </c>
      <c r="G281" s="217" t="s">
        <v>1180</v>
      </c>
      <c r="H281" s="217" t="s">
        <v>1183</v>
      </c>
      <c r="I281" s="263" t="s">
        <v>1008</v>
      </c>
      <c r="J281" s="299" t="s">
        <v>1317</v>
      </c>
      <c r="K281" s="241"/>
      <c r="M281" s="282"/>
      <c r="N281" s="279"/>
      <c r="P281" s="286"/>
      <c r="Q281" s="284"/>
      <c r="S281" s="290"/>
      <c r="T281" s="288"/>
      <c r="V281" s="250"/>
    </row>
    <row r="282" spans="1:22" ht="90" hidden="1" thickTop="1" x14ac:dyDescent="0.25">
      <c r="A282" s="260" t="s">
        <v>1217</v>
      </c>
      <c r="B282" s="223" t="s">
        <v>730</v>
      </c>
      <c r="C282" s="218" t="s">
        <v>759</v>
      </c>
      <c r="D282" s="256" t="s">
        <v>466</v>
      </c>
      <c r="E282" s="214" t="s">
        <v>522</v>
      </c>
      <c r="F282" s="257" t="s">
        <v>1184</v>
      </c>
      <c r="G282" s="217" t="s">
        <v>1180</v>
      </c>
      <c r="H282" s="217" t="s">
        <v>1185</v>
      </c>
      <c r="I282" s="263" t="s">
        <v>1008</v>
      </c>
      <c r="J282" s="299" t="s">
        <v>1318</v>
      </c>
      <c r="K282" s="241"/>
      <c r="M282" s="282"/>
      <c r="N282" s="279"/>
      <c r="P282" s="286"/>
      <c r="Q282" s="284"/>
      <c r="S282" s="290"/>
      <c r="T282" s="288"/>
      <c r="V282" s="250"/>
    </row>
    <row r="283" spans="1:22" ht="104.25" hidden="1" thickTop="1" x14ac:dyDescent="0.25">
      <c r="A283" s="260" t="s">
        <v>1217</v>
      </c>
      <c r="B283" s="223" t="s">
        <v>730</v>
      </c>
      <c r="C283" s="218" t="s">
        <v>760</v>
      </c>
      <c r="D283" s="256" t="s">
        <v>466</v>
      </c>
      <c r="E283" s="214" t="s">
        <v>522</v>
      </c>
      <c r="F283" s="229" t="s">
        <v>1186</v>
      </c>
      <c r="G283" s="217" t="s">
        <v>1180</v>
      </c>
      <c r="H283" s="217" t="s">
        <v>1187</v>
      </c>
      <c r="I283" s="263" t="s">
        <v>1008</v>
      </c>
      <c r="J283" s="299" t="s">
        <v>1319</v>
      </c>
      <c r="K283" s="241"/>
      <c r="M283" s="282"/>
      <c r="N283" s="279"/>
      <c r="P283" s="286"/>
      <c r="Q283" s="284"/>
      <c r="S283" s="290"/>
      <c r="T283" s="288"/>
      <c r="V283" s="250"/>
    </row>
    <row r="284" spans="1:22" ht="104.25" hidden="1" thickTop="1" x14ac:dyDescent="0.25">
      <c r="A284" s="260" t="s">
        <v>1217</v>
      </c>
      <c r="B284" s="223" t="s">
        <v>730</v>
      </c>
      <c r="C284" s="218" t="s">
        <v>763</v>
      </c>
      <c r="D284" s="256" t="s">
        <v>466</v>
      </c>
      <c r="E284" s="214" t="s">
        <v>522</v>
      </c>
      <c r="F284" s="229" t="s">
        <v>1188</v>
      </c>
      <c r="G284" s="217" t="s">
        <v>1180</v>
      </c>
      <c r="H284" s="217" t="s">
        <v>1189</v>
      </c>
      <c r="I284" s="263" t="s">
        <v>1008</v>
      </c>
      <c r="J284" s="299" t="s">
        <v>1320</v>
      </c>
      <c r="K284" s="241"/>
      <c r="M284" s="282"/>
      <c r="N284" s="279"/>
      <c r="P284" s="286"/>
      <c r="Q284" s="284"/>
      <c r="S284" s="290"/>
      <c r="T284" s="288"/>
      <c r="V284" s="250"/>
    </row>
    <row r="285" spans="1:22" ht="104.25" hidden="1" thickTop="1" x14ac:dyDescent="0.25">
      <c r="A285" s="260" t="s">
        <v>1217</v>
      </c>
      <c r="B285" s="223" t="s">
        <v>730</v>
      </c>
      <c r="C285" s="218" t="s">
        <v>807</v>
      </c>
      <c r="D285" s="256" t="s">
        <v>466</v>
      </c>
      <c r="E285" s="214" t="s">
        <v>522</v>
      </c>
      <c r="F285" s="229" t="s">
        <v>1190</v>
      </c>
      <c r="G285" s="217" t="s">
        <v>1180</v>
      </c>
      <c r="H285" s="229" t="s">
        <v>1191</v>
      </c>
      <c r="I285" s="263" t="s">
        <v>1008</v>
      </c>
      <c r="J285" s="299" t="s">
        <v>1321</v>
      </c>
      <c r="K285" s="241"/>
      <c r="M285" s="282"/>
      <c r="N285" s="279"/>
      <c r="P285" s="286"/>
      <c r="Q285" s="284"/>
      <c r="S285" s="290"/>
      <c r="T285" s="288"/>
      <c r="V285" s="250"/>
    </row>
    <row r="286" spans="1:22" ht="105.75" hidden="1" thickTop="1" x14ac:dyDescent="0.25">
      <c r="A286" s="260" t="s">
        <v>1217</v>
      </c>
      <c r="B286" s="223" t="s">
        <v>730</v>
      </c>
      <c r="C286" s="218" t="s">
        <v>808</v>
      </c>
      <c r="D286" s="256" t="s">
        <v>466</v>
      </c>
      <c r="E286" s="214" t="s">
        <v>522</v>
      </c>
      <c r="F286" s="229" t="s">
        <v>1192</v>
      </c>
      <c r="G286" s="217" t="s">
        <v>1193</v>
      </c>
      <c r="H286" s="257" t="s">
        <v>1194</v>
      </c>
      <c r="I286" s="263" t="s">
        <v>1008</v>
      </c>
      <c r="J286" s="300" t="s">
        <v>1192</v>
      </c>
      <c r="K286" s="301"/>
      <c r="M286" s="282"/>
      <c r="N286" s="279"/>
      <c r="P286" s="286"/>
      <c r="Q286" s="284"/>
      <c r="S286" s="290"/>
      <c r="T286" s="288"/>
      <c r="V286" s="250"/>
    </row>
    <row r="287" spans="1:22" ht="120.75" hidden="1" thickTop="1" x14ac:dyDescent="0.25">
      <c r="A287" s="260" t="s">
        <v>1217</v>
      </c>
      <c r="B287" s="223" t="s">
        <v>730</v>
      </c>
      <c r="C287" s="218" t="s">
        <v>436</v>
      </c>
      <c r="D287" s="256" t="s">
        <v>466</v>
      </c>
      <c r="E287" s="214" t="s">
        <v>522</v>
      </c>
      <c r="F287" s="229" t="s">
        <v>1195</v>
      </c>
      <c r="G287" s="217" t="s">
        <v>1180</v>
      </c>
      <c r="H287" s="217" t="s">
        <v>1196</v>
      </c>
      <c r="I287" s="263" t="s">
        <v>1010</v>
      </c>
      <c r="J287" s="300" t="s">
        <v>1195</v>
      </c>
      <c r="K287" s="241"/>
      <c r="M287" s="282"/>
      <c r="N287" s="279"/>
      <c r="P287" s="286"/>
      <c r="Q287" s="284"/>
      <c r="S287" s="290"/>
      <c r="T287" s="288"/>
      <c r="V287" s="250"/>
    </row>
    <row r="288" spans="1:22" ht="120.75" hidden="1" thickTop="1" x14ac:dyDescent="0.25">
      <c r="A288" s="260" t="s">
        <v>1217</v>
      </c>
      <c r="B288" s="223" t="s">
        <v>730</v>
      </c>
      <c r="C288" s="218" t="s">
        <v>437</v>
      </c>
      <c r="D288" s="256" t="s">
        <v>466</v>
      </c>
      <c r="E288" s="214" t="s">
        <v>522</v>
      </c>
      <c r="F288" s="229" t="s">
        <v>1197</v>
      </c>
      <c r="G288" s="217" t="s">
        <v>1180</v>
      </c>
      <c r="H288" s="217" t="s">
        <v>1198</v>
      </c>
      <c r="I288" s="263" t="s">
        <v>1008</v>
      </c>
      <c r="J288" s="300" t="s">
        <v>1197</v>
      </c>
      <c r="K288" s="241"/>
      <c r="M288" s="282"/>
      <c r="N288" s="279"/>
      <c r="P288" s="286"/>
      <c r="Q288" s="284"/>
      <c r="S288" s="290"/>
      <c r="T288" s="288"/>
      <c r="V288" s="250"/>
    </row>
    <row r="289" spans="1:22" ht="45.75" hidden="1" thickTop="1" x14ac:dyDescent="0.25">
      <c r="A289" s="260" t="s">
        <v>1217</v>
      </c>
      <c r="B289" s="223" t="s">
        <v>730</v>
      </c>
      <c r="C289" s="218" t="s">
        <v>438</v>
      </c>
      <c r="D289" s="256" t="s">
        <v>466</v>
      </c>
      <c r="E289" s="218" t="s">
        <v>1199</v>
      </c>
      <c r="F289" s="229" t="s">
        <v>1200</v>
      </c>
      <c r="G289" s="217" t="s">
        <v>1201</v>
      </c>
      <c r="H289" s="217" t="s">
        <v>1202</v>
      </c>
      <c r="I289" s="263" t="s">
        <v>1008</v>
      </c>
      <c r="J289" s="300" t="s">
        <v>1200</v>
      </c>
      <c r="K289" s="301"/>
      <c r="M289" s="305"/>
      <c r="N289" s="279"/>
      <c r="P289" s="286"/>
      <c r="Q289" s="284"/>
      <c r="S289" s="290"/>
      <c r="T289" s="288"/>
      <c r="V289" s="250"/>
    </row>
    <row r="290" spans="1:22" ht="180.75" hidden="1" thickTop="1" x14ac:dyDescent="0.25">
      <c r="A290" s="260" t="s">
        <v>1217</v>
      </c>
      <c r="B290" s="223" t="s">
        <v>730</v>
      </c>
      <c r="C290" s="218" t="s">
        <v>439</v>
      </c>
      <c r="D290" s="256" t="s">
        <v>466</v>
      </c>
      <c r="E290" s="218" t="s">
        <v>1199</v>
      </c>
      <c r="F290" s="217" t="s">
        <v>1203</v>
      </c>
      <c r="G290" s="217" t="s">
        <v>1204</v>
      </c>
      <c r="H290" s="218" t="s">
        <v>1205</v>
      </c>
      <c r="I290" s="263" t="s">
        <v>1008</v>
      </c>
      <c r="J290" s="302" t="s">
        <v>1203</v>
      </c>
      <c r="K290" s="301"/>
      <c r="M290" s="282"/>
      <c r="N290" s="279"/>
      <c r="P290" s="286"/>
      <c r="Q290" s="284"/>
      <c r="S290" s="290"/>
      <c r="T290" s="288"/>
      <c r="V290" s="250"/>
    </row>
    <row r="291" spans="1:22" ht="150.75" hidden="1" thickTop="1" x14ac:dyDescent="0.25">
      <c r="A291" s="260" t="s">
        <v>1217</v>
      </c>
      <c r="B291" s="223" t="s">
        <v>730</v>
      </c>
      <c r="C291" s="218" t="s">
        <v>440</v>
      </c>
      <c r="D291" s="256" t="s">
        <v>466</v>
      </c>
      <c r="E291" s="218" t="s">
        <v>1199</v>
      </c>
      <c r="F291" s="217" t="s">
        <v>1206</v>
      </c>
      <c r="G291" s="217" t="s">
        <v>1180</v>
      </c>
      <c r="H291" s="220"/>
      <c r="I291" s="263" t="s">
        <v>1010</v>
      </c>
      <c r="J291" s="302" t="s">
        <v>1206</v>
      </c>
      <c r="K291" s="301"/>
      <c r="M291" s="282"/>
      <c r="N291" s="279"/>
      <c r="P291" s="286"/>
      <c r="Q291" s="284"/>
      <c r="S291" s="290"/>
      <c r="T291" s="288"/>
      <c r="V291" s="250"/>
    </row>
    <row r="292" spans="1:22" ht="75.75" hidden="1" thickTop="1" x14ac:dyDescent="0.25">
      <c r="A292" s="260" t="s">
        <v>1217</v>
      </c>
      <c r="B292" s="223" t="s">
        <v>730</v>
      </c>
      <c r="C292" s="218" t="s">
        <v>441</v>
      </c>
      <c r="D292" s="256" t="s">
        <v>466</v>
      </c>
      <c r="E292" s="218" t="s">
        <v>1199</v>
      </c>
      <c r="F292" s="217" t="s">
        <v>1207</v>
      </c>
      <c r="G292" s="217" t="s">
        <v>1175</v>
      </c>
      <c r="H292" s="217" t="s">
        <v>1208</v>
      </c>
      <c r="I292" s="263" t="s">
        <v>1008</v>
      </c>
      <c r="J292" s="300" t="s">
        <v>1207</v>
      </c>
      <c r="K292" s="301"/>
      <c r="L292" s="306"/>
      <c r="M292" s="282"/>
      <c r="N292" s="279"/>
      <c r="P292" s="286"/>
      <c r="Q292" s="284"/>
      <c r="S292" s="290"/>
      <c r="T292" s="288"/>
      <c r="V292" s="250"/>
    </row>
    <row r="293" spans="1:22" ht="105.75" hidden="1" thickTop="1" x14ac:dyDescent="0.25">
      <c r="A293" s="260" t="s">
        <v>1217</v>
      </c>
      <c r="B293" s="223" t="s">
        <v>730</v>
      </c>
      <c r="C293" s="218" t="s">
        <v>442</v>
      </c>
      <c r="D293" s="256" t="s">
        <v>466</v>
      </c>
      <c r="E293" s="218" t="s">
        <v>1199</v>
      </c>
      <c r="F293" s="217" t="s">
        <v>1209</v>
      </c>
      <c r="G293" s="217" t="s">
        <v>1210</v>
      </c>
      <c r="H293" s="217" t="s">
        <v>1211</v>
      </c>
      <c r="I293" s="263" t="s">
        <v>1008</v>
      </c>
      <c r="J293" s="302" t="s">
        <v>1209</v>
      </c>
      <c r="K293" s="241"/>
      <c r="M293" s="282"/>
      <c r="N293" s="279"/>
      <c r="P293" s="286"/>
      <c r="Q293" s="284"/>
      <c r="S293" s="290"/>
      <c r="T293" s="288"/>
      <c r="V293" s="250"/>
    </row>
    <row r="294" spans="1:22" ht="134.25" hidden="1" thickTop="1" x14ac:dyDescent="0.25">
      <c r="A294" s="260" t="s">
        <v>1217</v>
      </c>
      <c r="B294" s="223" t="s">
        <v>730</v>
      </c>
      <c r="C294" s="218" t="s">
        <v>443</v>
      </c>
      <c r="D294" s="256" t="s">
        <v>466</v>
      </c>
      <c r="E294" s="218" t="s">
        <v>1199</v>
      </c>
      <c r="F294" s="217" t="s">
        <v>1212</v>
      </c>
      <c r="G294" s="217" t="s">
        <v>1213</v>
      </c>
      <c r="H294" s="217" t="s">
        <v>1214</v>
      </c>
      <c r="I294" s="263" t="s">
        <v>1008</v>
      </c>
      <c r="J294" s="300" t="s">
        <v>1322</v>
      </c>
      <c r="K294" s="241"/>
      <c r="M294" s="282"/>
      <c r="N294" s="279"/>
      <c r="P294" s="286"/>
      <c r="Q294" s="284"/>
      <c r="S294" s="290"/>
      <c r="T294" s="288"/>
      <c r="V294" s="250"/>
    </row>
    <row r="295" spans="1:22" ht="45" hidden="1" x14ac:dyDescent="0.25">
      <c r="A295" s="260" t="s">
        <v>1231</v>
      </c>
      <c r="B295" s="223" t="s">
        <v>730</v>
      </c>
      <c r="C295" s="223" t="s">
        <v>284</v>
      </c>
      <c r="D295" s="223" t="s">
        <v>466</v>
      </c>
      <c r="E295" s="223" t="s">
        <v>525</v>
      </c>
      <c r="F295" s="223" t="s">
        <v>1232</v>
      </c>
      <c r="G295" s="223" t="s">
        <v>1233</v>
      </c>
      <c r="H295" s="223" t="s">
        <v>1234</v>
      </c>
      <c r="I295" s="263" t="s">
        <v>1008</v>
      </c>
      <c r="J295" s="244"/>
      <c r="K295" s="241"/>
      <c r="M295" s="282"/>
      <c r="N295" s="279"/>
      <c r="P295" s="286"/>
      <c r="Q295" s="284"/>
      <c r="S295" s="290"/>
      <c r="T295" s="288"/>
      <c r="V295" s="250"/>
    </row>
    <row r="296" spans="1:22" ht="45" hidden="1" x14ac:dyDescent="0.25">
      <c r="A296" s="260" t="s">
        <v>1231</v>
      </c>
      <c r="B296" s="223" t="s">
        <v>730</v>
      </c>
      <c r="C296" s="223" t="s">
        <v>285</v>
      </c>
      <c r="D296" s="223" t="s">
        <v>466</v>
      </c>
      <c r="E296" s="223" t="s">
        <v>525</v>
      </c>
      <c r="F296" s="223" t="s">
        <v>1235</v>
      </c>
      <c r="G296" s="223" t="s">
        <v>1236</v>
      </c>
      <c r="H296" s="223" t="s">
        <v>1237</v>
      </c>
      <c r="I296" s="263" t="s">
        <v>1008</v>
      </c>
      <c r="J296" s="244"/>
      <c r="K296" s="241"/>
      <c r="M296" s="282"/>
      <c r="N296" s="279"/>
      <c r="P296" s="286"/>
      <c r="Q296" s="284"/>
      <c r="S296" s="290"/>
      <c r="T296" s="288"/>
      <c r="V296" s="250"/>
    </row>
    <row r="297" spans="1:22" ht="60" hidden="1" x14ac:dyDescent="0.25">
      <c r="A297" s="260" t="s">
        <v>1231</v>
      </c>
      <c r="B297" s="223" t="s">
        <v>730</v>
      </c>
      <c r="C297" s="223" t="s">
        <v>289</v>
      </c>
      <c r="D297" s="223" t="s">
        <v>466</v>
      </c>
      <c r="E297" s="223" t="s">
        <v>532</v>
      </c>
      <c r="F297" s="223" t="s">
        <v>1238</v>
      </c>
      <c r="G297" s="223" t="s">
        <v>1239</v>
      </c>
      <c r="H297" s="223" t="s">
        <v>1240</v>
      </c>
      <c r="I297" s="263" t="s">
        <v>1009</v>
      </c>
      <c r="J297" s="244"/>
      <c r="K297" s="241"/>
      <c r="M297" s="282"/>
      <c r="N297" s="279"/>
      <c r="P297" s="286"/>
      <c r="Q297" s="284"/>
      <c r="S297" s="290"/>
      <c r="T297" s="288"/>
      <c r="V297" s="250"/>
    </row>
    <row r="298" spans="1:22" ht="75" hidden="1" x14ac:dyDescent="0.25">
      <c r="A298" s="260" t="s">
        <v>1231</v>
      </c>
      <c r="B298" s="223" t="s">
        <v>730</v>
      </c>
      <c r="C298" s="223" t="s">
        <v>294</v>
      </c>
      <c r="D298" s="223" t="s">
        <v>466</v>
      </c>
      <c r="E298" s="223" t="s">
        <v>540</v>
      </c>
      <c r="F298" s="223" t="s">
        <v>1241</v>
      </c>
      <c r="G298" s="223" t="s">
        <v>1242</v>
      </c>
      <c r="H298" s="223" t="s">
        <v>1243</v>
      </c>
      <c r="I298" s="263" t="s">
        <v>1009</v>
      </c>
      <c r="J298" s="244"/>
      <c r="K298" s="241"/>
      <c r="M298" s="282"/>
      <c r="N298" s="279"/>
      <c r="P298" s="286"/>
      <c r="Q298" s="284"/>
      <c r="S298" s="290"/>
      <c r="T298" s="288"/>
      <c r="V298" s="250"/>
    </row>
    <row r="299" spans="1:22" ht="45" hidden="1" x14ac:dyDescent="0.25">
      <c r="A299" s="260" t="s">
        <v>1244</v>
      </c>
      <c r="B299" s="223" t="s">
        <v>730</v>
      </c>
      <c r="C299" s="228" t="s">
        <v>808</v>
      </c>
      <c r="D299" s="220" t="s">
        <v>466</v>
      </c>
      <c r="E299" s="220" t="s">
        <v>532</v>
      </c>
      <c r="F299" s="217"/>
      <c r="G299" s="217" t="s">
        <v>1245</v>
      </c>
      <c r="H299" s="217" t="s">
        <v>1246</v>
      </c>
      <c r="I299" s="263" t="s">
        <v>1008</v>
      </c>
      <c r="J299" s="244"/>
      <c r="K299" s="241"/>
      <c r="M299" s="282"/>
      <c r="N299" s="279"/>
      <c r="P299" s="286"/>
      <c r="Q299" s="284"/>
      <c r="S299" s="290"/>
      <c r="T299" s="288"/>
      <c r="V299" s="250"/>
    </row>
    <row r="300" spans="1:22" ht="120" hidden="1" x14ac:dyDescent="0.25">
      <c r="A300" s="260" t="s">
        <v>146</v>
      </c>
      <c r="B300" s="223" t="s">
        <v>152</v>
      </c>
      <c r="C300" s="228" t="s">
        <v>723</v>
      </c>
      <c r="D300" s="217" t="s">
        <v>466</v>
      </c>
      <c r="E300" s="217" t="s">
        <v>522</v>
      </c>
      <c r="F300" s="217" t="s">
        <v>666</v>
      </c>
      <c r="G300" s="217" t="s">
        <v>1247</v>
      </c>
      <c r="H300" s="217" t="s">
        <v>1248</v>
      </c>
      <c r="I300" s="263" t="s">
        <v>1008</v>
      </c>
      <c r="J300" s="244"/>
      <c r="K300" s="241"/>
      <c r="M300" s="282"/>
      <c r="N300" s="279"/>
      <c r="P300" s="286"/>
      <c r="Q300" s="284"/>
      <c r="S300" s="290"/>
      <c r="T300" s="288"/>
      <c r="V300" s="250"/>
    </row>
    <row r="301" spans="1:22" ht="120" hidden="1" x14ac:dyDescent="0.25">
      <c r="A301" s="260" t="s">
        <v>152</v>
      </c>
      <c r="B301" s="223" t="s">
        <v>152</v>
      </c>
      <c r="C301" s="228" t="s">
        <v>312</v>
      </c>
      <c r="D301" s="220" t="s">
        <v>466</v>
      </c>
      <c r="E301" s="220" t="s">
        <v>522</v>
      </c>
      <c r="F301" s="217"/>
      <c r="G301" s="217" t="s">
        <v>1249</v>
      </c>
      <c r="H301" s="217" t="s">
        <v>1250</v>
      </c>
      <c r="I301" s="263" t="s">
        <v>1008</v>
      </c>
      <c r="J301" s="244"/>
      <c r="K301" s="241"/>
      <c r="M301" s="282"/>
      <c r="N301" s="279"/>
      <c r="P301" s="286"/>
      <c r="Q301" s="284"/>
      <c r="S301" s="290"/>
      <c r="T301" s="288"/>
      <c r="V301" s="250"/>
    </row>
    <row r="302" spans="1:22" ht="75" hidden="1" x14ac:dyDescent="0.25">
      <c r="A302" s="260" t="s">
        <v>1255</v>
      </c>
      <c r="B302" s="223" t="s">
        <v>730</v>
      </c>
      <c r="C302" s="228" t="s">
        <v>759</v>
      </c>
      <c r="D302" s="220" t="s">
        <v>466</v>
      </c>
      <c r="E302" s="220" t="s">
        <v>515</v>
      </c>
      <c r="F302" s="217"/>
      <c r="G302" s="217" t="s">
        <v>1064</v>
      </c>
      <c r="H302" s="217" t="s">
        <v>1251</v>
      </c>
      <c r="I302" s="263" t="s">
        <v>1008</v>
      </c>
      <c r="J302" s="244"/>
      <c r="K302" s="241"/>
      <c r="M302" s="282"/>
      <c r="N302" s="279"/>
      <c r="P302" s="286"/>
      <c r="Q302" s="284"/>
      <c r="S302" s="290"/>
      <c r="T302" s="288"/>
      <c r="V302" s="250"/>
    </row>
    <row r="303" spans="1:22" ht="45" hidden="1" x14ac:dyDescent="0.25">
      <c r="A303" s="260" t="s">
        <v>1255</v>
      </c>
      <c r="B303" s="223" t="s">
        <v>730</v>
      </c>
      <c r="C303" s="228" t="s">
        <v>807</v>
      </c>
      <c r="D303" s="220" t="s">
        <v>466</v>
      </c>
      <c r="E303" s="220" t="s">
        <v>527</v>
      </c>
      <c r="F303" s="217"/>
      <c r="G303" s="217" t="s">
        <v>1064</v>
      </c>
      <c r="H303" s="217" t="s">
        <v>1252</v>
      </c>
      <c r="I303" s="263" t="s">
        <v>1009</v>
      </c>
      <c r="J303" s="244"/>
      <c r="K303" s="241"/>
      <c r="M303" s="282"/>
      <c r="N303" s="279"/>
      <c r="P303" s="286"/>
      <c r="Q303" s="284"/>
      <c r="S303" s="290"/>
      <c r="T303" s="288"/>
      <c r="V303" s="250"/>
    </row>
    <row r="304" spans="1:22" ht="75" hidden="1" x14ac:dyDescent="0.25">
      <c r="A304" s="260" t="s">
        <v>1255</v>
      </c>
      <c r="B304" s="223" t="s">
        <v>730</v>
      </c>
      <c r="C304" s="228" t="s">
        <v>808</v>
      </c>
      <c r="D304" s="220" t="s">
        <v>466</v>
      </c>
      <c r="E304" s="220" t="s">
        <v>533</v>
      </c>
      <c r="F304" s="217"/>
      <c r="G304" s="217" t="s">
        <v>1064</v>
      </c>
      <c r="H304" s="217" t="s">
        <v>1253</v>
      </c>
      <c r="I304" s="263" t="s">
        <v>1009</v>
      </c>
      <c r="J304" s="244"/>
      <c r="K304" s="241"/>
      <c r="M304" s="282"/>
      <c r="N304" s="279"/>
      <c r="P304" s="286"/>
      <c r="Q304" s="284"/>
      <c r="S304" s="290"/>
      <c r="T304" s="288"/>
      <c r="V304" s="250"/>
    </row>
    <row r="305" spans="1:22" ht="60" hidden="1" x14ac:dyDescent="0.25">
      <c r="A305" s="260" t="s">
        <v>1255</v>
      </c>
      <c r="B305" s="223" t="s">
        <v>730</v>
      </c>
      <c r="C305" s="228" t="s">
        <v>436</v>
      </c>
      <c r="D305" s="220" t="s">
        <v>466</v>
      </c>
      <c r="E305" s="220" t="s">
        <v>546</v>
      </c>
      <c r="F305" s="217"/>
      <c r="G305" s="217" t="s">
        <v>1064</v>
      </c>
      <c r="H305" s="217" t="s">
        <v>1254</v>
      </c>
      <c r="I305" s="263" t="s">
        <v>1010</v>
      </c>
      <c r="J305" s="244"/>
      <c r="K305" s="241"/>
      <c r="M305" s="282"/>
      <c r="N305" s="279"/>
      <c r="P305" s="286"/>
      <c r="Q305" s="284"/>
      <c r="S305" s="290"/>
      <c r="T305" s="288"/>
      <c r="V305" s="250"/>
    </row>
    <row r="306" spans="1:22" ht="45" hidden="1" x14ac:dyDescent="0.25">
      <c r="A306" s="260" t="s">
        <v>136</v>
      </c>
      <c r="B306" s="223" t="s">
        <v>730</v>
      </c>
      <c r="C306" s="228" t="s">
        <v>724</v>
      </c>
      <c r="D306" s="217" t="s">
        <v>466</v>
      </c>
      <c r="E306" s="217" t="s">
        <v>536</v>
      </c>
      <c r="F306" s="217" t="s">
        <v>1256</v>
      </c>
      <c r="G306" s="217" t="s">
        <v>1257</v>
      </c>
      <c r="H306" s="217" t="s">
        <v>1258</v>
      </c>
      <c r="I306" s="263" t="s">
        <v>1010</v>
      </c>
      <c r="J306" s="244"/>
      <c r="K306" s="241"/>
      <c r="M306" s="282"/>
      <c r="N306" s="279"/>
      <c r="P306" s="286"/>
      <c r="Q306" s="284"/>
      <c r="S306" s="290"/>
      <c r="T306" s="288"/>
      <c r="V306" s="250"/>
    </row>
    <row r="307" spans="1:22" ht="75" hidden="1" x14ac:dyDescent="0.25">
      <c r="A307" s="260" t="s">
        <v>1273</v>
      </c>
      <c r="B307" s="223" t="s">
        <v>730</v>
      </c>
      <c r="C307" s="228" t="s">
        <v>724</v>
      </c>
      <c r="D307" s="220" t="s">
        <v>466</v>
      </c>
      <c r="E307" s="220" t="s">
        <v>512</v>
      </c>
      <c r="F307" s="221" t="s">
        <v>666</v>
      </c>
      <c r="G307" s="217" t="s">
        <v>1259</v>
      </c>
      <c r="H307" s="217" t="s">
        <v>1260</v>
      </c>
      <c r="I307" s="263" t="s">
        <v>1008</v>
      </c>
      <c r="J307" s="244"/>
      <c r="K307" s="241"/>
      <c r="M307" s="282"/>
      <c r="N307" s="279"/>
      <c r="P307" s="286"/>
      <c r="Q307" s="284"/>
      <c r="S307" s="290"/>
      <c r="T307" s="288"/>
      <c r="V307" s="250"/>
    </row>
    <row r="308" spans="1:22" ht="60" hidden="1" x14ac:dyDescent="0.25">
      <c r="A308" s="260" t="s">
        <v>1273</v>
      </c>
      <c r="B308" s="223" t="s">
        <v>730</v>
      </c>
      <c r="C308" s="228" t="s">
        <v>725</v>
      </c>
      <c r="D308" s="220" t="s">
        <v>466</v>
      </c>
      <c r="E308" s="220" t="s">
        <v>513</v>
      </c>
      <c r="F308" s="221" t="s">
        <v>666</v>
      </c>
      <c r="G308" s="217" t="s">
        <v>1261</v>
      </c>
      <c r="H308" s="217" t="s">
        <v>1262</v>
      </c>
      <c r="I308" s="263" t="s">
        <v>1010</v>
      </c>
      <c r="J308" s="244"/>
      <c r="K308" s="241"/>
      <c r="M308" s="282"/>
      <c r="N308" s="279"/>
      <c r="P308" s="286"/>
      <c r="Q308" s="284"/>
      <c r="S308" s="290"/>
      <c r="T308" s="288"/>
      <c r="V308" s="250"/>
    </row>
    <row r="309" spans="1:22" ht="105" hidden="1" x14ac:dyDescent="0.25">
      <c r="A309" s="260" t="s">
        <v>1273</v>
      </c>
      <c r="B309" s="223" t="s">
        <v>730</v>
      </c>
      <c r="C309" s="228" t="s">
        <v>726</v>
      </c>
      <c r="D309" s="220" t="s">
        <v>466</v>
      </c>
      <c r="E309" s="220" t="s">
        <v>519</v>
      </c>
      <c r="F309" s="221" t="s">
        <v>666</v>
      </c>
      <c r="G309" s="217" t="s">
        <v>1263</v>
      </c>
      <c r="H309" s="217" t="s">
        <v>1264</v>
      </c>
      <c r="I309" s="263" t="s">
        <v>1008</v>
      </c>
      <c r="J309" s="244"/>
      <c r="K309" s="241"/>
      <c r="M309" s="282"/>
      <c r="N309" s="279"/>
      <c r="P309" s="286"/>
      <c r="Q309" s="284"/>
      <c r="S309" s="290"/>
      <c r="T309" s="288"/>
      <c r="V309" s="250"/>
    </row>
    <row r="310" spans="1:22" ht="180" hidden="1" x14ac:dyDescent="0.25">
      <c r="A310" s="260" t="s">
        <v>1273</v>
      </c>
      <c r="B310" s="223" t="s">
        <v>730</v>
      </c>
      <c r="C310" s="228" t="s">
        <v>727</v>
      </c>
      <c r="D310" s="220" t="s">
        <v>466</v>
      </c>
      <c r="E310" s="220" t="s">
        <v>520</v>
      </c>
      <c r="F310" s="221" t="s">
        <v>666</v>
      </c>
      <c r="G310" s="217" t="s">
        <v>1265</v>
      </c>
      <c r="H310" s="217" t="s">
        <v>1266</v>
      </c>
      <c r="I310" s="263" t="s">
        <v>1008</v>
      </c>
      <c r="J310" s="244"/>
      <c r="K310" s="241"/>
      <c r="M310" s="282"/>
      <c r="N310" s="279"/>
      <c r="P310" s="286"/>
      <c r="Q310" s="284"/>
      <c r="S310" s="290"/>
      <c r="T310" s="288"/>
      <c r="V310" s="250"/>
    </row>
    <row r="311" spans="1:22" ht="120" hidden="1" x14ac:dyDescent="0.25">
      <c r="A311" s="260" t="s">
        <v>1273</v>
      </c>
      <c r="B311" s="223" t="s">
        <v>730</v>
      </c>
      <c r="C311" s="228" t="s">
        <v>759</v>
      </c>
      <c r="D311" s="220" t="s">
        <v>466</v>
      </c>
      <c r="E311" s="220" t="s">
        <v>521</v>
      </c>
      <c r="F311" s="221" t="s">
        <v>666</v>
      </c>
      <c r="G311" s="259" t="s">
        <v>1267</v>
      </c>
      <c r="H311" s="259" t="s">
        <v>1268</v>
      </c>
      <c r="I311" s="263" t="s">
        <v>1008</v>
      </c>
      <c r="J311" s="244"/>
      <c r="K311" s="241"/>
      <c r="M311" s="282"/>
      <c r="N311" s="279"/>
      <c r="P311" s="286"/>
      <c r="Q311" s="284"/>
      <c r="S311" s="290"/>
      <c r="T311" s="288"/>
      <c r="V311" s="250"/>
    </row>
    <row r="312" spans="1:22" ht="60" hidden="1" x14ac:dyDescent="0.25">
      <c r="A312" s="260" t="s">
        <v>1273</v>
      </c>
      <c r="B312" s="223" t="s">
        <v>730</v>
      </c>
      <c r="C312" s="228" t="s">
        <v>760</v>
      </c>
      <c r="D312" s="220" t="s">
        <v>466</v>
      </c>
      <c r="E312" s="220" t="s">
        <v>522</v>
      </c>
      <c r="F312" s="221" t="s">
        <v>666</v>
      </c>
      <c r="G312" s="217" t="s">
        <v>1269</v>
      </c>
      <c r="H312" s="217" t="s">
        <v>1270</v>
      </c>
      <c r="I312" s="263" t="s">
        <v>1010</v>
      </c>
      <c r="J312" s="244"/>
      <c r="K312" s="241"/>
      <c r="M312" s="282"/>
      <c r="N312" s="279"/>
      <c r="P312" s="286"/>
      <c r="Q312" s="284"/>
      <c r="S312" s="290"/>
      <c r="T312" s="288"/>
      <c r="V312" s="250"/>
    </row>
    <row r="313" spans="1:22" ht="135" hidden="1" x14ac:dyDescent="0.25">
      <c r="A313" s="260" t="s">
        <v>1273</v>
      </c>
      <c r="B313" s="223" t="s">
        <v>730</v>
      </c>
      <c r="C313" s="228" t="s">
        <v>763</v>
      </c>
      <c r="D313" s="220" t="s">
        <v>466</v>
      </c>
      <c r="E313" s="220" t="s">
        <v>523</v>
      </c>
      <c r="F313" s="221" t="s">
        <v>666</v>
      </c>
      <c r="G313" s="259" t="s">
        <v>1271</v>
      </c>
      <c r="H313" s="217" t="s">
        <v>1272</v>
      </c>
      <c r="I313" s="263" t="s">
        <v>1010</v>
      </c>
      <c r="J313" s="244"/>
      <c r="K313" s="241"/>
      <c r="M313" s="282"/>
      <c r="N313" s="279"/>
      <c r="P313" s="286"/>
      <c r="Q313" s="284"/>
      <c r="S313" s="290"/>
      <c r="T313" s="288"/>
      <c r="V313" s="250"/>
    </row>
    <row r="314" spans="1:22" ht="45" hidden="1" x14ac:dyDescent="0.25">
      <c r="A314" s="260" t="s">
        <v>173</v>
      </c>
      <c r="B314" s="223" t="s">
        <v>704</v>
      </c>
      <c r="C314" s="221" t="s">
        <v>282</v>
      </c>
      <c r="D314" s="220" t="s">
        <v>466</v>
      </c>
      <c r="E314" s="220" t="s">
        <v>532</v>
      </c>
      <c r="F314" s="221" t="s">
        <v>666</v>
      </c>
      <c r="G314" s="220" t="s">
        <v>1274</v>
      </c>
      <c r="H314" s="220" t="s">
        <v>1275</v>
      </c>
      <c r="I314" s="263" t="s">
        <v>1009</v>
      </c>
      <c r="J314" s="244"/>
      <c r="K314" s="241"/>
      <c r="M314" s="282"/>
      <c r="N314" s="279"/>
      <c r="P314" s="286"/>
      <c r="Q314" s="284"/>
      <c r="S314" s="290"/>
      <c r="T314" s="288"/>
      <c r="V314" s="250"/>
    </row>
    <row r="315" spans="1:22" ht="75" hidden="1" x14ac:dyDescent="0.25">
      <c r="A315" s="260" t="s">
        <v>173</v>
      </c>
      <c r="B315" s="223" t="s">
        <v>704</v>
      </c>
      <c r="C315" s="228" t="s">
        <v>284</v>
      </c>
      <c r="D315" s="217" t="s">
        <v>466</v>
      </c>
      <c r="E315" s="220" t="s">
        <v>533</v>
      </c>
      <c r="F315" s="221" t="s">
        <v>666</v>
      </c>
      <c r="G315" s="217" t="s">
        <v>1276</v>
      </c>
      <c r="H315" s="217" t="s">
        <v>1277</v>
      </c>
      <c r="I315" s="263" t="s">
        <v>1009</v>
      </c>
      <c r="J315" s="244"/>
      <c r="K315" s="241"/>
      <c r="M315" s="282"/>
      <c r="N315" s="279"/>
      <c r="P315" s="286"/>
      <c r="Q315" s="284"/>
      <c r="S315" s="290"/>
      <c r="T315" s="288"/>
      <c r="V315" s="250"/>
    </row>
    <row r="316" spans="1:22" ht="45" hidden="1" x14ac:dyDescent="0.25">
      <c r="A316" s="260" t="s">
        <v>173</v>
      </c>
      <c r="B316" s="223" t="s">
        <v>714</v>
      </c>
      <c r="C316" s="221" t="s">
        <v>713</v>
      </c>
      <c r="D316" s="220" t="s">
        <v>466</v>
      </c>
      <c r="E316" s="220" t="s">
        <v>517</v>
      </c>
      <c r="F316" s="221" t="s">
        <v>666</v>
      </c>
      <c r="G316" s="220" t="s">
        <v>1278</v>
      </c>
      <c r="H316" s="220" t="s">
        <v>1279</v>
      </c>
      <c r="I316" s="263" t="s">
        <v>1008</v>
      </c>
      <c r="J316" s="244"/>
      <c r="K316" s="241"/>
      <c r="M316" s="282"/>
      <c r="N316" s="279"/>
      <c r="P316" s="286"/>
      <c r="Q316" s="284"/>
      <c r="S316" s="290"/>
      <c r="T316" s="288"/>
      <c r="V316" s="250"/>
    </row>
    <row r="317" spans="1:22" ht="75" hidden="1" x14ac:dyDescent="0.25">
      <c r="A317" s="260" t="s">
        <v>173</v>
      </c>
      <c r="B317" s="223" t="s">
        <v>714</v>
      </c>
      <c r="C317" s="228" t="s">
        <v>307</v>
      </c>
      <c r="D317" s="217" t="s">
        <v>466</v>
      </c>
      <c r="E317" s="220" t="s">
        <v>543</v>
      </c>
      <c r="F317" s="221" t="s">
        <v>666</v>
      </c>
      <c r="G317" s="217" t="s">
        <v>1280</v>
      </c>
      <c r="H317" s="217" t="s">
        <v>1281</v>
      </c>
      <c r="I317" s="263" t="s">
        <v>1008</v>
      </c>
      <c r="J317" s="244"/>
      <c r="K317" s="241"/>
      <c r="M317" s="282"/>
      <c r="N317" s="279"/>
      <c r="P317" s="286"/>
      <c r="Q317" s="284"/>
      <c r="S317" s="290"/>
      <c r="T317" s="288"/>
      <c r="V317" s="250"/>
    </row>
    <row r="318" spans="1:22" ht="60" hidden="1" x14ac:dyDescent="0.25">
      <c r="A318" s="260" t="s">
        <v>173</v>
      </c>
      <c r="B318" s="223" t="s">
        <v>152</v>
      </c>
      <c r="C318" s="221" t="s">
        <v>716</v>
      </c>
      <c r="D318" s="220" t="s">
        <v>466</v>
      </c>
      <c r="E318" s="220" t="s">
        <v>537</v>
      </c>
      <c r="F318" s="221" t="s">
        <v>666</v>
      </c>
      <c r="G318" s="220" t="s">
        <v>1282</v>
      </c>
      <c r="H318" s="220" t="s">
        <v>1283</v>
      </c>
      <c r="I318" s="263" t="s">
        <v>1010</v>
      </c>
      <c r="J318" s="244"/>
      <c r="K318" s="241"/>
      <c r="M318" s="282"/>
      <c r="N318" s="279"/>
      <c r="P318" s="286"/>
      <c r="Q318" s="284"/>
      <c r="S318" s="290"/>
      <c r="T318" s="288"/>
      <c r="V318" s="250"/>
    </row>
    <row r="319" spans="1:22" ht="60" hidden="1" x14ac:dyDescent="0.25">
      <c r="A319" s="260" t="s">
        <v>173</v>
      </c>
      <c r="B319" s="223" t="s">
        <v>152</v>
      </c>
      <c r="C319" s="228" t="s">
        <v>719</v>
      </c>
      <c r="D319" s="217" t="s">
        <v>466</v>
      </c>
      <c r="E319" s="220" t="s">
        <v>523</v>
      </c>
      <c r="F319" s="221" t="s">
        <v>666</v>
      </c>
      <c r="G319" s="217" t="s">
        <v>1284</v>
      </c>
      <c r="H319" s="217" t="s">
        <v>1285</v>
      </c>
      <c r="I319" s="263" t="s">
        <v>1008</v>
      </c>
      <c r="J319" s="244"/>
      <c r="K319" s="241"/>
      <c r="M319" s="282"/>
      <c r="N319" s="279"/>
      <c r="P319" s="286"/>
      <c r="Q319" s="284"/>
      <c r="S319" s="290"/>
      <c r="T319" s="288"/>
      <c r="V319" s="250"/>
    </row>
    <row r="320" spans="1:22" ht="60" hidden="1" x14ac:dyDescent="0.25">
      <c r="A320" s="260" t="s">
        <v>173</v>
      </c>
      <c r="B320" s="223" t="s">
        <v>152</v>
      </c>
      <c r="C320" s="228" t="s">
        <v>722</v>
      </c>
      <c r="D320" s="217" t="s">
        <v>466</v>
      </c>
      <c r="E320" s="220" t="s">
        <v>520</v>
      </c>
      <c r="F320" s="221" t="s">
        <v>666</v>
      </c>
      <c r="G320" s="217" t="s">
        <v>1286</v>
      </c>
      <c r="H320" s="217" t="s">
        <v>1287</v>
      </c>
      <c r="I320" s="263" t="s">
        <v>1010</v>
      </c>
      <c r="J320" s="244"/>
      <c r="K320" s="241"/>
      <c r="M320" s="282"/>
      <c r="N320" s="279"/>
      <c r="P320" s="286"/>
      <c r="Q320" s="284"/>
      <c r="S320" s="290"/>
      <c r="T320" s="288"/>
      <c r="V320" s="250"/>
    </row>
    <row r="321" spans="1:22" ht="75" hidden="1" x14ac:dyDescent="0.25">
      <c r="A321" s="260" t="s">
        <v>173</v>
      </c>
      <c r="B321" s="223" t="s">
        <v>730</v>
      </c>
      <c r="C321" s="228" t="s">
        <v>724</v>
      </c>
      <c r="D321" s="220" t="s">
        <v>466</v>
      </c>
      <c r="E321" s="220" t="s">
        <v>515</v>
      </c>
      <c r="F321" s="221" t="s">
        <v>666</v>
      </c>
      <c r="G321" s="217" t="s">
        <v>1288</v>
      </c>
      <c r="H321" s="217" t="s">
        <v>1289</v>
      </c>
      <c r="I321" s="263" t="s">
        <v>1010</v>
      </c>
      <c r="J321" s="244"/>
      <c r="K321" s="241"/>
      <c r="M321" s="282"/>
      <c r="N321" s="279"/>
      <c r="P321" s="286"/>
      <c r="Q321" s="284"/>
      <c r="S321" s="290"/>
      <c r="T321" s="288"/>
      <c r="V321" s="250"/>
    </row>
    <row r="322" spans="1:22" ht="45" hidden="1" x14ac:dyDescent="0.25">
      <c r="A322" s="260" t="s">
        <v>173</v>
      </c>
      <c r="B322" s="223" t="s">
        <v>730</v>
      </c>
      <c r="C322" s="228" t="s">
        <v>726</v>
      </c>
      <c r="D322" s="220" t="s">
        <v>466</v>
      </c>
      <c r="E322" s="220" t="s">
        <v>525</v>
      </c>
      <c r="F322" s="221" t="s">
        <v>666</v>
      </c>
      <c r="G322" s="217" t="s">
        <v>1290</v>
      </c>
      <c r="H322" s="217" t="s">
        <v>1291</v>
      </c>
      <c r="I322" s="263" t="s">
        <v>1010</v>
      </c>
      <c r="J322" s="244"/>
      <c r="K322" s="241"/>
      <c r="M322" s="282"/>
      <c r="N322" s="279"/>
      <c r="P322" s="286"/>
      <c r="Q322" s="284"/>
      <c r="S322" s="290"/>
      <c r="T322" s="288"/>
      <c r="V322" s="250"/>
    </row>
    <row r="323" spans="1:22" ht="30" hidden="1" x14ac:dyDescent="0.25">
      <c r="A323" s="260" t="s">
        <v>1307</v>
      </c>
      <c r="B323" s="223" t="s">
        <v>730</v>
      </c>
      <c r="C323" s="228" t="s">
        <v>727</v>
      </c>
      <c r="D323" s="220" t="s">
        <v>466</v>
      </c>
      <c r="E323" s="220" t="s">
        <v>474</v>
      </c>
      <c r="F323" s="221" t="s">
        <v>666</v>
      </c>
      <c r="G323" s="217" t="s">
        <v>1292</v>
      </c>
      <c r="H323" s="217" t="s">
        <v>1293</v>
      </c>
      <c r="I323" s="263" t="s">
        <v>1008</v>
      </c>
      <c r="J323" s="244"/>
      <c r="K323" s="241"/>
      <c r="M323" s="282"/>
      <c r="N323" s="279"/>
      <c r="P323" s="286"/>
      <c r="Q323" s="284"/>
      <c r="S323" s="290"/>
      <c r="T323" s="288"/>
      <c r="V323" s="250"/>
    </row>
    <row r="324" spans="1:22" ht="30" hidden="1" x14ac:dyDescent="0.25">
      <c r="A324" s="260" t="s">
        <v>1307</v>
      </c>
      <c r="B324" s="223" t="s">
        <v>730</v>
      </c>
      <c r="C324" s="228" t="s">
        <v>759</v>
      </c>
      <c r="D324" s="220" t="s">
        <v>466</v>
      </c>
      <c r="E324" s="220" t="s">
        <v>474</v>
      </c>
      <c r="F324" s="221" t="s">
        <v>666</v>
      </c>
      <c r="G324" s="217" t="s">
        <v>1292</v>
      </c>
      <c r="H324" s="217" t="s">
        <v>1293</v>
      </c>
      <c r="I324" s="263" t="s">
        <v>1008</v>
      </c>
      <c r="J324" s="244"/>
      <c r="K324" s="241"/>
      <c r="M324" s="282"/>
      <c r="N324" s="279"/>
      <c r="P324" s="286"/>
      <c r="Q324" s="284"/>
      <c r="S324" s="290"/>
      <c r="T324" s="288"/>
      <c r="V324" s="250"/>
    </row>
    <row r="325" spans="1:22" ht="30" hidden="1" x14ac:dyDescent="0.25">
      <c r="A325" s="260" t="s">
        <v>1307</v>
      </c>
      <c r="B325" s="223" t="s">
        <v>730</v>
      </c>
      <c r="C325" s="228" t="s">
        <v>760</v>
      </c>
      <c r="D325" s="220" t="s">
        <v>466</v>
      </c>
      <c r="E325" s="220" t="s">
        <v>474</v>
      </c>
      <c r="F325" s="221" t="s">
        <v>666</v>
      </c>
      <c r="G325" s="217" t="s">
        <v>1292</v>
      </c>
      <c r="H325" s="217" t="s">
        <v>1293</v>
      </c>
      <c r="I325" s="263" t="s">
        <v>1008</v>
      </c>
      <c r="J325" s="244"/>
      <c r="K325" s="241"/>
      <c r="M325" s="282"/>
      <c r="N325" s="279"/>
      <c r="P325" s="286"/>
      <c r="Q325" s="284"/>
      <c r="S325" s="290"/>
      <c r="T325" s="288"/>
      <c r="V325" s="250"/>
    </row>
    <row r="326" spans="1:22" ht="45" hidden="1" x14ac:dyDescent="0.25">
      <c r="A326" s="260" t="s">
        <v>1307</v>
      </c>
      <c r="B326" s="223" t="s">
        <v>730</v>
      </c>
      <c r="C326" s="228" t="s">
        <v>763</v>
      </c>
      <c r="D326" s="220" t="s">
        <v>466</v>
      </c>
      <c r="E326" s="220" t="s">
        <v>525</v>
      </c>
      <c r="F326" s="221" t="s">
        <v>666</v>
      </c>
      <c r="G326" s="217" t="s">
        <v>1294</v>
      </c>
      <c r="H326" s="217" t="s">
        <v>1295</v>
      </c>
      <c r="I326" s="263" t="s">
        <v>1008</v>
      </c>
      <c r="J326" s="244"/>
      <c r="K326" s="241"/>
      <c r="M326" s="282"/>
      <c r="N326" s="279"/>
      <c r="P326" s="286"/>
      <c r="Q326" s="284"/>
      <c r="S326" s="290"/>
      <c r="T326" s="288"/>
      <c r="V326" s="250"/>
    </row>
    <row r="327" spans="1:22" ht="45" hidden="1" x14ac:dyDescent="0.25">
      <c r="A327" s="260" t="s">
        <v>1307</v>
      </c>
      <c r="B327" s="223" t="s">
        <v>730</v>
      </c>
      <c r="C327" s="228" t="s">
        <v>807</v>
      </c>
      <c r="D327" s="220" t="s">
        <v>466</v>
      </c>
      <c r="E327" s="220" t="s">
        <v>525</v>
      </c>
      <c r="F327" s="221" t="s">
        <v>666</v>
      </c>
      <c r="G327" s="217" t="s">
        <v>1294</v>
      </c>
      <c r="H327" s="217" t="s">
        <v>1295</v>
      </c>
      <c r="I327" s="263" t="s">
        <v>1008</v>
      </c>
      <c r="J327" s="244"/>
      <c r="K327" s="241"/>
      <c r="M327" s="282"/>
      <c r="N327" s="279"/>
      <c r="P327" s="286"/>
      <c r="Q327" s="284"/>
      <c r="S327" s="290"/>
      <c r="T327" s="288"/>
      <c r="V327" s="250"/>
    </row>
    <row r="328" spans="1:22" ht="45" hidden="1" x14ac:dyDescent="0.25">
      <c r="A328" s="260" t="s">
        <v>1307</v>
      </c>
      <c r="B328" s="223" t="s">
        <v>730</v>
      </c>
      <c r="C328" s="228" t="s">
        <v>808</v>
      </c>
      <c r="D328" s="220" t="s">
        <v>466</v>
      </c>
      <c r="E328" s="220" t="s">
        <v>525</v>
      </c>
      <c r="F328" s="221" t="s">
        <v>666</v>
      </c>
      <c r="G328" s="217" t="s">
        <v>1294</v>
      </c>
      <c r="H328" s="217" t="s">
        <v>1295</v>
      </c>
      <c r="I328" s="263" t="s">
        <v>1008</v>
      </c>
      <c r="J328" s="244"/>
      <c r="K328" s="241"/>
      <c r="M328" s="282"/>
      <c r="N328" s="279"/>
      <c r="P328" s="286"/>
      <c r="Q328" s="284"/>
      <c r="S328" s="290"/>
      <c r="T328" s="288"/>
      <c r="V328" s="250"/>
    </row>
    <row r="329" spans="1:22" ht="90" hidden="1" x14ac:dyDescent="0.25">
      <c r="A329" s="260" t="s">
        <v>1307</v>
      </c>
      <c r="B329" s="223" t="s">
        <v>730</v>
      </c>
      <c r="C329" s="228" t="s">
        <v>436</v>
      </c>
      <c r="D329" s="220" t="s">
        <v>466</v>
      </c>
      <c r="E329" s="220" t="s">
        <v>529</v>
      </c>
      <c r="F329" s="221" t="s">
        <v>666</v>
      </c>
      <c r="G329" s="217" t="s">
        <v>1296</v>
      </c>
      <c r="H329" s="217" t="s">
        <v>1297</v>
      </c>
      <c r="I329" s="263" t="s">
        <v>1010</v>
      </c>
      <c r="J329" s="244"/>
      <c r="K329" s="241"/>
      <c r="M329" s="282"/>
      <c r="N329" s="279"/>
      <c r="P329" s="286"/>
      <c r="Q329" s="284"/>
      <c r="S329" s="290"/>
      <c r="T329" s="288"/>
      <c r="V329" s="250"/>
    </row>
    <row r="330" spans="1:22" ht="60" hidden="1" x14ac:dyDescent="0.25">
      <c r="A330" s="260" t="s">
        <v>1307</v>
      </c>
      <c r="B330" s="223" t="s">
        <v>730</v>
      </c>
      <c r="C330" s="228" t="s">
        <v>437</v>
      </c>
      <c r="D330" s="220" t="s">
        <v>466</v>
      </c>
      <c r="E330" s="220" t="s">
        <v>532</v>
      </c>
      <c r="F330" s="221" t="s">
        <v>666</v>
      </c>
      <c r="G330" s="217" t="s">
        <v>1298</v>
      </c>
      <c r="H330" s="217" t="s">
        <v>1299</v>
      </c>
      <c r="I330" s="263" t="s">
        <v>1008</v>
      </c>
      <c r="J330" s="244"/>
      <c r="K330" s="241"/>
      <c r="M330" s="282"/>
      <c r="N330" s="279"/>
      <c r="P330" s="286"/>
      <c r="Q330" s="284"/>
      <c r="S330" s="290"/>
      <c r="T330" s="288"/>
      <c r="V330" s="250"/>
    </row>
    <row r="331" spans="1:22" ht="60" hidden="1" x14ac:dyDescent="0.25">
      <c r="A331" s="260" t="s">
        <v>1307</v>
      </c>
      <c r="B331" s="223" t="s">
        <v>730</v>
      </c>
      <c r="C331" s="228" t="s">
        <v>438</v>
      </c>
      <c r="D331" s="220" t="s">
        <v>466</v>
      </c>
      <c r="E331" s="220" t="s">
        <v>532</v>
      </c>
      <c r="F331" s="221" t="s">
        <v>666</v>
      </c>
      <c r="G331" s="217" t="s">
        <v>1298</v>
      </c>
      <c r="H331" s="217" t="s">
        <v>1300</v>
      </c>
      <c r="I331" s="263" t="s">
        <v>1008</v>
      </c>
      <c r="J331" s="244"/>
      <c r="K331" s="241"/>
      <c r="M331" s="282"/>
      <c r="N331" s="279"/>
      <c r="P331" s="286"/>
      <c r="Q331" s="284"/>
      <c r="S331" s="290"/>
      <c r="T331" s="288"/>
      <c r="V331" s="250"/>
    </row>
    <row r="332" spans="1:22" ht="60" hidden="1" x14ac:dyDescent="0.25">
      <c r="A332" s="260" t="s">
        <v>1307</v>
      </c>
      <c r="B332" s="223" t="s">
        <v>730</v>
      </c>
      <c r="C332" s="228" t="s">
        <v>439</v>
      </c>
      <c r="D332" s="220" t="s">
        <v>466</v>
      </c>
      <c r="E332" s="220" t="s">
        <v>532</v>
      </c>
      <c r="F332" s="221" t="s">
        <v>666</v>
      </c>
      <c r="G332" s="217" t="s">
        <v>1298</v>
      </c>
      <c r="H332" s="217" t="s">
        <v>1300</v>
      </c>
      <c r="I332" s="263" t="s">
        <v>1008</v>
      </c>
      <c r="J332" s="244"/>
      <c r="K332" s="241"/>
      <c r="M332" s="282"/>
      <c r="N332" s="279"/>
      <c r="P332" s="286"/>
      <c r="Q332" s="284"/>
      <c r="S332" s="290"/>
      <c r="T332" s="288"/>
      <c r="V332" s="250"/>
    </row>
    <row r="333" spans="1:22" ht="60" hidden="1" x14ac:dyDescent="0.25">
      <c r="A333" s="260" t="s">
        <v>1307</v>
      </c>
      <c r="B333" s="223" t="s">
        <v>730</v>
      </c>
      <c r="C333" s="228" t="s">
        <v>440</v>
      </c>
      <c r="D333" s="220" t="s">
        <v>466</v>
      </c>
      <c r="E333" s="220" t="s">
        <v>532</v>
      </c>
      <c r="F333" s="221" t="s">
        <v>666</v>
      </c>
      <c r="G333" s="217" t="s">
        <v>1298</v>
      </c>
      <c r="H333" s="217" t="s">
        <v>1300</v>
      </c>
      <c r="I333" s="263" t="s">
        <v>1008</v>
      </c>
      <c r="J333" s="244"/>
      <c r="K333" s="241"/>
      <c r="M333" s="282"/>
      <c r="N333" s="279"/>
      <c r="P333" s="286"/>
      <c r="Q333" s="284"/>
      <c r="S333" s="290"/>
      <c r="T333" s="288"/>
      <c r="V333" s="250"/>
    </row>
    <row r="334" spans="1:22" ht="60" hidden="1" x14ac:dyDescent="0.25">
      <c r="A334" s="260" t="s">
        <v>1307</v>
      </c>
      <c r="B334" s="223" t="s">
        <v>730</v>
      </c>
      <c r="C334" s="228" t="s">
        <v>441</v>
      </c>
      <c r="D334" s="220" t="s">
        <v>466</v>
      </c>
      <c r="E334" s="220" t="s">
        <v>532</v>
      </c>
      <c r="F334" s="221" t="s">
        <v>666</v>
      </c>
      <c r="G334" s="217" t="s">
        <v>1298</v>
      </c>
      <c r="H334" s="217" t="s">
        <v>1300</v>
      </c>
      <c r="I334" s="263" t="s">
        <v>1008</v>
      </c>
      <c r="J334" s="244"/>
      <c r="K334" s="241"/>
      <c r="M334" s="282"/>
      <c r="N334" s="279"/>
      <c r="P334" s="286"/>
      <c r="Q334" s="284"/>
      <c r="S334" s="290"/>
      <c r="T334" s="288"/>
      <c r="V334" s="250"/>
    </row>
    <row r="335" spans="1:22" ht="60" hidden="1" x14ac:dyDescent="0.25">
      <c r="A335" s="260" t="s">
        <v>1307</v>
      </c>
      <c r="B335" s="223" t="s">
        <v>730</v>
      </c>
      <c r="C335" s="228" t="s">
        <v>442</v>
      </c>
      <c r="D335" s="220" t="s">
        <v>466</v>
      </c>
      <c r="E335" s="220" t="s">
        <v>475</v>
      </c>
      <c r="F335" s="221" t="s">
        <v>666</v>
      </c>
      <c r="G335" s="217" t="s">
        <v>1301</v>
      </c>
      <c r="H335" s="217" t="s">
        <v>1302</v>
      </c>
      <c r="I335" s="263" t="s">
        <v>1008</v>
      </c>
      <c r="J335" s="244"/>
      <c r="K335" s="241"/>
      <c r="M335" s="282"/>
      <c r="N335" s="279"/>
      <c r="P335" s="286"/>
      <c r="Q335" s="284"/>
      <c r="S335" s="290"/>
      <c r="T335" s="288"/>
      <c r="V335" s="250"/>
    </row>
    <row r="336" spans="1:22" ht="60" hidden="1" x14ac:dyDescent="0.25">
      <c r="A336" s="260" t="s">
        <v>1307</v>
      </c>
      <c r="B336" s="223" t="s">
        <v>730</v>
      </c>
      <c r="C336" s="228" t="s">
        <v>443</v>
      </c>
      <c r="D336" s="220" t="s">
        <v>466</v>
      </c>
      <c r="E336" s="220" t="s">
        <v>522</v>
      </c>
      <c r="F336" s="221" t="s">
        <v>666</v>
      </c>
      <c r="G336" s="217" t="s">
        <v>1303</v>
      </c>
      <c r="H336" s="217" t="s">
        <v>1304</v>
      </c>
      <c r="I336" s="263" t="s">
        <v>1008</v>
      </c>
      <c r="J336" s="244"/>
      <c r="K336" s="241"/>
      <c r="M336" s="282"/>
      <c r="N336" s="279"/>
      <c r="P336" s="286"/>
      <c r="Q336" s="284"/>
      <c r="S336" s="290"/>
      <c r="T336" s="288"/>
      <c r="V336" s="250"/>
    </row>
    <row r="337" spans="1:22" ht="60" hidden="1" x14ac:dyDescent="0.25">
      <c r="A337" s="260" t="s">
        <v>1307</v>
      </c>
      <c r="B337" s="223" t="s">
        <v>730</v>
      </c>
      <c r="C337" s="228" t="s">
        <v>444</v>
      </c>
      <c r="D337" s="220" t="s">
        <v>466</v>
      </c>
      <c r="E337" s="220" t="s">
        <v>497</v>
      </c>
      <c r="F337" s="221" t="s">
        <v>666</v>
      </c>
      <c r="G337" s="217" t="s">
        <v>1305</v>
      </c>
      <c r="H337" s="217" t="s">
        <v>1306</v>
      </c>
      <c r="I337" s="263" t="s">
        <v>1008</v>
      </c>
      <c r="J337" s="244"/>
      <c r="K337" s="241"/>
      <c r="M337" s="282"/>
      <c r="N337" s="279"/>
      <c r="P337" s="286"/>
      <c r="Q337" s="284"/>
      <c r="S337" s="290"/>
      <c r="T337" s="288"/>
      <c r="V337" s="250"/>
    </row>
    <row r="338" spans="1:22" ht="60" hidden="1" x14ac:dyDescent="0.25">
      <c r="A338" s="260" t="s">
        <v>1307</v>
      </c>
      <c r="B338" s="223" t="s">
        <v>730</v>
      </c>
      <c r="C338" s="228" t="s">
        <v>445</v>
      </c>
      <c r="D338" s="220" t="s">
        <v>466</v>
      </c>
      <c r="E338" s="220" t="s">
        <v>497</v>
      </c>
      <c r="F338" s="221" t="s">
        <v>666</v>
      </c>
      <c r="G338" s="217" t="s">
        <v>1305</v>
      </c>
      <c r="H338" s="217" t="s">
        <v>1306</v>
      </c>
      <c r="I338" s="263" t="s">
        <v>1008</v>
      </c>
      <c r="J338" s="244"/>
      <c r="K338" s="241"/>
      <c r="M338" s="282"/>
      <c r="N338" s="279"/>
      <c r="P338" s="286"/>
      <c r="Q338" s="284"/>
      <c r="S338" s="290"/>
      <c r="T338" s="288"/>
      <c r="V338" s="250"/>
    </row>
    <row r="339" spans="1:22" x14ac:dyDescent="0.25">
      <c r="A339" s="216"/>
      <c r="B339" s="216"/>
      <c r="C339" s="216"/>
      <c r="D339" s="216"/>
      <c r="E339" s="216"/>
      <c r="F339" s="216"/>
      <c r="G339" s="216"/>
      <c r="H339" s="216"/>
      <c r="I339" s="216"/>
      <c r="J339" s="303"/>
      <c r="K339" s="245"/>
      <c r="L339" s="245"/>
      <c r="M339" s="245"/>
      <c r="N339" s="246"/>
      <c r="O339" s="246"/>
      <c r="P339" s="246"/>
      <c r="Q339" s="247"/>
      <c r="R339" s="247"/>
      <c r="S339" s="247"/>
      <c r="T339" s="248"/>
      <c r="U339" s="248"/>
      <c r="V339" s="248"/>
    </row>
  </sheetData>
  <autoFilter ref="A5:V338">
    <filterColumn colId="0">
      <filters>
        <filter val="BIENESTAR POPAYÁN"/>
      </filters>
    </filterColumn>
    <filterColumn colId="1">
      <filters>
        <filter val="COMPLETARIOS"/>
      </filters>
    </filterColumn>
  </autoFilter>
  <mergeCells count="19">
    <mergeCell ref="H1:V1"/>
    <mergeCell ref="E2:E5"/>
    <mergeCell ref="A2:A5"/>
    <mergeCell ref="I2:I5"/>
    <mergeCell ref="H2:H5"/>
    <mergeCell ref="B2:B5"/>
    <mergeCell ref="G2:G5"/>
    <mergeCell ref="C2:C5"/>
    <mergeCell ref="D2:D5"/>
    <mergeCell ref="T4:V4"/>
    <mergeCell ref="K4:M4"/>
    <mergeCell ref="N4:P4"/>
    <mergeCell ref="Q4:S4"/>
    <mergeCell ref="J2:J5"/>
    <mergeCell ref="K2:V2"/>
    <mergeCell ref="K3:M3"/>
    <mergeCell ref="N3:P3"/>
    <mergeCell ref="Q3:S3"/>
    <mergeCell ref="T3:V3"/>
  </mergeCells>
  <conditionalFormatting sqref="E32">
    <cfRule type="colorScale" priority="93">
      <colorScale>
        <cfvo type="min"/>
        <cfvo type="percentile" val="50"/>
        <cfvo type="max"/>
        <color rgb="FFF8696B"/>
        <color rgb="FFFFEB84"/>
        <color rgb="FF63BE7B"/>
      </colorScale>
    </cfRule>
  </conditionalFormatting>
  <conditionalFormatting sqref="E194">
    <cfRule type="colorScale" priority="3">
      <colorScale>
        <cfvo type="min"/>
        <cfvo type="percentile" val="50"/>
        <cfvo type="max"/>
        <color rgb="FFF8696B"/>
        <color rgb="FFFFEB84"/>
        <color rgb="FF63BE7B"/>
      </colorScale>
    </cfRule>
  </conditionalFormatting>
  <conditionalFormatting sqref="E219">
    <cfRule type="colorScale" priority="2">
      <colorScale>
        <cfvo type="min"/>
        <cfvo type="percentile" val="50"/>
        <cfvo type="max"/>
        <color rgb="FFF8696B"/>
        <color rgb="FFFFEB84"/>
        <color rgb="FF63BE7B"/>
      </colorScale>
    </cfRule>
  </conditionalFormatting>
  <conditionalFormatting sqref="E220">
    <cfRule type="colorScale" priority="16">
      <colorScale>
        <cfvo type="min"/>
        <cfvo type="percentile" val="50"/>
        <cfvo type="max"/>
        <color rgb="FFF8696B"/>
        <color rgb="FFFFEB84"/>
        <color rgb="FF63BE7B"/>
      </colorScale>
    </cfRule>
  </conditionalFormatting>
  <conditionalFormatting sqref="E227">
    <cfRule type="colorScale" priority="1">
      <colorScale>
        <cfvo type="min"/>
        <cfvo type="percentile" val="50"/>
        <cfvo type="max"/>
        <color rgb="FFF8696B"/>
        <color rgb="FFFFEB84"/>
        <color rgb="FF63BE7B"/>
      </colorScale>
    </cfRule>
  </conditionalFormatting>
  <conditionalFormatting sqref="E271">
    <cfRule type="colorScale" priority="15">
      <colorScale>
        <cfvo type="min"/>
        <cfvo type="percentile" val="50"/>
        <cfvo type="max"/>
        <color rgb="FFF8696B"/>
        <color rgb="FFFFEB84"/>
        <color rgb="FF63BE7B"/>
      </colorScale>
    </cfRule>
  </conditionalFormatting>
  <conditionalFormatting sqref="E278">
    <cfRule type="colorScale" priority="13">
      <colorScale>
        <cfvo type="min"/>
        <cfvo type="percentile" val="50"/>
        <cfvo type="max"/>
        <color rgb="FFF8696B"/>
        <color rgb="FFFFEB84"/>
        <color rgb="FF63BE7B"/>
      </colorScale>
    </cfRule>
  </conditionalFormatting>
  <conditionalFormatting sqref="E279">
    <cfRule type="colorScale" priority="12">
      <colorScale>
        <cfvo type="min"/>
        <cfvo type="percentile" val="50"/>
        <cfvo type="max"/>
        <color rgb="FFF8696B"/>
        <color rgb="FFFFEB84"/>
        <color rgb="FF63BE7B"/>
      </colorScale>
    </cfRule>
  </conditionalFormatting>
  <conditionalFormatting sqref="E280">
    <cfRule type="colorScale" priority="11">
      <colorScale>
        <cfvo type="min"/>
        <cfvo type="percentile" val="50"/>
        <cfvo type="max"/>
        <color rgb="FFF8696B"/>
        <color rgb="FFFFEB84"/>
        <color rgb="FF63BE7B"/>
      </colorScale>
    </cfRule>
  </conditionalFormatting>
  <conditionalFormatting sqref="E281">
    <cfRule type="colorScale" priority="10">
      <colorScale>
        <cfvo type="min"/>
        <cfvo type="percentile" val="50"/>
        <cfvo type="max"/>
        <color rgb="FFF8696B"/>
        <color rgb="FFFFEB84"/>
        <color rgb="FF63BE7B"/>
      </colorScale>
    </cfRule>
  </conditionalFormatting>
  <conditionalFormatting sqref="E282">
    <cfRule type="colorScale" priority="9">
      <colorScale>
        <cfvo type="min"/>
        <cfvo type="percentile" val="50"/>
        <cfvo type="max"/>
        <color rgb="FFF8696B"/>
        <color rgb="FFFFEB84"/>
        <color rgb="FF63BE7B"/>
      </colorScale>
    </cfRule>
  </conditionalFormatting>
  <conditionalFormatting sqref="E283">
    <cfRule type="colorScale" priority="8">
      <colorScale>
        <cfvo type="min"/>
        <cfvo type="percentile" val="50"/>
        <cfvo type="max"/>
        <color rgb="FFF8696B"/>
        <color rgb="FFFFEB84"/>
        <color rgb="FF63BE7B"/>
      </colorScale>
    </cfRule>
  </conditionalFormatting>
  <conditionalFormatting sqref="E284">
    <cfRule type="colorScale" priority="7">
      <colorScale>
        <cfvo type="min"/>
        <cfvo type="percentile" val="50"/>
        <cfvo type="max"/>
        <color rgb="FFF8696B"/>
        <color rgb="FFFFEB84"/>
        <color rgb="FF63BE7B"/>
      </colorScale>
    </cfRule>
  </conditionalFormatting>
  <conditionalFormatting sqref="E285">
    <cfRule type="colorScale" priority="6">
      <colorScale>
        <cfvo type="min"/>
        <cfvo type="percentile" val="50"/>
        <cfvo type="max"/>
        <color rgb="FFF8696B"/>
        <color rgb="FFFFEB84"/>
        <color rgb="FF63BE7B"/>
      </colorScale>
    </cfRule>
  </conditionalFormatting>
  <conditionalFormatting sqref="E286">
    <cfRule type="colorScale" priority="5">
      <colorScale>
        <cfvo type="min"/>
        <cfvo type="percentile" val="50"/>
        <cfvo type="max"/>
        <color rgb="FFF8696B"/>
        <color rgb="FFFFEB84"/>
        <color rgb="FF63BE7B"/>
      </colorScale>
    </cfRule>
  </conditionalFormatting>
  <conditionalFormatting sqref="E287">
    <cfRule type="colorScale" priority="4">
      <colorScale>
        <cfvo type="min"/>
        <cfvo type="percentile" val="50"/>
        <cfvo type="max"/>
        <color rgb="FFF8696B"/>
        <color rgb="FFFFEB84"/>
        <color rgb="FF63BE7B"/>
      </colorScale>
    </cfRule>
  </conditionalFormatting>
  <conditionalFormatting sqref="E288">
    <cfRule type="colorScale" priority="14">
      <colorScale>
        <cfvo type="min"/>
        <cfvo type="percentile" val="50"/>
        <cfvo type="max"/>
        <color rgb="FFF8696B"/>
        <color rgb="FFFFEB84"/>
        <color rgb="FF63BE7B"/>
      </colorScale>
    </cfRule>
  </conditionalFormatting>
  <hyperlinks>
    <hyperlink ref="L261" r:id="rId1"/>
    <hyperlink ref="L262" r:id="rId2"/>
    <hyperlink ref="L275" r:id="rId3"/>
    <hyperlink ref="L276" r:id="rId4"/>
    <hyperlink ref="L270" r:id="rId5" display="https://fupedu-my.sharepoint.com/:w:/g/personal/bienestar_fup_edu_co/ERBXTPqblX1CpLcPfuYPgc0BfrpmEtVsDa1Pt10SxRgktg?e=eBdhcE"/>
    <hyperlink ref="O270" r:id="rId6"/>
    <hyperlink ref="O276" r:id="rId7"/>
    <hyperlink ref="O262" r:id="rId8"/>
    <hyperlink ref="R270" r:id="rId9"/>
    <hyperlink ref="R276" r:id="rId10"/>
    <hyperlink ref="R274" r:id="rId11"/>
    <hyperlink ref="R261" r:id="rId12"/>
    <hyperlink ref="R275" r:id="rId13"/>
  </hyperlinks>
  <pageMargins left="0.7" right="0.7" top="0.75" bottom="0.75" header="0.3" footer="0.3"/>
  <pageSetup orientation="portrait" r:id="rId14"/>
  <drawing r:id="rId15"/>
  <legacyDrawing r:id="rId16"/>
  <extLst>
    <ext xmlns:x14="http://schemas.microsoft.com/office/spreadsheetml/2009/9/main" uri="{CCE6A557-97BC-4b89-ADB6-D9C93CAAB3DF}">
      <x14:dataValidations xmlns:xm="http://schemas.microsoft.com/office/excel/2006/main" disablePrompts="1" count="28">
        <x14:dataValidation type="list" allowBlank="1" showInputMessage="1" showErrorMessage="1">
          <x14:formula1>
            <xm:f>'C:\Users\Planeacion\Desktop\1. Planeación\Plan de acción 2023\FUG 2023\PROGRAMAS\[ADMINISTRACIÓN DE EMPRESAS.xlsx]Convencionales'!#REF!</xm:f>
          </x14:formula1>
          <xm:sqref>K29 D13:E29</xm:sqref>
        </x14:dataValidation>
        <x14:dataValidation type="list" allowBlank="1" showInputMessage="1" showErrorMessage="1">
          <x14:formula1>
            <xm:f>'C:\Users\Planeacion\Desktop\1. Planeación\Plan de acción 2023\FUG 2023\PROGRAMAS\[ARQUITECTURA POP.xlsx]Convencionales'!#REF!</xm:f>
          </x14:formula1>
          <xm:sqref>D41:E41 D30:E39</xm:sqref>
        </x14:dataValidation>
        <x14:dataValidation type="list" allowBlank="1" showInputMessage="1" showErrorMessage="1">
          <x14:formula1>
            <xm:f>'C:\Users\dir.arquitectura\Downloads\[V.5 FO-PL-007 FUG AREAS-DECANATURAS-PROGRAMAS ARQUITECTURA 1 (1).xlsx]Convencionales'!#REF!</xm:f>
          </x14:formula1>
          <xm:sqref>D40:E40</xm:sqref>
        </x14:dataValidation>
        <x14:dataValidation type="list" allowBlank="1" showInputMessage="1" showErrorMessage="1">
          <x14:formula1>
            <xm:f>'C:\Users\direccion.planeacion\Desktop\1. Planeación\Plan de acción 2023\FUG 2023\FACULTADES\[FAC INGENIERIAS Y ARQUITECTURA.xlsx]Convencionales'!#REF!</xm:f>
          </x14:formula1>
          <xm:sqref>D193:E198</xm:sqref>
        </x14:dataValidation>
        <x14:dataValidation type="list" allowBlank="1" showInputMessage="1" showErrorMessage="1">
          <x14:formula1>
            <xm:f>'C:\Users\direccion.planeacion\Desktop\1. Planeación\Plan de acción 2023\1. FUG FINALES 2023\FACULTADES\[FAC. CIENCIAS SOCIALES Y HUMANAS.xlsx]Convencionales'!#REF!</xm:f>
          </x14:formula1>
          <xm:sqref>E223 D212:D223 E212:E220</xm:sqref>
        </x14:dataValidation>
        <x14:dataValidation type="list" allowBlank="1" showInputMessage="1" showErrorMessage="1">
          <x14:formula1>
            <xm:f>'C:\Users\direccion.planeacion\Desktop\1. Planeación\Plan de acción 2023\1. FUG FINALES 2023\FACULTADES\[FAC. FACECA.xlsx]Convencionales'!#REF!</xm:f>
          </x14:formula1>
          <xm:sqref>D225:E229</xm:sqref>
        </x14:dataValidation>
        <x14:dataValidation type="list" allowBlank="1" showInputMessage="1" showErrorMessage="1">
          <x14:formula1>
            <xm:f>'C:\Users\direccion.planeacion\Desktop\1. Planeación\Plan de acción 2023\1. FUG FINALES 2023\ESPECIALIZACIONES\[ESP DERECHO CONSTITUCIONAL.xlsx]Convencionales'!#REF!</xm:f>
          </x14:formula1>
          <xm:sqref>D236:E239</xm:sqref>
        </x14:dataValidation>
        <x14:dataValidation type="list" allowBlank="1" showInputMessage="1" showErrorMessage="1">
          <x14:formula1>
            <xm:f>'C:\Users\direccion.planeacion\Desktop\1. Planeación\Plan de acción 2023\1. FUG FINALES 2023\ESPECIALIZACIONES\[ESP DERECHO PROCESAL.xlsx]Convencionales'!#REF!</xm:f>
          </x14:formula1>
          <xm:sqref>D240:E243</xm:sqref>
        </x14:dataValidation>
        <x14:dataValidation type="list" allowBlank="1" showInputMessage="1" showErrorMessage="1">
          <x14:formula1>
            <xm:f>'C:\Users\direccion.planeacion\Desktop\1. Planeación\Plan de acción 2023\1. FUG FINALES 2023\ESPECIALIZACIONES\[ESP GERENCIA SOCIAL.xlsx]Convencionales'!#REF!</xm:f>
          </x14:formula1>
          <xm:sqref>D244:E246</xm:sqref>
        </x14:dataValidation>
        <x14:dataValidation type="list" allowBlank="1" showInputMessage="1" showErrorMessage="1">
          <x14:formula1>
            <xm:f>'C:\Users\direccion.planeacion\Desktop\1. Planeación\Plan de acción 2023\1. FUG FINALES 2023\ESPECIALIZACIONES\[ESP GERENCIA TH.xlsx]Convencionales'!#REF!</xm:f>
          </x14:formula1>
          <xm:sqref>D248:E251</xm:sqref>
        </x14:dataValidation>
        <x14:dataValidation type="list" allowBlank="1" showInputMessage="1" showErrorMessage="1">
          <x14:formula1>
            <xm:f>'C:\Users\direccion.planeacion\Desktop\1. Planeación\Plan de acción 2023\1. FUG FINALES 2023\ESPECIALIZACIONES\[ESP PSICOLOGIA SOCIAL COMUNITARIA.xlsx]Convencionales'!#REF!</xm:f>
          </x14:formula1>
          <xm:sqref>D252:E255</xm:sqref>
        </x14:dataValidation>
        <x14:dataValidation type="list" allowBlank="1" showInputMessage="1" showErrorMessage="1">
          <x14:formula1>
            <xm:f>'C:\Users\direccion.planeacion\Desktop\1. Planeación\Plan de acción 2023\1. FUG FINALES 2023\AREAS\[VICE ACADÉMICA.xlsx]Convencionales'!#REF!</xm:f>
          </x14:formula1>
          <xm:sqref>D323:E338</xm:sqref>
        </x14:dataValidation>
        <x14:dataValidation type="list" allowBlank="1" showInputMessage="1" showErrorMessage="1">
          <x14:formula1>
            <xm:f>'C:\Users\direccion.planeacion\Desktop\1. Planeación\Plan de acción 2023\1. FUG FINALES 2023\AREAS\[UNIVIDA.xlsx]Convencionales'!#REF!</xm:f>
          </x14:formula1>
          <xm:sqref>D314:E322</xm:sqref>
        </x14:dataValidation>
        <x14:dataValidation type="list" allowBlank="1" showInputMessage="1" showErrorMessage="1">
          <x14:formula1>
            <xm:f>'C:\Users\direccion.planeacion\Desktop\1. Planeación\Plan de acción 2023\1. FUG FINALES 2023\AREAS\[EFTDH INFORMUS.xlsx]Convencionales'!#REF!</xm:f>
          </x14:formula1>
          <xm:sqref>D299:E299</xm:sqref>
        </x14:dataValidation>
        <x14:dataValidation type="list" allowBlank="1" showInputMessage="1" showErrorMessage="1">
          <x14:formula1>
            <xm:f>'C:\Users\direccion.planeacion\Desktop\1. Planeación\Plan de acción 2023\1. FUG FINALES 2023\ESPECIALIZACIONES\[ESP. EDUCATIVA.xlsx]Convencionales'!#REF!</xm:f>
          </x14:formula1>
          <xm:sqref>D256:E260</xm:sqref>
        </x14:dataValidation>
        <x14:dataValidation type="list" allowBlank="1" showInputMessage="1" showErrorMessage="1">
          <x14:formula1>
            <xm:f>'C:\Users\direccion.planeacion\Desktop\1. Planeación\Plan de acción 2023\1. FUG FINALES 2023\ESPECIALIZACIONES\[ESP DATA ANALYTICS.xlsx]Convencionales'!#REF!</xm:f>
          </x14:formula1>
          <xm:sqref>D230:E235</xm:sqref>
        </x14:dataValidation>
        <x14:dataValidation type="list" allowBlank="1" showInputMessage="1" showErrorMessage="1">
          <x14:formula1>
            <xm:f>'C:\Users\direccion.planeacion\Desktop\1. Planeación\Plan de acción 2023\1. FUG FINALES 2023\FACULTADES\[FAC. DE EDUCACIÓN.xlsx]Convencionales'!#REF!</xm:f>
          </x14:formula1>
          <xm:sqref>D224:E224</xm:sqref>
        </x14:dataValidation>
        <x14:dataValidation type="list" allowBlank="1" showInputMessage="1" showErrorMessage="1">
          <x14:formula1>
            <xm:f>'C:\Users\direccion.planeacion\Desktop\1. Planeación\Plan de acción 2023\1. FUG FINALES 2023\PROGRAMAS\[ADEMAGRO.xlsx]Convencionales'!#REF!</xm:f>
          </x14:formula1>
          <xm:sqref>D202:E211</xm:sqref>
        </x14:dataValidation>
        <x14:dataValidation type="list" allowBlank="1" showErrorMessage="1">
          <x14:formula1>
            <xm:f>'C:\Users\direccion.planeacion\Desktop\1. Planeación\Plan de acción 2023\1. FUG FINALES 2023\FACULTADES\[FAC. AGRARIAS Y AMBIENTALES.xlsx]Convencionales'!#REF!</xm:f>
          </x14:formula1>
          <xm:sqref>D199:E201</xm:sqref>
        </x14:dataValidation>
        <x14:dataValidation type="list" allowBlank="1" showInputMessage="1" showErrorMessage="1">
          <x14:formula1>
            <xm:f>'C:\Users\Planeacion\Downloads\[Trabajo Social Santander de Quilichao (Sin Presupuesto Aprobado).xlsx]Convencionales'!#REF!</xm:f>
          </x14:formula1>
          <xm:sqref>D190:E192</xm:sqref>
        </x14:dataValidation>
        <x14:dataValidation type="list" allowBlank="1" showInputMessage="1" showErrorMessage="1">
          <x14:formula1>
            <xm:f>'C:\Users\Planeacion\Desktop\1. Planeación\Plan de acción 2023\FUG 2023\PROGRAMAS\[Trabajo_social_Popayán_Presencial_2023.xlsx]Convencionales'!#REF!</xm:f>
          </x14:formula1>
          <xm:sqref>D177:E184</xm:sqref>
        </x14:dataValidation>
        <x14:dataValidation type="list" allowBlank="1" showInputMessage="1" showErrorMessage="1">
          <x14:formula1>
            <xm:f>'C:\Users\Planeacion\Desktop\1. Planeación\Plan de acción 2023\FUG 2023\PROGRAMAS\[PSICOLOGÍA SDER.xlsx]Convencionales'!#REF!</xm:f>
          </x14:formula1>
          <xm:sqref>D172:E176</xm:sqref>
        </x14:dataValidation>
        <x14:dataValidation type="list" allowBlank="1" showInputMessage="1" showErrorMessage="1">
          <x14:formula1>
            <xm:f>'C:\Users\Planeacion\Desktop\1. Planeación\Plan de acción 2023\FUG 2023\PROGRAMAS\[LICENCIATURA POP.xlsx]Convencionales'!#REF!</xm:f>
          </x14:formula1>
          <xm:sqref>E133 D133:D135</xm:sqref>
        </x14:dataValidation>
        <x14:dataValidation type="list" allowBlank="1" showInputMessage="1" showErrorMessage="1">
          <x14:formula1>
            <xm:f>'C:\Users\Planeacion\Desktop\1. Planeación\Plan de acción 2023\FUG 2023\PROGRAMAS\[ING. INDUSTRIAL SDER.xlsx]Convencionales'!#REF!</xm:f>
          </x14:formula1>
          <xm:sqref>D126:E130</xm:sqref>
        </x14:dataValidation>
        <x14:dataValidation type="list" allowBlank="1" showInputMessage="1" showErrorMessage="1">
          <x14:formula1>
            <xm:f>'C:\Users\Planeacion\Desktop\1. Planeación\Plan de acción 2023\FUG 2023\PROGRAMAS\[DERECHO SDER.xlsx]Convencionales'!#REF!</xm:f>
          </x14:formula1>
          <xm:sqref>D80:E80</xm:sqref>
        </x14:dataValidation>
        <x14:dataValidation type="list" allowBlank="1" showInputMessage="1" showErrorMessage="1">
          <x14:formula1>
            <xm:f>'C:\Users\Planeacion\Desktop\1. Planeación\Plan de acción 2023\FUG 2023\PROGRAMAS\[Comunicación_Social_Presencial_2023.xlsx]Convencionales'!#REF!</xm:f>
          </x14:formula1>
          <xm:sqref>E54:E64 D54:D65</xm:sqref>
        </x14:dataValidation>
        <x14:dataValidation type="list" allowBlank="1" showInputMessage="1" showErrorMessage="1">
          <x14:formula1>
            <xm:f>'C:\Users\Planeacion\Desktop\1. Planeación\Plan de acción 2023\FUG 2023\PROGRAMAS\[COMUNICACIÓN VIRTUAL.xlsx]Convencionales'!#REF!</xm:f>
          </x14:formula1>
          <xm:sqref>D42:D53 E42:E52</xm:sqref>
        </x14:dataValidation>
        <x14:dataValidation type="list" allowBlank="1" showInputMessage="1" showErrorMessage="1">
          <x14:formula1>
            <xm:f>'C:\Users\Planeacion\Desktop\1. Planeación\Plan de acción 2023\FUG 2023\PROGRAMAS\[ADEMAGRO VIRTUAL.xlsx]Convencionales'!#REF!</xm:f>
          </x14:formula1>
          <xm:sqref>D6:E12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216"/>
  <sheetViews>
    <sheetView workbookViewId="0">
      <selection activeCell="D12" sqref="D12"/>
    </sheetView>
  </sheetViews>
  <sheetFormatPr baseColWidth="10" defaultColWidth="10.85546875" defaultRowHeight="15" x14ac:dyDescent="0.25"/>
  <cols>
    <col min="1" max="1" width="10.85546875" style="291"/>
    <col min="2" max="2" width="29.5703125" style="291" bestFit="1" customWidth="1"/>
    <col min="3" max="3" width="27" style="291" bestFit="1" customWidth="1"/>
    <col min="4" max="4" width="11.28515625" style="291" bestFit="1" customWidth="1"/>
    <col min="5" max="16384" width="10.85546875" style="291"/>
  </cols>
  <sheetData>
    <row r="1" spans="2:4" ht="30" x14ac:dyDescent="0.25">
      <c r="B1" s="214" t="s">
        <v>1006</v>
      </c>
      <c r="C1" s="214" t="s">
        <v>1005</v>
      </c>
      <c r="D1" s="214" t="s">
        <v>1230</v>
      </c>
    </row>
    <row r="2" spans="2:4" x14ac:dyDescent="0.25">
      <c r="B2" s="214" t="s">
        <v>704</v>
      </c>
      <c r="C2" s="214">
        <f>+COUNTIF(CONSOLIDADO!B:B,'ANALISIS MACROS'!B2)</f>
        <v>171</v>
      </c>
      <c r="D2" s="292">
        <f>+C2/$C$6</f>
        <v>0.51351351351351349</v>
      </c>
    </row>
    <row r="3" spans="2:4" x14ac:dyDescent="0.25">
      <c r="B3" s="214" t="s">
        <v>714</v>
      </c>
      <c r="C3" s="214">
        <f>+COUNTIF(CONSOLIDADO!B:B,'ANALISIS MACROS'!B3)</f>
        <v>4</v>
      </c>
      <c r="D3" s="292">
        <f t="shared" ref="D3:D5" si="0">+C3/$C$6</f>
        <v>1.2012012012012012E-2</v>
      </c>
    </row>
    <row r="4" spans="2:4" ht="30" x14ac:dyDescent="0.25">
      <c r="B4" s="214" t="s">
        <v>152</v>
      </c>
      <c r="C4" s="214">
        <f>+COUNTIF(CONSOLIDADO!B:B,'ANALISIS MACROS'!B4)</f>
        <v>44</v>
      </c>
      <c r="D4" s="292">
        <f t="shared" si="0"/>
        <v>0.13213213213213212</v>
      </c>
    </row>
    <row r="5" spans="2:4" x14ac:dyDescent="0.25">
      <c r="B5" s="214" t="s">
        <v>730</v>
      </c>
      <c r="C5" s="214">
        <f>+COUNTIF(CONSOLIDADO!B:B,'ANALISIS MACROS'!B5)</f>
        <v>114</v>
      </c>
      <c r="D5" s="292">
        <f t="shared" si="0"/>
        <v>0.34234234234234234</v>
      </c>
    </row>
    <row r="6" spans="2:4" x14ac:dyDescent="0.25">
      <c r="C6" s="291">
        <f>SUM(C2:C5)</f>
        <v>333</v>
      </c>
    </row>
    <row r="10" spans="2:4" ht="30" x14ac:dyDescent="0.25">
      <c r="B10" s="214"/>
      <c r="C10" s="214" t="s">
        <v>1005</v>
      </c>
      <c r="D10" s="214" t="s">
        <v>1230</v>
      </c>
    </row>
    <row r="11" spans="2:4" ht="45" x14ac:dyDescent="0.25">
      <c r="B11" s="214" t="s">
        <v>471</v>
      </c>
      <c r="C11" s="214">
        <f>+COUNTIF(CONSOLIDADO!D:D,'ANALISIS MACROS'!B11)</f>
        <v>0</v>
      </c>
      <c r="D11" s="292">
        <f>+C11/$C$18</f>
        <v>0</v>
      </c>
    </row>
    <row r="12" spans="2:4" ht="45" x14ac:dyDescent="0.25">
      <c r="B12" s="214" t="s">
        <v>465</v>
      </c>
      <c r="C12" s="214">
        <f>+COUNTIF(CONSOLIDADO!D:D,'ANALISIS MACROS'!B12)</f>
        <v>0</v>
      </c>
      <c r="D12" s="292">
        <f t="shared" ref="D12:D17" si="1">+C12/$C$18</f>
        <v>0</v>
      </c>
    </row>
    <row r="13" spans="2:4" ht="30" x14ac:dyDescent="0.25">
      <c r="B13" s="214" t="s">
        <v>466</v>
      </c>
      <c r="C13" s="214">
        <f>+COUNTIF(CONSOLIDADO!D:D,'ANALISIS MACROS'!B13)</f>
        <v>333</v>
      </c>
      <c r="D13" s="292">
        <f t="shared" si="1"/>
        <v>1</v>
      </c>
    </row>
    <row r="14" spans="2:4" ht="45" x14ac:dyDescent="0.25">
      <c r="B14" s="214" t="s">
        <v>467</v>
      </c>
      <c r="C14" s="214">
        <f>+COUNTIF(CONSOLIDADO!D:D,'ANALISIS MACROS'!B14)</f>
        <v>0</v>
      </c>
      <c r="D14" s="292">
        <f t="shared" si="1"/>
        <v>0</v>
      </c>
    </row>
    <row r="15" spans="2:4" ht="30" x14ac:dyDescent="0.25">
      <c r="B15" s="214" t="s">
        <v>468</v>
      </c>
      <c r="C15" s="214">
        <f>+COUNTIF(CONSOLIDADO!D:D,'ANALISIS MACROS'!B15)</f>
        <v>0</v>
      </c>
      <c r="D15" s="292">
        <f t="shared" si="1"/>
        <v>0</v>
      </c>
    </row>
    <row r="16" spans="2:4" ht="30" x14ac:dyDescent="0.25">
      <c r="B16" s="214" t="s">
        <v>469</v>
      </c>
      <c r="C16" s="214">
        <f>+COUNTIF(CONSOLIDADO!D:D,'ANALISIS MACROS'!B16)</f>
        <v>0</v>
      </c>
      <c r="D16" s="292">
        <f t="shared" si="1"/>
        <v>0</v>
      </c>
    </row>
    <row r="17" spans="2:4" ht="30" x14ac:dyDescent="0.25">
      <c r="B17" s="214" t="s">
        <v>470</v>
      </c>
      <c r="C17" s="214">
        <f>+COUNTIF(CONSOLIDADO!D:D,'ANALISIS MACROS'!B17)</f>
        <v>0</v>
      </c>
      <c r="D17" s="292">
        <f t="shared" si="1"/>
        <v>0</v>
      </c>
    </row>
    <row r="18" spans="2:4" x14ac:dyDescent="0.25">
      <c r="B18" s="214"/>
      <c r="C18" s="214">
        <f>SUM(C11:C17)</f>
        <v>333</v>
      </c>
    </row>
    <row r="22" spans="2:4" ht="45" x14ac:dyDescent="0.25">
      <c r="B22" s="214" t="s">
        <v>473</v>
      </c>
      <c r="C22" s="214">
        <f>+COUNTIF(CONSOLIDADO!E:E,'ANALISIS MACROS'!B22)</f>
        <v>0</v>
      </c>
    </row>
    <row r="23" spans="2:4" ht="30" x14ac:dyDescent="0.25">
      <c r="B23" s="214" t="s">
        <v>474</v>
      </c>
      <c r="C23" s="214">
        <f>+COUNTIF(CONSOLIDADO!E:E,'ANALISIS MACROS'!B23)</f>
        <v>3</v>
      </c>
    </row>
    <row r="24" spans="2:4" ht="45" x14ac:dyDescent="0.25">
      <c r="B24" s="214" t="s">
        <v>475</v>
      </c>
      <c r="C24" s="214">
        <f>+COUNTIF(CONSOLIDADO!E:E,'ANALISIS MACROS'!B24)</f>
        <v>1</v>
      </c>
    </row>
    <row r="25" spans="2:4" ht="75" x14ac:dyDescent="0.25">
      <c r="B25" s="214" t="s">
        <v>476</v>
      </c>
      <c r="C25" s="214">
        <f>+COUNTIF(CONSOLIDADO!E:E,'ANALISIS MACROS'!B25)</f>
        <v>1</v>
      </c>
    </row>
    <row r="26" spans="2:4" ht="105" x14ac:dyDescent="0.25">
      <c r="B26" s="214" t="s">
        <v>493</v>
      </c>
      <c r="C26" s="214">
        <f>+COUNTIF(CONSOLIDADO!E:E,'ANALISIS MACROS'!B26)</f>
        <v>0</v>
      </c>
    </row>
    <row r="27" spans="2:4" ht="150" x14ac:dyDescent="0.25">
      <c r="B27" s="214" t="s">
        <v>477</v>
      </c>
      <c r="C27" s="214">
        <f>+COUNTIF(CONSOLIDADO!E:E,'ANALISIS MACROS'!B27)</f>
        <v>0</v>
      </c>
    </row>
    <row r="28" spans="2:4" ht="120" x14ac:dyDescent="0.25">
      <c r="B28" s="214" t="s">
        <v>478</v>
      </c>
      <c r="C28" s="214">
        <f>+COUNTIF(CONSOLIDADO!E:E,'ANALISIS MACROS'!B28)</f>
        <v>0</v>
      </c>
    </row>
    <row r="29" spans="2:4" ht="45" x14ac:dyDescent="0.25">
      <c r="B29" s="214" t="s">
        <v>479</v>
      </c>
      <c r="C29" s="214">
        <f>+COUNTIF(CONSOLIDADO!E:E,'ANALISIS MACROS'!B29)</f>
        <v>0</v>
      </c>
    </row>
    <row r="30" spans="2:4" ht="135" x14ac:dyDescent="0.25">
      <c r="B30" s="214" t="s">
        <v>480</v>
      </c>
      <c r="C30" s="214">
        <f>+COUNTIF(CONSOLIDADO!E:E,'ANALISIS MACROS'!B30)</f>
        <v>0</v>
      </c>
    </row>
    <row r="31" spans="2:4" ht="75" x14ac:dyDescent="0.25">
      <c r="B31" s="214" t="s">
        <v>481</v>
      </c>
      <c r="C31" s="214">
        <f>+COUNTIF(CONSOLIDADO!E:E,'ANALISIS MACROS'!B31)</f>
        <v>0</v>
      </c>
    </row>
    <row r="32" spans="2:4" ht="75" x14ac:dyDescent="0.25">
      <c r="B32" s="214" t="s">
        <v>482</v>
      </c>
      <c r="C32" s="214">
        <f>+COUNTIF(CONSOLIDADO!E:E,'ANALISIS MACROS'!B32)</f>
        <v>0</v>
      </c>
    </row>
    <row r="33" spans="2:3" ht="90" x14ac:dyDescent="0.25">
      <c r="B33" s="214" t="s">
        <v>483</v>
      </c>
      <c r="C33" s="214">
        <f>+COUNTIF(CONSOLIDADO!E:E,'ANALISIS MACROS'!B33)</f>
        <v>0</v>
      </c>
    </row>
    <row r="34" spans="2:3" ht="75" x14ac:dyDescent="0.25">
      <c r="B34" s="214" t="s">
        <v>484</v>
      </c>
      <c r="C34" s="214">
        <f>+COUNTIF(CONSOLIDADO!E:E,'ANALISIS MACROS'!B34)</f>
        <v>0</v>
      </c>
    </row>
    <row r="35" spans="2:3" ht="45" x14ac:dyDescent="0.25">
      <c r="B35" s="214" t="s">
        <v>485</v>
      </c>
      <c r="C35" s="214">
        <f>+COUNTIF(CONSOLIDADO!E:E,'ANALISIS MACROS'!B35)</f>
        <v>0</v>
      </c>
    </row>
    <row r="36" spans="2:3" ht="60" x14ac:dyDescent="0.25">
      <c r="B36" s="214" t="s">
        <v>486</v>
      </c>
      <c r="C36" s="214">
        <f>+COUNTIF(CONSOLIDADO!E:E,'ANALISIS MACROS'!B36)</f>
        <v>0</v>
      </c>
    </row>
    <row r="37" spans="2:3" ht="30" x14ac:dyDescent="0.25">
      <c r="B37" s="214" t="s">
        <v>487</v>
      </c>
      <c r="C37" s="214">
        <f>+COUNTIF(CONSOLIDADO!E:E,'ANALISIS MACROS'!B37)</f>
        <v>0</v>
      </c>
    </row>
    <row r="38" spans="2:3" ht="75" x14ac:dyDescent="0.25">
      <c r="B38" s="214" t="s">
        <v>488</v>
      </c>
      <c r="C38" s="214">
        <f>+COUNTIF(CONSOLIDADO!E:E,'ANALISIS MACROS'!B38)</f>
        <v>0</v>
      </c>
    </row>
    <row r="39" spans="2:3" ht="45" x14ac:dyDescent="0.25">
      <c r="B39" s="214" t="s">
        <v>489</v>
      </c>
      <c r="C39" s="214">
        <f>+COUNTIF(CONSOLIDADO!E:E,'ANALISIS MACROS'!B39)</f>
        <v>0</v>
      </c>
    </row>
    <row r="40" spans="2:3" ht="30" x14ac:dyDescent="0.25">
      <c r="B40" s="214" t="s">
        <v>490</v>
      </c>
      <c r="C40" s="214">
        <f>+COUNTIF(CONSOLIDADO!E:E,'ANALISIS MACROS'!B40)</f>
        <v>0</v>
      </c>
    </row>
    <row r="41" spans="2:3" ht="105" x14ac:dyDescent="0.25">
      <c r="B41" s="214" t="s">
        <v>491</v>
      </c>
      <c r="C41" s="214">
        <f>+COUNTIF(CONSOLIDADO!E:E,'ANALISIS MACROS'!B41)</f>
        <v>1</v>
      </c>
    </row>
    <row r="42" spans="2:3" ht="45" x14ac:dyDescent="0.25">
      <c r="B42" s="214" t="s">
        <v>492</v>
      </c>
      <c r="C42" s="214">
        <f>+COUNTIF(CONSOLIDADO!E:E,'ANALISIS MACROS'!B42)</f>
        <v>0</v>
      </c>
    </row>
    <row r="43" spans="2:3" ht="30" x14ac:dyDescent="0.25">
      <c r="B43" s="214" t="s">
        <v>494</v>
      </c>
      <c r="C43" s="214">
        <f>+COUNTIF(CONSOLIDADO!E:E,'ANALISIS MACROS'!B43)</f>
        <v>0</v>
      </c>
    </row>
    <row r="44" spans="2:3" ht="30" x14ac:dyDescent="0.25">
      <c r="B44" s="214" t="s">
        <v>495</v>
      </c>
      <c r="C44" s="214">
        <f>+COUNTIF(CONSOLIDADO!E:E,'ANALISIS MACROS'!B44)</f>
        <v>0</v>
      </c>
    </row>
    <row r="45" spans="2:3" ht="30" x14ac:dyDescent="0.25">
      <c r="B45" s="214" t="s">
        <v>496</v>
      </c>
      <c r="C45" s="214">
        <f>+COUNTIF(CONSOLIDADO!E:E,'ANALISIS MACROS'!B45)</f>
        <v>0</v>
      </c>
    </row>
    <row r="46" spans="2:3" ht="30" x14ac:dyDescent="0.25">
      <c r="B46" s="214" t="s">
        <v>497</v>
      </c>
      <c r="C46" s="214">
        <f>+COUNTIF(CONSOLIDADO!E:E,'ANALISIS MACROS'!B46)</f>
        <v>2</v>
      </c>
    </row>
    <row r="47" spans="2:3" ht="45" x14ac:dyDescent="0.25">
      <c r="B47" s="214" t="s">
        <v>498</v>
      </c>
      <c r="C47" s="214">
        <f>+COUNTIF(CONSOLIDADO!E:E,'ANALISIS MACROS'!B47)</f>
        <v>0</v>
      </c>
    </row>
    <row r="48" spans="2:3" ht="75" x14ac:dyDescent="0.25">
      <c r="B48" s="214" t="s">
        <v>499</v>
      </c>
      <c r="C48" s="214">
        <f>+COUNTIF(CONSOLIDADO!E:E,'ANALISIS MACROS'!B48)</f>
        <v>0</v>
      </c>
    </row>
    <row r="49" spans="2:4" ht="60" x14ac:dyDescent="0.25">
      <c r="B49" s="214" t="s">
        <v>500</v>
      </c>
      <c r="C49" s="214">
        <f>+COUNTIF(CONSOLIDADO!E:E,'ANALISIS MACROS'!B49)</f>
        <v>0</v>
      </c>
    </row>
    <row r="50" spans="2:4" ht="90" x14ac:dyDescent="0.25">
      <c r="B50" s="214" t="s">
        <v>501</v>
      </c>
      <c r="C50" s="214">
        <f>+COUNTIF(CONSOLIDADO!E:E,'ANALISIS MACROS'!B50)</f>
        <v>0</v>
      </c>
    </row>
    <row r="51" spans="2:4" ht="60" x14ac:dyDescent="0.25">
      <c r="B51" s="214" t="s">
        <v>502</v>
      </c>
      <c r="C51" s="214">
        <f>+COUNTIF(CONSOLIDADO!E:E,'ANALISIS MACROS'!B51)</f>
        <v>0</v>
      </c>
    </row>
    <row r="52" spans="2:4" ht="60" x14ac:dyDescent="0.25">
      <c r="B52" s="214" t="s">
        <v>503</v>
      </c>
      <c r="C52" s="214">
        <f>+COUNTIF(CONSOLIDADO!E:E,'ANALISIS MACROS'!B52)</f>
        <v>0</v>
      </c>
    </row>
    <row r="53" spans="2:4" ht="60" x14ac:dyDescent="0.25">
      <c r="B53" s="214" t="s">
        <v>504</v>
      </c>
      <c r="C53" s="214">
        <f>+COUNTIF(CONSOLIDADO!E:E,'ANALISIS MACROS'!B53)</f>
        <v>0</v>
      </c>
    </row>
    <row r="54" spans="2:4" ht="30" x14ac:dyDescent="0.25">
      <c r="B54" s="214" t="s">
        <v>505</v>
      </c>
      <c r="C54" s="214">
        <f>+COUNTIF(CONSOLIDADO!E:E,'ANALISIS MACROS'!B54)</f>
        <v>0</v>
      </c>
    </row>
    <row r="55" spans="2:4" ht="105" x14ac:dyDescent="0.25">
      <c r="B55" s="214" t="s">
        <v>506</v>
      </c>
      <c r="C55" s="214">
        <f>+COUNTIF(CONSOLIDADO!E:E,'ANALISIS MACROS'!B55)</f>
        <v>0</v>
      </c>
    </row>
    <row r="56" spans="2:4" ht="225" x14ac:dyDescent="0.25">
      <c r="B56" s="214" t="s">
        <v>507</v>
      </c>
      <c r="C56" s="214">
        <v>21</v>
      </c>
      <c r="D56" s="291" t="s">
        <v>1048</v>
      </c>
    </row>
    <row r="57" spans="2:4" ht="120" x14ac:dyDescent="0.25">
      <c r="B57" s="214" t="s">
        <v>508</v>
      </c>
      <c r="C57" s="214">
        <f>+COUNTIF(CONSOLIDADO!E:E,'ANALISIS MACROS'!B57)</f>
        <v>0</v>
      </c>
    </row>
    <row r="58" spans="2:4" ht="75" x14ac:dyDescent="0.25">
      <c r="B58" s="214" t="s">
        <v>509</v>
      </c>
      <c r="C58" s="214">
        <f>+COUNTIF(CONSOLIDADO!E:E,'ANALISIS MACROS'!B58)</f>
        <v>0</v>
      </c>
    </row>
    <row r="59" spans="2:4" ht="45" x14ac:dyDescent="0.25">
      <c r="B59" s="214" t="s">
        <v>510</v>
      </c>
      <c r="C59" s="214">
        <f>+COUNTIF(CONSOLIDADO!E:E,'ANALISIS MACROS'!B59)</f>
        <v>0</v>
      </c>
    </row>
    <row r="60" spans="2:4" ht="60" x14ac:dyDescent="0.25">
      <c r="B60" s="214" t="s">
        <v>511</v>
      </c>
      <c r="C60" s="214">
        <f>+COUNTIF(CONSOLIDADO!E:E,'ANALISIS MACROS'!B60)</f>
        <v>0</v>
      </c>
    </row>
    <row r="61" spans="2:4" ht="45" x14ac:dyDescent="0.25">
      <c r="B61" s="214" t="s">
        <v>512</v>
      </c>
      <c r="C61" s="214">
        <f>+COUNTIF(CONSOLIDADO!E:E,'ANALISIS MACROS'!B61)</f>
        <v>1</v>
      </c>
    </row>
    <row r="62" spans="2:4" ht="45" x14ac:dyDescent="0.25">
      <c r="B62" s="214" t="s">
        <v>513</v>
      </c>
      <c r="C62" s="214">
        <f>+COUNTIF(CONSOLIDADO!E:E,'ANALISIS MACROS'!B62)</f>
        <v>5</v>
      </c>
    </row>
    <row r="63" spans="2:4" ht="90" x14ac:dyDescent="0.25">
      <c r="B63" s="214" t="s">
        <v>514</v>
      </c>
      <c r="C63" s="214">
        <f>+COUNTIF(CONSOLIDADO!E:E,'ANALISIS MACROS'!B63)</f>
        <v>0</v>
      </c>
    </row>
    <row r="64" spans="2:4" ht="120" x14ac:dyDescent="0.25">
      <c r="B64" s="214" t="s">
        <v>515</v>
      </c>
      <c r="C64" s="214">
        <f>+COUNTIF(CONSOLIDADO!E:E,'ANALISIS MACROS'!B64)</f>
        <v>12</v>
      </c>
    </row>
    <row r="65" spans="2:3" ht="75" x14ac:dyDescent="0.25">
      <c r="B65" s="214" t="s">
        <v>516</v>
      </c>
      <c r="C65" s="214">
        <f>+COUNTIF(CONSOLIDADO!E:E,'ANALISIS MACROS'!B65)</f>
        <v>12</v>
      </c>
    </row>
    <row r="66" spans="2:3" ht="60" x14ac:dyDescent="0.25">
      <c r="B66" s="214" t="s">
        <v>517</v>
      </c>
      <c r="C66" s="214">
        <f>+COUNTIF(CONSOLIDADO!E:E,'ANALISIS MACROS'!B66)</f>
        <v>6</v>
      </c>
    </row>
    <row r="67" spans="2:3" ht="45" x14ac:dyDescent="0.25">
      <c r="B67" s="214" t="s">
        <v>518</v>
      </c>
      <c r="C67" s="214">
        <f>+COUNTIF(CONSOLIDADO!E:E,'ANALISIS MACROS'!B67)</f>
        <v>6</v>
      </c>
    </row>
    <row r="68" spans="2:3" ht="60" x14ac:dyDescent="0.25">
      <c r="B68" s="214" t="s">
        <v>519</v>
      </c>
      <c r="C68" s="214">
        <f>+COUNTIF(CONSOLIDADO!E:E,'ANALISIS MACROS'!B68)</f>
        <v>14</v>
      </c>
    </row>
    <row r="69" spans="2:3" ht="90" x14ac:dyDescent="0.25">
      <c r="B69" s="214" t="s">
        <v>520</v>
      </c>
      <c r="C69" s="214">
        <f>+COUNTIF(CONSOLIDADO!E:E,'ANALISIS MACROS'!B69)</f>
        <v>2</v>
      </c>
    </row>
    <row r="70" spans="2:3" ht="30" x14ac:dyDescent="0.25">
      <c r="B70" s="214" t="s">
        <v>521</v>
      </c>
      <c r="C70" s="214">
        <f>+COUNTIF(CONSOLIDADO!E:E,'ANALISIS MACROS'!B70)</f>
        <v>3</v>
      </c>
    </row>
    <row r="71" spans="2:3" ht="30" x14ac:dyDescent="0.25">
      <c r="B71" s="214" t="s">
        <v>522</v>
      </c>
      <c r="C71" s="214">
        <f>+COUNTIF(CONSOLIDADO!E:E,'ANALISIS MACROS'!B71)</f>
        <v>17</v>
      </c>
    </row>
    <row r="72" spans="2:3" ht="90" x14ac:dyDescent="0.25">
      <c r="B72" s="214" t="s">
        <v>523</v>
      </c>
      <c r="C72" s="214">
        <f>+COUNTIF(CONSOLIDADO!E:E,'ANALISIS MACROS'!B72)</f>
        <v>4</v>
      </c>
    </row>
    <row r="73" spans="2:3" ht="30" x14ac:dyDescent="0.25">
      <c r="B73" s="214" t="s">
        <v>524</v>
      </c>
      <c r="C73" s="214">
        <f>+COUNTIF(CONSOLIDADO!E:E,'ANALISIS MACROS'!B73)</f>
        <v>4</v>
      </c>
    </row>
    <row r="74" spans="2:3" ht="60" x14ac:dyDescent="0.25">
      <c r="B74" s="214" t="s">
        <v>525</v>
      </c>
      <c r="C74" s="214">
        <f>+COUNTIF(CONSOLIDADO!E:E,'ANALISIS MACROS'!B74)</f>
        <v>29</v>
      </c>
    </row>
    <row r="75" spans="2:3" ht="105" x14ac:dyDescent="0.25">
      <c r="B75" s="214" t="s">
        <v>526</v>
      </c>
      <c r="C75" s="214">
        <f>+COUNTIF(CONSOLIDADO!E:E,'ANALISIS MACROS'!B75)</f>
        <v>3</v>
      </c>
    </row>
    <row r="76" spans="2:3" ht="60" x14ac:dyDescent="0.25">
      <c r="B76" s="214" t="s">
        <v>527</v>
      </c>
      <c r="C76" s="214">
        <f>+COUNTIF(CONSOLIDADO!E:E,'ANALISIS MACROS'!B76)</f>
        <v>11</v>
      </c>
    </row>
    <row r="77" spans="2:3" ht="90" x14ac:dyDescent="0.25">
      <c r="B77" s="214" t="s">
        <v>528</v>
      </c>
      <c r="C77" s="214">
        <f>+COUNTIF(CONSOLIDADO!E:E,'ANALISIS MACROS'!B77)</f>
        <v>4</v>
      </c>
    </row>
    <row r="78" spans="2:3" ht="60" x14ac:dyDescent="0.25">
      <c r="B78" s="214" t="s">
        <v>529</v>
      </c>
      <c r="C78" s="214">
        <f>+COUNTIF(CONSOLIDADO!E:E,'ANALISIS MACROS'!B78)</f>
        <v>14</v>
      </c>
    </row>
    <row r="79" spans="2:3" ht="30" x14ac:dyDescent="0.25">
      <c r="B79" s="214" t="s">
        <v>530</v>
      </c>
      <c r="C79" s="214">
        <f>+COUNTIF(CONSOLIDADO!E:E,'ANALISIS MACROS'!B79)</f>
        <v>13</v>
      </c>
    </row>
    <row r="80" spans="2:3" ht="45" x14ac:dyDescent="0.25">
      <c r="B80" s="214" t="s">
        <v>531</v>
      </c>
      <c r="C80" s="214">
        <f>+COUNTIF(CONSOLIDADO!E:E,'ANALISIS MACROS'!B80)</f>
        <v>4</v>
      </c>
    </row>
    <row r="81" spans="2:3" ht="30" x14ac:dyDescent="0.25">
      <c r="B81" s="214" t="s">
        <v>532</v>
      </c>
      <c r="C81" s="214">
        <f>+COUNTIF(CONSOLIDADO!E:E,'ANALISIS MACROS'!B81)</f>
        <v>21</v>
      </c>
    </row>
    <row r="82" spans="2:3" ht="105" x14ac:dyDescent="0.25">
      <c r="B82" s="214" t="s">
        <v>533</v>
      </c>
      <c r="C82" s="214">
        <f>+COUNTIF(CONSOLIDADO!E:E,'ANALISIS MACROS'!B82)</f>
        <v>8</v>
      </c>
    </row>
    <row r="83" spans="2:3" x14ac:dyDescent="0.25">
      <c r="B83" s="214" t="s">
        <v>534</v>
      </c>
      <c r="C83" s="214">
        <f>+COUNTIF(CONSOLIDADO!E:E,'ANALISIS MACROS'!B83)</f>
        <v>8</v>
      </c>
    </row>
    <row r="84" spans="2:3" ht="30" x14ac:dyDescent="0.25">
      <c r="B84" s="214" t="s">
        <v>535</v>
      </c>
      <c r="C84" s="214">
        <f>+COUNTIF(CONSOLIDADO!E:E,'ANALISIS MACROS'!B84)</f>
        <v>21</v>
      </c>
    </row>
    <row r="85" spans="2:3" ht="60" x14ac:dyDescent="0.25">
      <c r="B85" s="214" t="s">
        <v>536</v>
      </c>
      <c r="C85" s="214">
        <f>+COUNTIF(CONSOLIDADO!E:E,'ANALISIS MACROS'!B85)</f>
        <v>18</v>
      </c>
    </row>
    <row r="86" spans="2:3" ht="75" x14ac:dyDescent="0.25">
      <c r="B86" s="214" t="s">
        <v>537</v>
      </c>
      <c r="C86" s="214">
        <f>+COUNTIF(CONSOLIDADO!E:E,'ANALISIS MACROS'!B86)</f>
        <v>17</v>
      </c>
    </row>
    <row r="87" spans="2:3" ht="75" x14ac:dyDescent="0.25">
      <c r="B87" s="214" t="s">
        <v>538</v>
      </c>
      <c r="C87" s="214">
        <f>+COUNTIF(CONSOLIDADO!E:E,'ANALISIS MACROS'!B87)</f>
        <v>0</v>
      </c>
    </row>
    <row r="88" spans="2:3" ht="90" x14ac:dyDescent="0.25">
      <c r="B88" s="214" t="s">
        <v>539</v>
      </c>
      <c r="C88" s="214">
        <f>+COUNTIF(CONSOLIDADO!E:E,'ANALISIS MACROS'!B88)</f>
        <v>2</v>
      </c>
    </row>
    <row r="89" spans="2:3" ht="105" x14ac:dyDescent="0.25">
      <c r="B89" s="214" t="s">
        <v>540</v>
      </c>
      <c r="C89" s="214">
        <f>+COUNTIF(CONSOLIDADO!E:E,'ANALISIS MACROS'!B89)</f>
        <v>3</v>
      </c>
    </row>
    <row r="90" spans="2:3" ht="60" x14ac:dyDescent="0.25">
      <c r="B90" s="214" t="s">
        <v>541</v>
      </c>
      <c r="C90" s="214">
        <f>+COUNTIF(CONSOLIDADO!E:E,'ANALISIS MACROS'!B90)</f>
        <v>3</v>
      </c>
    </row>
    <row r="91" spans="2:3" ht="90" x14ac:dyDescent="0.25">
      <c r="B91" s="214" t="s">
        <v>542</v>
      </c>
      <c r="C91" s="214">
        <f>+COUNTIF(CONSOLIDADO!E:E,'ANALISIS MACROS'!B91)</f>
        <v>1</v>
      </c>
    </row>
    <row r="92" spans="2:3" ht="45" x14ac:dyDescent="0.25">
      <c r="B92" s="214" t="s">
        <v>543</v>
      </c>
      <c r="C92" s="214">
        <f>+COUNTIF(CONSOLIDADO!E:E,'ANALISIS MACROS'!B92)</f>
        <v>10</v>
      </c>
    </row>
    <row r="93" spans="2:3" ht="90" x14ac:dyDescent="0.25">
      <c r="B93" s="214" t="s">
        <v>544</v>
      </c>
      <c r="C93" s="214">
        <f>+COUNTIF(CONSOLIDADO!E:E,'ANALISIS MACROS'!B93)</f>
        <v>2</v>
      </c>
    </row>
    <row r="94" spans="2:3" ht="105" x14ac:dyDescent="0.25">
      <c r="B94" s="214" t="s">
        <v>545</v>
      </c>
      <c r="C94" s="214">
        <f>+COUNTIF(CONSOLIDADO!E:E,'ANALISIS MACROS'!B94)</f>
        <v>2</v>
      </c>
    </row>
    <row r="95" spans="2:3" ht="60" x14ac:dyDescent="0.25">
      <c r="B95" s="214" t="s">
        <v>546</v>
      </c>
      <c r="C95" s="214">
        <f>+COUNTIF(CONSOLIDADO!E:E,'ANALISIS MACROS'!B95)</f>
        <v>10</v>
      </c>
    </row>
    <row r="96" spans="2:3" ht="105" x14ac:dyDescent="0.25">
      <c r="B96" s="214" t="s">
        <v>547</v>
      </c>
      <c r="C96" s="214">
        <f>+COUNTIF(CONSOLIDADO!E:E,'ANALISIS MACROS'!B96)</f>
        <v>1</v>
      </c>
    </row>
    <row r="97" spans="2:3" ht="45" x14ac:dyDescent="0.25">
      <c r="B97" s="214" t="s">
        <v>548</v>
      </c>
      <c r="C97" s="214">
        <f>+COUNTIF(CONSOLIDADO!E:E,'ANALISIS MACROS'!B97)</f>
        <v>8</v>
      </c>
    </row>
    <row r="98" spans="2:3" ht="75" x14ac:dyDescent="0.25">
      <c r="B98" s="214" t="s">
        <v>549</v>
      </c>
      <c r="C98" s="214">
        <f>+COUNTIF(CONSOLIDADO!E:E,'ANALISIS MACROS'!B98)</f>
        <v>1</v>
      </c>
    </row>
    <row r="99" spans="2:3" ht="105" x14ac:dyDescent="0.25">
      <c r="B99" s="214" t="s">
        <v>550</v>
      </c>
      <c r="C99" s="214">
        <f>+COUNTIF(CONSOLIDADO!E:E,'ANALISIS MACROS'!B99)</f>
        <v>0</v>
      </c>
    </row>
    <row r="100" spans="2:3" ht="60" x14ac:dyDescent="0.25">
      <c r="B100" s="214" t="s">
        <v>551</v>
      </c>
      <c r="C100" s="214">
        <f>+COUNTIF(CONSOLIDADO!E:E,'ANALISIS MACROS'!B100)</f>
        <v>0</v>
      </c>
    </row>
    <row r="101" spans="2:3" ht="30" x14ac:dyDescent="0.25">
      <c r="B101" s="214" t="s">
        <v>552</v>
      </c>
      <c r="C101" s="214">
        <f>+COUNTIF(CONSOLIDADO!E:E,'ANALISIS MACROS'!B101)</f>
        <v>0</v>
      </c>
    </row>
    <row r="102" spans="2:3" ht="30" x14ac:dyDescent="0.25">
      <c r="B102" s="214" t="s">
        <v>553</v>
      </c>
      <c r="C102" s="214">
        <f>+COUNTIF(CONSOLIDADO!E:E,'ANALISIS MACROS'!B102)</f>
        <v>0</v>
      </c>
    </row>
    <row r="103" spans="2:3" ht="45" x14ac:dyDescent="0.25">
      <c r="B103" s="214" t="s">
        <v>554</v>
      </c>
      <c r="C103" s="214">
        <f>+COUNTIF(CONSOLIDADO!E:E,'ANALISIS MACROS'!B103)</f>
        <v>0</v>
      </c>
    </row>
    <row r="104" spans="2:3" ht="30" x14ac:dyDescent="0.25">
      <c r="B104" s="214" t="s">
        <v>555</v>
      </c>
      <c r="C104" s="214">
        <f>+COUNTIF(CONSOLIDADO!E:E,'ANALISIS MACROS'!B104)</f>
        <v>0</v>
      </c>
    </row>
    <row r="105" spans="2:3" ht="30" x14ac:dyDescent="0.25">
      <c r="B105" s="214" t="s">
        <v>556</v>
      </c>
      <c r="C105" s="214">
        <f>+COUNTIF(CONSOLIDADO!E:E,'ANALISIS MACROS'!B105)</f>
        <v>0</v>
      </c>
    </row>
    <row r="106" spans="2:3" ht="45" x14ac:dyDescent="0.25">
      <c r="B106" s="214" t="s">
        <v>557</v>
      </c>
      <c r="C106" s="214">
        <f>+COUNTIF(CONSOLIDADO!E:E,'ANALISIS MACROS'!B106)</f>
        <v>0</v>
      </c>
    </row>
    <row r="107" spans="2:3" ht="30" x14ac:dyDescent="0.25">
      <c r="B107" s="214" t="s">
        <v>558</v>
      </c>
      <c r="C107" s="214">
        <f>+COUNTIF(CONSOLIDADO!E:E,'ANALISIS MACROS'!B107)</f>
        <v>0</v>
      </c>
    </row>
    <row r="108" spans="2:3" x14ac:dyDescent="0.25">
      <c r="B108" s="214" t="s">
        <v>559</v>
      </c>
      <c r="C108" s="214">
        <f>+COUNTIF(CONSOLIDADO!E:E,'ANALISIS MACROS'!B108)</f>
        <v>0</v>
      </c>
    </row>
    <row r="109" spans="2:3" ht="60" x14ac:dyDescent="0.25">
      <c r="B109" s="214" t="s">
        <v>560</v>
      </c>
      <c r="C109" s="214">
        <f>+COUNTIF(CONSOLIDADO!E:E,'ANALISIS MACROS'!B109)</f>
        <v>0</v>
      </c>
    </row>
    <row r="110" spans="2:3" ht="75" x14ac:dyDescent="0.25">
      <c r="B110" s="214" t="s">
        <v>561</v>
      </c>
      <c r="C110" s="214">
        <f>+COUNTIF(CONSOLIDADO!E:E,'ANALISIS MACROS'!B110)</f>
        <v>0</v>
      </c>
    </row>
    <row r="111" spans="2:3" ht="60" x14ac:dyDescent="0.25">
      <c r="B111" s="214" t="s">
        <v>562</v>
      </c>
      <c r="C111" s="214">
        <f>+COUNTIF(CONSOLIDADO!E:E,'ANALISIS MACROS'!B111)</f>
        <v>0</v>
      </c>
    </row>
    <row r="112" spans="2:3" ht="30" x14ac:dyDescent="0.25">
      <c r="B112" s="214" t="s">
        <v>563</v>
      </c>
      <c r="C112" s="214">
        <f>+COUNTIF(CONSOLIDADO!E:E,'ANALISIS MACROS'!B112)</f>
        <v>0</v>
      </c>
    </row>
    <row r="113" spans="2:3" ht="30" x14ac:dyDescent="0.25">
      <c r="B113" s="214" t="s">
        <v>564</v>
      </c>
      <c r="C113" s="214">
        <f>+COUNTIF(CONSOLIDADO!E:E,'ANALISIS MACROS'!B113)</f>
        <v>0</v>
      </c>
    </row>
    <row r="114" spans="2:3" ht="75" x14ac:dyDescent="0.25">
      <c r="B114" s="214" t="s">
        <v>565</v>
      </c>
      <c r="C114" s="214">
        <f>+COUNTIF(CONSOLIDADO!E:E,'ANALISIS MACROS'!B114)</f>
        <v>0</v>
      </c>
    </row>
    <row r="115" spans="2:3" ht="60" x14ac:dyDescent="0.25">
      <c r="B115" s="214" t="s">
        <v>566</v>
      </c>
      <c r="C115" s="214">
        <f>+COUNTIF(CONSOLIDADO!E:E,'ANALISIS MACROS'!B115)</f>
        <v>0</v>
      </c>
    </row>
    <row r="116" spans="2:3" ht="90" x14ac:dyDescent="0.25">
      <c r="B116" s="214" t="s">
        <v>567</v>
      </c>
      <c r="C116" s="214">
        <f>+COUNTIF(CONSOLIDADO!E:E,'ANALISIS MACROS'!B116)</f>
        <v>1</v>
      </c>
    </row>
    <row r="117" spans="2:3" ht="75" x14ac:dyDescent="0.25">
      <c r="B117" s="214" t="s">
        <v>568</v>
      </c>
      <c r="C117" s="214">
        <f>+COUNTIF(CONSOLIDADO!E:E,'ANALISIS MACROS'!B117)</f>
        <v>0</v>
      </c>
    </row>
    <row r="118" spans="2:3" ht="45" x14ac:dyDescent="0.25">
      <c r="B118" s="214" t="s">
        <v>569</v>
      </c>
      <c r="C118" s="214">
        <f>+COUNTIF(CONSOLIDADO!E:E,'ANALISIS MACROS'!B118)</f>
        <v>0</v>
      </c>
    </row>
    <row r="119" spans="2:3" ht="60" x14ac:dyDescent="0.25">
      <c r="B119" s="214" t="s">
        <v>570</v>
      </c>
      <c r="C119" s="214">
        <f>+COUNTIF(CONSOLIDADO!E:E,'ANALISIS MACROS'!B119)</f>
        <v>0</v>
      </c>
    </row>
    <row r="120" spans="2:3" ht="45" x14ac:dyDescent="0.25">
      <c r="B120" s="214" t="s">
        <v>571</v>
      </c>
      <c r="C120" s="214">
        <f>+COUNTIF(CONSOLIDADO!E:E,'ANALISIS MACROS'!B120)</f>
        <v>0</v>
      </c>
    </row>
    <row r="121" spans="2:3" ht="30" x14ac:dyDescent="0.25">
      <c r="B121" s="214" t="s">
        <v>572</v>
      </c>
      <c r="C121" s="214">
        <f>+COUNTIF(CONSOLIDADO!E:E,'ANALISIS MACROS'!B121)</f>
        <v>0</v>
      </c>
    </row>
    <row r="122" spans="2:3" ht="45" x14ac:dyDescent="0.25">
      <c r="B122" s="214" t="s">
        <v>573</v>
      </c>
      <c r="C122" s="214">
        <f>+COUNTIF(CONSOLIDADO!E:E,'ANALISIS MACROS'!B122)</f>
        <v>0</v>
      </c>
    </row>
    <row r="123" spans="2:3" ht="60" x14ac:dyDescent="0.25">
      <c r="B123" s="214" t="s">
        <v>574</v>
      </c>
      <c r="C123" s="214">
        <f>+COUNTIF(CONSOLIDADO!E:E,'ANALISIS MACROS'!B123)</f>
        <v>0</v>
      </c>
    </row>
    <row r="124" spans="2:3" ht="45" x14ac:dyDescent="0.25">
      <c r="B124" s="214" t="s">
        <v>575</v>
      </c>
      <c r="C124" s="214">
        <f>+COUNTIF(CONSOLIDADO!E:E,'ANALISIS MACROS'!B124)</f>
        <v>0</v>
      </c>
    </row>
    <row r="125" spans="2:3" ht="45" x14ac:dyDescent="0.25">
      <c r="B125" s="214" t="s">
        <v>699</v>
      </c>
      <c r="C125" s="214">
        <f>+COUNTIF(CONSOLIDADO!E:E,'ANALISIS MACROS'!B125)</f>
        <v>0</v>
      </c>
    </row>
    <row r="126" spans="2:3" ht="45" x14ac:dyDescent="0.25">
      <c r="B126" s="214" t="s">
        <v>576</v>
      </c>
      <c r="C126" s="214">
        <f>+COUNTIF(CONSOLIDADO!E:E,'ANALISIS MACROS'!B126)</f>
        <v>0</v>
      </c>
    </row>
    <row r="127" spans="2:3" ht="30" x14ac:dyDescent="0.25">
      <c r="B127" s="214" t="s">
        <v>577</v>
      </c>
      <c r="C127" s="214">
        <f>+COUNTIF(CONSOLIDADO!E:E,'ANALISIS MACROS'!B127)</f>
        <v>0</v>
      </c>
    </row>
    <row r="128" spans="2:3" ht="105" x14ac:dyDescent="0.25">
      <c r="B128" s="214" t="s">
        <v>578</v>
      </c>
      <c r="C128" s="214">
        <f>+COUNTIF(CONSOLIDADO!E:E,'ANALISIS MACROS'!B128)</f>
        <v>0</v>
      </c>
    </row>
    <row r="129" spans="2:3" ht="45" x14ac:dyDescent="0.25">
      <c r="B129" s="214" t="s">
        <v>579</v>
      </c>
      <c r="C129" s="214">
        <f>+COUNTIF(CONSOLIDADO!E:E,'ANALISIS MACROS'!B129)</f>
        <v>0</v>
      </c>
    </row>
    <row r="130" spans="2:3" ht="30" x14ac:dyDescent="0.25">
      <c r="B130" s="214" t="s">
        <v>580</v>
      </c>
      <c r="C130" s="214">
        <f>+COUNTIF(CONSOLIDADO!E:E,'ANALISIS MACROS'!B130)</f>
        <v>0</v>
      </c>
    </row>
    <row r="131" spans="2:3" ht="30" x14ac:dyDescent="0.25">
      <c r="B131" s="214" t="s">
        <v>581</v>
      </c>
      <c r="C131" s="214">
        <f>+COUNTIF(CONSOLIDADO!E:E,'ANALISIS MACROS'!B131)</f>
        <v>0</v>
      </c>
    </row>
    <row r="132" spans="2:3" ht="30" x14ac:dyDescent="0.25">
      <c r="B132" s="214" t="s">
        <v>582</v>
      </c>
      <c r="C132" s="214">
        <f>+COUNTIF(CONSOLIDADO!E:E,'ANALISIS MACROS'!B132)</f>
        <v>0</v>
      </c>
    </row>
    <row r="133" spans="2:3" ht="30" x14ac:dyDescent="0.25">
      <c r="B133" s="214" t="s">
        <v>583</v>
      </c>
      <c r="C133" s="214">
        <f>+COUNTIF(CONSOLIDADO!E:E,'ANALISIS MACROS'!B133)</f>
        <v>0</v>
      </c>
    </row>
    <row r="134" spans="2:3" ht="75" x14ac:dyDescent="0.25">
      <c r="B134" s="214" t="s">
        <v>584</v>
      </c>
      <c r="C134" s="214">
        <f>+COUNTIF(CONSOLIDADO!E:E,'ANALISIS MACROS'!B134)</f>
        <v>0</v>
      </c>
    </row>
    <row r="135" spans="2:3" ht="90" x14ac:dyDescent="0.25">
      <c r="B135" s="214" t="s">
        <v>597</v>
      </c>
      <c r="C135" s="214">
        <f>+COUNTIF(CONSOLIDADO!E:E,'ANALISIS MACROS'!B135)</f>
        <v>1</v>
      </c>
    </row>
    <row r="136" spans="2:3" ht="60" x14ac:dyDescent="0.25">
      <c r="B136" s="214" t="s">
        <v>585</v>
      </c>
      <c r="C136" s="214">
        <f>+COUNTIF(CONSOLIDADO!E:E,'ANALISIS MACROS'!B136)</f>
        <v>0</v>
      </c>
    </row>
    <row r="137" spans="2:3" ht="45" x14ac:dyDescent="0.25">
      <c r="B137" s="214" t="s">
        <v>586</v>
      </c>
      <c r="C137" s="214">
        <f>+COUNTIF(CONSOLIDADO!E:E,'ANALISIS MACROS'!B137)</f>
        <v>0</v>
      </c>
    </row>
    <row r="138" spans="2:3" ht="45" x14ac:dyDescent="0.25">
      <c r="B138" s="214" t="s">
        <v>587</v>
      </c>
      <c r="C138" s="214">
        <f>+COUNTIF(CONSOLIDADO!E:E,'ANALISIS MACROS'!B138)</f>
        <v>0</v>
      </c>
    </row>
    <row r="139" spans="2:3" ht="60" x14ac:dyDescent="0.25">
      <c r="B139" s="214" t="s">
        <v>588</v>
      </c>
      <c r="C139" s="214">
        <f>+COUNTIF(CONSOLIDADO!E:E,'ANALISIS MACROS'!B139)</f>
        <v>0</v>
      </c>
    </row>
    <row r="140" spans="2:3" ht="60" x14ac:dyDescent="0.25">
      <c r="B140" s="214" t="s">
        <v>589</v>
      </c>
      <c r="C140" s="214">
        <f>+COUNTIF(CONSOLIDADO!E:E,'ANALISIS MACROS'!B140)</f>
        <v>0</v>
      </c>
    </row>
    <row r="141" spans="2:3" ht="60" x14ac:dyDescent="0.25">
      <c r="B141" s="214" t="s">
        <v>590</v>
      </c>
      <c r="C141" s="214">
        <f>+COUNTIF(CONSOLIDADO!E:E,'ANALISIS MACROS'!B141)</f>
        <v>0</v>
      </c>
    </row>
    <row r="142" spans="2:3" ht="75" x14ac:dyDescent="0.25">
      <c r="B142" s="214" t="s">
        <v>591</v>
      </c>
      <c r="C142" s="214">
        <f>+COUNTIF(CONSOLIDADO!E:E,'ANALISIS MACROS'!B142)</f>
        <v>0</v>
      </c>
    </row>
    <row r="143" spans="2:3" ht="60" x14ac:dyDescent="0.25">
      <c r="B143" s="214" t="s">
        <v>592</v>
      </c>
      <c r="C143" s="214">
        <f>+COUNTIF(CONSOLIDADO!E:E,'ANALISIS MACROS'!B143)</f>
        <v>1</v>
      </c>
    </row>
    <row r="144" spans="2:3" ht="60" x14ac:dyDescent="0.25">
      <c r="B144" s="214" t="s">
        <v>593</v>
      </c>
      <c r="C144" s="214">
        <f>+COUNTIF(CONSOLIDADO!E:E,'ANALISIS MACROS'!B144)</f>
        <v>0</v>
      </c>
    </row>
    <row r="145" spans="2:3" ht="30" x14ac:dyDescent="0.25">
      <c r="B145" s="214" t="s">
        <v>594</v>
      </c>
      <c r="C145" s="214">
        <f>+COUNTIF(CONSOLIDADO!E:E,'ANALISIS MACROS'!B145)</f>
        <v>0</v>
      </c>
    </row>
    <row r="146" spans="2:3" ht="60" x14ac:dyDescent="0.25">
      <c r="B146" s="214" t="s">
        <v>595</v>
      </c>
      <c r="C146" s="214">
        <f>+COUNTIF(CONSOLIDADO!E:E,'ANALISIS MACROS'!B146)</f>
        <v>0</v>
      </c>
    </row>
    <row r="147" spans="2:3" ht="30" x14ac:dyDescent="0.25">
      <c r="B147" s="214" t="s">
        <v>596</v>
      </c>
      <c r="C147" s="214">
        <f>+COUNTIF(CONSOLIDADO!E:E,'ANALISIS MACROS'!B147)</f>
        <v>0</v>
      </c>
    </row>
    <row r="148" spans="2:3" ht="60" x14ac:dyDescent="0.25">
      <c r="B148" s="214" t="s">
        <v>598</v>
      </c>
      <c r="C148" s="214">
        <f>+COUNTIF(CONSOLIDADO!E:E,'ANALISIS MACROS'!B148)</f>
        <v>0</v>
      </c>
    </row>
    <row r="149" spans="2:3" ht="75" x14ac:dyDescent="0.25">
      <c r="B149" s="214" t="s">
        <v>599</v>
      </c>
      <c r="C149" s="214">
        <f>+COUNTIF(CONSOLIDADO!E:E,'ANALISIS MACROS'!B149)</f>
        <v>0</v>
      </c>
    </row>
    <row r="150" spans="2:3" ht="30" x14ac:dyDescent="0.25">
      <c r="B150" s="214" t="s">
        <v>600</v>
      </c>
      <c r="C150" s="214">
        <f>+COUNTIF(CONSOLIDADO!E:E,'ANALISIS MACROS'!B150)</f>
        <v>0</v>
      </c>
    </row>
    <row r="151" spans="2:3" ht="75" x14ac:dyDescent="0.25">
      <c r="B151" s="214" t="s">
        <v>601</v>
      </c>
      <c r="C151" s="214">
        <f>+COUNTIF(CONSOLIDADO!E:E,'ANALISIS MACROS'!B151)</f>
        <v>0</v>
      </c>
    </row>
    <row r="152" spans="2:3" ht="45" x14ac:dyDescent="0.25">
      <c r="B152" s="214" t="s">
        <v>602</v>
      </c>
      <c r="C152" s="214">
        <f>+COUNTIF(CONSOLIDADO!E:E,'ANALISIS MACROS'!B152)</f>
        <v>0</v>
      </c>
    </row>
    <row r="153" spans="2:3" ht="45" x14ac:dyDescent="0.25">
      <c r="B153" s="214" t="s">
        <v>603</v>
      </c>
      <c r="C153" s="214">
        <f>+COUNTIF(CONSOLIDADO!E:E,'ANALISIS MACROS'!B153)</f>
        <v>0</v>
      </c>
    </row>
    <row r="154" spans="2:3" ht="90" x14ac:dyDescent="0.25">
      <c r="B154" s="214" t="s">
        <v>604</v>
      </c>
      <c r="C154" s="214">
        <f>+COUNTIF(CONSOLIDADO!E:E,'ANALISIS MACROS'!B154)</f>
        <v>0</v>
      </c>
    </row>
    <row r="155" spans="2:3" ht="45" x14ac:dyDescent="0.25">
      <c r="B155" s="214" t="s">
        <v>605</v>
      </c>
      <c r="C155" s="214">
        <f>+COUNTIF(CONSOLIDADO!E:E,'ANALISIS MACROS'!B155)</f>
        <v>0</v>
      </c>
    </row>
    <row r="156" spans="2:3" ht="30" x14ac:dyDescent="0.25">
      <c r="B156" s="214" t="s">
        <v>606</v>
      </c>
      <c r="C156" s="214">
        <f>+COUNTIF(CONSOLIDADO!E:E,'ANALISIS MACROS'!B156)</f>
        <v>0</v>
      </c>
    </row>
    <row r="157" spans="2:3" ht="45" x14ac:dyDescent="0.25">
      <c r="B157" s="214" t="s">
        <v>607</v>
      </c>
      <c r="C157" s="214">
        <f>+COUNTIF(CONSOLIDADO!E:E,'ANALISIS MACROS'!B157)</f>
        <v>0</v>
      </c>
    </row>
    <row r="158" spans="2:3" ht="75" x14ac:dyDescent="0.25">
      <c r="B158" s="214" t="s">
        <v>608</v>
      </c>
      <c r="C158" s="214">
        <f>+COUNTIF(CONSOLIDADO!E:E,'ANALISIS MACROS'!B158)</f>
        <v>0</v>
      </c>
    </row>
    <row r="159" spans="2:3" ht="105" x14ac:dyDescent="0.25">
      <c r="B159" s="214" t="s">
        <v>609</v>
      </c>
      <c r="C159" s="214">
        <f>+COUNTIF(CONSOLIDADO!E:E,'ANALISIS MACROS'!B159)</f>
        <v>0</v>
      </c>
    </row>
    <row r="160" spans="2:3" x14ac:dyDescent="0.25">
      <c r="B160" s="214" t="s">
        <v>610</v>
      </c>
      <c r="C160" s="214">
        <f>+COUNTIF(CONSOLIDADO!E:E,'ANALISIS MACROS'!B160)</f>
        <v>0</v>
      </c>
    </row>
    <row r="161" spans="2:3" ht="60" x14ac:dyDescent="0.25">
      <c r="B161" s="214" t="s">
        <v>611</v>
      </c>
      <c r="C161" s="214">
        <f>+COUNTIF(CONSOLIDADO!E:E,'ANALISIS MACROS'!B161)</f>
        <v>0</v>
      </c>
    </row>
    <row r="162" spans="2:3" ht="60" x14ac:dyDescent="0.25">
      <c r="B162" s="214" t="s">
        <v>612</v>
      </c>
      <c r="C162" s="214">
        <f>+COUNTIF(CONSOLIDADO!E:E,'ANALISIS MACROS'!B162)</f>
        <v>0</v>
      </c>
    </row>
    <row r="163" spans="2:3" ht="45" x14ac:dyDescent="0.25">
      <c r="B163" s="214" t="s">
        <v>613</v>
      </c>
      <c r="C163" s="214">
        <f>+COUNTIF(CONSOLIDADO!E:E,'ANALISIS MACROS'!B163)</f>
        <v>0</v>
      </c>
    </row>
    <row r="164" spans="2:3" ht="75" x14ac:dyDescent="0.25">
      <c r="B164" s="214" t="s">
        <v>614</v>
      </c>
      <c r="C164" s="214">
        <f>+COUNTIF(CONSOLIDADO!E:E,'ANALISIS MACROS'!B164)</f>
        <v>0</v>
      </c>
    </row>
    <row r="165" spans="2:3" ht="45" x14ac:dyDescent="0.25">
      <c r="B165" s="214" t="s">
        <v>615</v>
      </c>
      <c r="C165" s="214">
        <f>+COUNTIF(CONSOLIDADO!E:E,'ANALISIS MACROS'!B165)</f>
        <v>0</v>
      </c>
    </row>
    <row r="166" spans="2:3" ht="30" x14ac:dyDescent="0.25">
      <c r="B166" s="214" t="s">
        <v>616</v>
      </c>
      <c r="C166" s="214">
        <f>+COUNTIF(CONSOLIDADO!E:E,'ANALISIS MACROS'!B166)</f>
        <v>0</v>
      </c>
    </row>
    <row r="167" spans="2:3" ht="45" x14ac:dyDescent="0.25">
      <c r="B167" s="214" t="s">
        <v>617</v>
      </c>
      <c r="C167" s="214">
        <f>+COUNTIF(CONSOLIDADO!E:E,'ANALISIS MACROS'!B167)</f>
        <v>0</v>
      </c>
    </row>
    <row r="168" spans="2:3" ht="75" x14ac:dyDescent="0.25">
      <c r="B168" s="214" t="s">
        <v>618</v>
      </c>
      <c r="C168" s="214">
        <f>+COUNTIF(CONSOLIDADO!E:E,'ANALISIS MACROS'!B168)</f>
        <v>0</v>
      </c>
    </row>
    <row r="169" spans="2:3" ht="60" x14ac:dyDescent="0.25">
      <c r="B169" s="214" t="s">
        <v>619</v>
      </c>
      <c r="C169" s="214">
        <f>+COUNTIF(CONSOLIDADO!E:E,'ANALISIS MACROS'!B169)</f>
        <v>0</v>
      </c>
    </row>
    <row r="170" spans="2:3" ht="30" x14ac:dyDescent="0.25">
      <c r="B170" s="214" t="s">
        <v>620</v>
      </c>
      <c r="C170" s="214">
        <f>+COUNTIF(CONSOLIDADO!E:E,'ANALISIS MACROS'!B170)</f>
        <v>0</v>
      </c>
    </row>
    <row r="171" spans="2:3" ht="30" x14ac:dyDescent="0.25">
      <c r="B171" s="214" t="s">
        <v>621</v>
      </c>
      <c r="C171" s="214">
        <f>+COUNTIF(CONSOLIDADO!E:E,'ANALISIS MACROS'!B171)</f>
        <v>0</v>
      </c>
    </row>
    <row r="172" spans="2:3" ht="30" x14ac:dyDescent="0.25">
      <c r="B172" s="214" t="s">
        <v>622</v>
      </c>
      <c r="C172" s="214">
        <f>+COUNTIF(CONSOLIDADO!E:E,'ANALISIS MACROS'!B172)</f>
        <v>0</v>
      </c>
    </row>
    <row r="173" spans="2:3" x14ac:dyDescent="0.25">
      <c r="B173" s="214" t="s">
        <v>623</v>
      </c>
      <c r="C173" s="214">
        <f>+COUNTIF(CONSOLIDADO!E:E,'ANALISIS MACROS'!B173)</f>
        <v>0</v>
      </c>
    </row>
    <row r="174" spans="2:3" ht="45" x14ac:dyDescent="0.25">
      <c r="B174" s="214" t="s">
        <v>624</v>
      </c>
      <c r="C174" s="214">
        <f>+COUNTIF(CONSOLIDADO!E:E,'ANALISIS MACROS'!B174)</f>
        <v>0</v>
      </c>
    </row>
    <row r="175" spans="2:3" ht="90" x14ac:dyDescent="0.25">
      <c r="B175" s="214" t="s">
        <v>625</v>
      </c>
      <c r="C175" s="214">
        <f>+COUNTIF(CONSOLIDADO!E:E,'ANALISIS MACROS'!B175)</f>
        <v>0</v>
      </c>
    </row>
    <row r="176" spans="2:3" ht="60" x14ac:dyDescent="0.25">
      <c r="B176" s="214" t="s">
        <v>626</v>
      </c>
      <c r="C176" s="214">
        <f>+COUNTIF(CONSOLIDADO!E:E,'ANALISIS MACROS'!B176)</f>
        <v>0</v>
      </c>
    </row>
    <row r="177" spans="2:3" ht="30" x14ac:dyDescent="0.25">
      <c r="B177" s="214" t="s">
        <v>627</v>
      </c>
      <c r="C177" s="214">
        <f>+COUNTIF(CONSOLIDADO!E:E,'ANALISIS MACROS'!B177)</f>
        <v>0</v>
      </c>
    </row>
    <row r="178" spans="2:3" ht="135" x14ac:dyDescent="0.25">
      <c r="B178" s="214" t="s">
        <v>628</v>
      </c>
      <c r="C178" s="214">
        <f>+COUNTIF(CONSOLIDADO!E:E,'ANALISIS MACROS'!B178)</f>
        <v>0</v>
      </c>
    </row>
    <row r="179" spans="2:3" ht="60" x14ac:dyDescent="0.25">
      <c r="B179" s="214" t="s">
        <v>629</v>
      </c>
      <c r="C179" s="214">
        <f>+COUNTIF(CONSOLIDADO!E:E,'ANALISIS MACROS'!B179)</f>
        <v>0</v>
      </c>
    </row>
    <row r="180" spans="2:3" ht="45" x14ac:dyDescent="0.25">
      <c r="B180" s="214" t="s">
        <v>630</v>
      </c>
      <c r="C180" s="214">
        <f>+COUNTIF(CONSOLIDADO!E:E,'ANALISIS MACROS'!B180)</f>
        <v>0</v>
      </c>
    </row>
    <row r="181" spans="2:3" ht="45" x14ac:dyDescent="0.25">
      <c r="B181" s="214" t="s">
        <v>631</v>
      </c>
      <c r="C181" s="214">
        <f>+COUNTIF(CONSOLIDADO!E:E,'ANALISIS MACROS'!B181)</f>
        <v>0</v>
      </c>
    </row>
    <row r="182" spans="2:3" ht="60" x14ac:dyDescent="0.25">
      <c r="B182" s="214" t="s">
        <v>632</v>
      </c>
      <c r="C182" s="214">
        <f>+COUNTIF(CONSOLIDADO!E:E,'ANALISIS MACROS'!B182)</f>
        <v>0</v>
      </c>
    </row>
    <row r="183" spans="2:3" ht="105" x14ac:dyDescent="0.25">
      <c r="B183" s="214" t="s">
        <v>633</v>
      </c>
      <c r="C183" s="214">
        <f>+COUNTIF(CONSOLIDADO!E:E,'ANALISIS MACROS'!B183)</f>
        <v>0</v>
      </c>
    </row>
    <row r="184" spans="2:3" ht="75" x14ac:dyDescent="0.25">
      <c r="B184" s="214" t="s">
        <v>634</v>
      </c>
      <c r="C184" s="214">
        <f>+COUNTIF(CONSOLIDADO!E:E,'ANALISIS MACROS'!B184)</f>
        <v>0</v>
      </c>
    </row>
    <row r="185" spans="2:3" ht="90" x14ac:dyDescent="0.25">
      <c r="B185" s="214" t="s">
        <v>635</v>
      </c>
      <c r="C185" s="214">
        <f>+COUNTIF(CONSOLIDADO!E:E,'ANALISIS MACROS'!B185)</f>
        <v>0</v>
      </c>
    </row>
    <row r="186" spans="2:3" ht="30" x14ac:dyDescent="0.25">
      <c r="B186" s="214" t="s">
        <v>636</v>
      </c>
      <c r="C186" s="214">
        <f>+COUNTIF(CONSOLIDADO!E:E,'ANALISIS MACROS'!B186)</f>
        <v>0</v>
      </c>
    </row>
    <row r="187" spans="2:3" ht="30" x14ac:dyDescent="0.25">
      <c r="B187" s="214" t="s">
        <v>637</v>
      </c>
      <c r="C187" s="214">
        <f>+COUNTIF(CONSOLIDADO!E:E,'ANALISIS MACROS'!B187)</f>
        <v>0</v>
      </c>
    </row>
    <row r="188" spans="2:3" ht="45" x14ac:dyDescent="0.25">
      <c r="B188" s="214" t="s">
        <v>668</v>
      </c>
      <c r="C188" s="214">
        <f>+COUNTIF(CONSOLIDADO!E:E,'ANALISIS MACROS'!B188)</f>
        <v>0</v>
      </c>
    </row>
    <row r="189" spans="2:3" ht="30" x14ac:dyDescent="0.25">
      <c r="B189" s="214" t="s">
        <v>669</v>
      </c>
      <c r="C189" s="214">
        <f>+COUNTIF(CONSOLIDADO!E:E,'ANALISIS MACROS'!B189)</f>
        <v>0</v>
      </c>
    </row>
    <row r="190" spans="2:3" ht="45" x14ac:dyDescent="0.25">
      <c r="B190" s="214" t="s">
        <v>670</v>
      </c>
      <c r="C190" s="214">
        <f>+COUNTIF(CONSOLIDADO!E:E,'ANALISIS MACROS'!B190)</f>
        <v>0</v>
      </c>
    </row>
    <row r="191" spans="2:3" ht="30" x14ac:dyDescent="0.25">
      <c r="B191" s="214" t="s">
        <v>671</v>
      </c>
      <c r="C191" s="214">
        <f>+COUNTIF(CONSOLIDADO!E:E,'ANALISIS MACROS'!B191)</f>
        <v>0</v>
      </c>
    </row>
    <row r="192" spans="2:3" ht="45" x14ac:dyDescent="0.25">
      <c r="B192" s="214" t="s">
        <v>672</v>
      </c>
      <c r="C192" s="214">
        <f>+COUNTIF(CONSOLIDADO!E:E,'ANALISIS MACROS'!B192)</f>
        <v>0</v>
      </c>
    </row>
    <row r="193" spans="2:3" x14ac:dyDescent="0.25">
      <c r="B193" s="214" t="s">
        <v>638</v>
      </c>
      <c r="C193" s="214">
        <f>+COUNTIF(CONSOLIDADO!E:E,'ANALISIS MACROS'!B193)</f>
        <v>0</v>
      </c>
    </row>
    <row r="194" spans="2:3" ht="60" x14ac:dyDescent="0.25">
      <c r="B194" s="214" t="s">
        <v>639</v>
      </c>
      <c r="C194" s="214">
        <f>+COUNTIF(CONSOLIDADO!E:E,'ANALISIS MACROS'!B194)</f>
        <v>0</v>
      </c>
    </row>
    <row r="195" spans="2:3" ht="75" x14ac:dyDescent="0.25">
      <c r="B195" s="214" t="s">
        <v>640</v>
      </c>
      <c r="C195" s="214">
        <f>+COUNTIF(CONSOLIDADO!E:E,'ANALISIS MACROS'!B195)</f>
        <v>0</v>
      </c>
    </row>
    <row r="196" spans="2:3" ht="60" x14ac:dyDescent="0.25">
      <c r="B196" s="214" t="s">
        <v>641</v>
      </c>
      <c r="C196" s="214">
        <f>+COUNTIF(CONSOLIDADO!E:E,'ANALISIS MACROS'!B196)</f>
        <v>0</v>
      </c>
    </row>
    <row r="197" spans="2:3" ht="60" x14ac:dyDescent="0.25">
      <c r="B197" s="214" t="s">
        <v>642</v>
      </c>
      <c r="C197" s="214">
        <f>+COUNTIF(CONSOLIDADO!E:E,'ANALISIS MACROS'!B197)</f>
        <v>0</v>
      </c>
    </row>
    <row r="198" spans="2:3" ht="60" x14ac:dyDescent="0.25">
      <c r="B198" s="214" t="s">
        <v>643</v>
      </c>
      <c r="C198" s="214">
        <f>+COUNTIF(CONSOLIDADO!E:E,'ANALISIS MACROS'!B198)</f>
        <v>0</v>
      </c>
    </row>
    <row r="199" spans="2:3" ht="75" x14ac:dyDescent="0.25">
      <c r="B199" s="214" t="s">
        <v>644</v>
      </c>
      <c r="C199" s="214">
        <f>+COUNTIF(CONSOLIDADO!E:E,'ANALISIS MACROS'!B199)</f>
        <v>0</v>
      </c>
    </row>
    <row r="200" spans="2:3" ht="90" x14ac:dyDescent="0.25">
      <c r="B200" s="214" t="s">
        <v>645</v>
      </c>
      <c r="C200" s="214">
        <f>+COUNTIF(CONSOLIDADO!E:E,'ANALISIS MACROS'!B200)</f>
        <v>0</v>
      </c>
    </row>
    <row r="201" spans="2:3" ht="120" x14ac:dyDescent="0.25">
      <c r="B201" s="214" t="s">
        <v>646</v>
      </c>
      <c r="C201" s="214">
        <f>+COUNTIF(CONSOLIDADO!E:E,'ANALISIS MACROS'!B201)</f>
        <v>0</v>
      </c>
    </row>
    <row r="202" spans="2:3" ht="150" x14ac:dyDescent="0.25">
      <c r="B202" s="214" t="s">
        <v>647</v>
      </c>
      <c r="C202" s="214">
        <f>+COUNTIF(CONSOLIDADO!E:E,'ANALISIS MACROS'!B202)</f>
        <v>0</v>
      </c>
    </row>
    <row r="203" spans="2:3" ht="105" x14ac:dyDescent="0.25">
      <c r="B203" s="214" t="s">
        <v>648</v>
      </c>
      <c r="C203" s="214">
        <f>+COUNTIF(CONSOLIDADO!E:E,'ANALISIS MACROS'!B203)</f>
        <v>0</v>
      </c>
    </row>
    <row r="204" spans="2:3" ht="60" x14ac:dyDescent="0.25">
      <c r="B204" s="214" t="s">
        <v>649</v>
      </c>
      <c r="C204" s="214">
        <f>+COUNTIF(CONSOLIDADO!E:E,'ANALISIS MACROS'!B204)</f>
        <v>0</v>
      </c>
    </row>
    <row r="205" spans="2:3" ht="135" x14ac:dyDescent="0.25">
      <c r="B205" s="214" t="s">
        <v>650</v>
      </c>
      <c r="C205" s="214">
        <f>+COUNTIF(CONSOLIDADO!E:E,'ANALISIS MACROS'!B205)</f>
        <v>0</v>
      </c>
    </row>
    <row r="206" spans="2:3" ht="75" x14ac:dyDescent="0.25">
      <c r="B206" s="214" t="s">
        <v>651</v>
      </c>
      <c r="C206" s="214">
        <f>+COUNTIF(CONSOLIDADO!E:E,'ANALISIS MACROS'!B206)</f>
        <v>0</v>
      </c>
    </row>
    <row r="207" spans="2:3" ht="60" x14ac:dyDescent="0.25">
      <c r="B207" s="214" t="s">
        <v>652</v>
      </c>
      <c r="C207" s="214">
        <f>+COUNTIF(CONSOLIDADO!E:E,'ANALISIS MACROS'!B207)</f>
        <v>0</v>
      </c>
    </row>
    <row r="208" spans="2:3" ht="45" x14ac:dyDescent="0.25">
      <c r="B208" s="214" t="s">
        <v>653</v>
      </c>
      <c r="C208" s="214">
        <f>+COUNTIF(CONSOLIDADO!E:E,'ANALISIS MACROS'!B208)</f>
        <v>0</v>
      </c>
    </row>
    <row r="209" spans="2:3" ht="120" x14ac:dyDescent="0.25">
      <c r="B209" s="214" t="s">
        <v>654</v>
      </c>
      <c r="C209" s="214">
        <f>+COUNTIF(CONSOLIDADO!E:E,'ANALISIS MACROS'!B209)</f>
        <v>0</v>
      </c>
    </row>
    <row r="210" spans="2:3" ht="75" x14ac:dyDescent="0.25">
      <c r="B210" s="214" t="s">
        <v>655</v>
      </c>
      <c r="C210" s="214">
        <f>+COUNTIF(CONSOLIDADO!E:E,'ANALISIS MACROS'!B210)</f>
        <v>0</v>
      </c>
    </row>
    <row r="211" spans="2:3" ht="90" x14ac:dyDescent="0.25">
      <c r="B211" s="214" t="s">
        <v>656</v>
      </c>
      <c r="C211" s="214">
        <f>+COUNTIF(CONSOLIDADO!E:E,'ANALISIS MACROS'!B211)</f>
        <v>0</v>
      </c>
    </row>
    <row r="212" spans="2:3" ht="75" x14ac:dyDescent="0.25">
      <c r="B212" s="214" t="s">
        <v>657</v>
      </c>
      <c r="C212" s="214">
        <f>+COUNTIF(CONSOLIDADO!E:E,'ANALISIS MACROS'!B212)</f>
        <v>0</v>
      </c>
    </row>
    <row r="213" spans="2:3" ht="45" x14ac:dyDescent="0.25">
      <c r="B213" s="214" t="s">
        <v>658</v>
      </c>
      <c r="C213" s="214">
        <f>+COUNTIF(CONSOLIDADO!E:E,'ANALISIS MACROS'!B213)</f>
        <v>0</v>
      </c>
    </row>
    <row r="214" spans="2:3" ht="120" x14ac:dyDescent="0.25">
      <c r="B214" s="214" t="s">
        <v>659</v>
      </c>
      <c r="C214" s="214">
        <f>+COUNTIF(CONSOLIDADO!E:E,'ANALISIS MACROS'!B214)</f>
        <v>0</v>
      </c>
    </row>
    <row r="215" spans="2:3" ht="90" x14ac:dyDescent="0.25">
      <c r="B215" s="214" t="s">
        <v>660</v>
      </c>
      <c r="C215" s="214">
        <f>+COUNTIF(CONSOLIDADO!E:E,'ANALISIS MACROS'!B215)</f>
        <v>0</v>
      </c>
    </row>
    <row r="216" spans="2:3" x14ac:dyDescent="0.25">
      <c r="C216" s="291">
        <f>SUM(C22:C215)</f>
        <v>332</v>
      </c>
    </row>
  </sheetData>
  <conditionalFormatting sqref="B22:C215">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96"/>
  <sheetViews>
    <sheetView topLeftCell="D1" zoomScale="55" zoomScaleNormal="55" workbookViewId="0">
      <selection activeCell="S21" sqref="S21"/>
    </sheetView>
  </sheetViews>
  <sheetFormatPr baseColWidth="10" defaultColWidth="10.85546875" defaultRowHeight="15" x14ac:dyDescent="0.25"/>
  <cols>
    <col min="1" max="1" width="10.85546875" style="208"/>
    <col min="2" max="2" width="79.28515625" style="208" customWidth="1"/>
    <col min="3" max="16384" width="10.85546875" style="208"/>
  </cols>
  <sheetData>
    <row r="1" spans="2:3" ht="15.75" thickBot="1" x14ac:dyDescent="0.3">
      <c r="B1" s="211" t="s">
        <v>1007</v>
      </c>
      <c r="C1" s="212" t="s">
        <v>715</v>
      </c>
    </row>
    <row r="2" spans="2:3" ht="30.75" thickTop="1" x14ac:dyDescent="0.25">
      <c r="B2" s="210" t="s">
        <v>473</v>
      </c>
      <c r="C2" s="210">
        <f>+'ANALISIS MACROS'!C22</f>
        <v>0</v>
      </c>
    </row>
    <row r="3" spans="2:3" x14ac:dyDescent="0.25">
      <c r="B3" s="209" t="s">
        <v>474</v>
      </c>
      <c r="C3" s="209">
        <f>+'ANALISIS MACROS'!C23</f>
        <v>3</v>
      </c>
    </row>
    <row r="4" spans="2:3" ht="30" x14ac:dyDescent="0.25">
      <c r="B4" s="209" t="s">
        <v>475</v>
      </c>
      <c r="C4" s="209">
        <f>+'ANALISIS MACROS'!C24</f>
        <v>1</v>
      </c>
    </row>
    <row r="5" spans="2:3" ht="30" x14ac:dyDescent="0.25">
      <c r="B5" s="209" t="s">
        <v>476</v>
      </c>
      <c r="C5" s="209">
        <f>+'ANALISIS MACROS'!C25</f>
        <v>1</v>
      </c>
    </row>
    <row r="6" spans="2:3" ht="45" x14ac:dyDescent="0.25">
      <c r="B6" s="209" t="s">
        <v>493</v>
      </c>
      <c r="C6" s="209">
        <f>+'ANALISIS MACROS'!C26</f>
        <v>0</v>
      </c>
    </row>
    <row r="7" spans="2:3" ht="60" x14ac:dyDescent="0.25">
      <c r="B7" s="209" t="s">
        <v>477</v>
      </c>
      <c r="C7" s="209">
        <f>+'ANALISIS MACROS'!C27</f>
        <v>0</v>
      </c>
    </row>
    <row r="8" spans="2:3" ht="45" x14ac:dyDescent="0.25">
      <c r="B8" s="209" t="s">
        <v>478</v>
      </c>
      <c r="C8" s="209">
        <f>+'ANALISIS MACROS'!C28</f>
        <v>0</v>
      </c>
    </row>
    <row r="9" spans="2:3" x14ac:dyDescent="0.25">
      <c r="B9" s="209" t="s">
        <v>479</v>
      </c>
      <c r="C9" s="209">
        <f>+'ANALISIS MACROS'!C29</f>
        <v>0</v>
      </c>
    </row>
    <row r="10" spans="2:3" ht="45" x14ac:dyDescent="0.25">
      <c r="B10" s="209" t="s">
        <v>480</v>
      </c>
      <c r="C10" s="209">
        <f>+'ANALISIS MACROS'!C30</f>
        <v>0</v>
      </c>
    </row>
    <row r="11" spans="2:3" ht="30" x14ac:dyDescent="0.25">
      <c r="B11" s="209" t="s">
        <v>481</v>
      </c>
      <c r="C11" s="209">
        <f>+'ANALISIS MACROS'!C31</f>
        <v>0</v>
      </c>
    </row>
    <row r="12" spans="2:3" ht="30" x14ac:dyDescent="0.25">
      <c r="B12" s="209" t="s">
        <v>482</v>
      </c>
      <c r="C12" s="209">
        <f>+'ANALISIS MACROS'!C32</f>
        <v>0</v>
      </c>
    </row>
    <row r="13" spans="2:3" ht="30" x14ac:dyDescent="0.25">
      <c r="B13" s="209" t="s">
        <v>483</v>
      </c>
      <c r="C13" s="209">
        <f>+'ANALISIS MACROS'!C33</f>
        <v>0</v>
      </c>
    </row>
    <row r="14" spans="2:3" ht="30" x14ac:dyDescent="0.25">
      <c r="B14" s="209" t="s">
        <v>484</v>
      </c>
      <c r="C14" s="209">
        <f>+'ANALISIS MACROS'!C34</f>
        <v>0</v>
      </c>
    </row>
    <row r="15" spans="2:3" ht="30" x14ac:dyDescent="0.25">
      <c r="B15" s="209" t="s">
        <v>485</v>
      </c>
      <c r="C15" s="209">
        <f>+'ANALISIS MACROS'!C35</f>
        <v>0</v>
      </c>
    </row>
    <row r="16" spans="2:3" ht="30" x14ac:dyDescent="0.25">
      <c r="B16" s="209" t="s">
        <v>486</v>
      </c>
      <c r="C16" s="209">
        <f>+'ANALISIS MACROS'!C36</f>
        <v>0</v>
      </c>
    </row>
    <row r="17" spans="2:3" x14ac:dyDescent="0.25">
      <c r="B17" s="209" t="s">
        <v>487</v>
      </c>
      <c r="C17" s="209">
        <f>+'ANALISIS MACROS'!C37</f>
        <v>0</v>
      </c>
    </row>
    <row r="18" spans="2:3" ht="30" x14ac:dyDescent="0.25">
      <c r="B18" s="209" t="s">
        <v>488</v>
      </c>
      <c r="C18" s="209">
        <f>+'ANALISIS MACROS'!C38</f>
        <v>0</v>
      </c>
    </row>
    <row r="19" spans="2:3" x14ac:dyDescent="0.25">
      <c r="B19" s="209" t="s">
        <v>489</v>
      </c>
      <c r="C19" s="209">
        <f>+'ANALISIS MACROS'!C39</f>
        <v>0</v>
      </c>
    </row>
    <row r="20" spans="2:3" x14ac:dyDescent="0.25">
      <c r="B20" s="209" t="s">
        <v>490</v>
      </c>
      <c r="C20" s="209">
        <f>+'ANALISIS MACROS'!C40</f>
        <v>0</v>
      </c>
    </row>
    <row r="21" spans="2:3" ht="45" x14ac:dyDescent="0.25">
      <c r="B21" s="209" t="s">
        <v>491</v>
      </c>
      <c r="C21" s="209">
        <f>+'ANALISIS MACROS'!C41</f>
        <v>1</v>
      </c>
    </row>
    <row r="22" spans="2:3" x14ac:dyDescent="0.25">
      <c r="B22" s="209" t="s">
        <v>492</v>
      </c>
      <c r="C22" s="209">
        <f>+'ANALISIS MACROS'!C42</f>
        <v>0</v>
      </c>
    </row>
    <row r="23" spans="2:3" x14ac:dyDescent="0.25">
      <c r="B23" s="209" t="s">
        <v>494</v>
      </c>
      <c r="C23" s="209">
        <f>+'ANALISIS MACROS'!C43</f>
        <v>0</v>
      </c>
    </row>
    <row r="24" spans="2:3" x14ac:dyDescent="0.25">
      <c r="B24" s="209" t="s">
        <v>495</v>
      </c>
      <c r="C24" s="209">
        <f>+'ANALISIS MACROS'!C44</f>
        <v>0</v>
      </c>
    </row>
    <row r="25" spans="2:3" x14ac:dyDescent="0.25">
      <c r="B25" s="209" t="s">
        <v>496</v>
      </c>
      <c r="C25" s="209">
        <f>+'ANALISIS MACROS'!C45</f>
        <v>0</v>
      </c>
    </row>
    <row r="26" spans="2:3" x14ac:dyDescent="0.25">
      <c r="B26" s="209" t="s">
        <v>497</v>
      </c>
      <c r="C26" s="209">
        <f>+'ANALISIS MACROS'!C46</f>
        <v>2</v>
      </c>
    </row>
    <row r="27" spans="2:3" ht="45" x14ac:dyDescent="0.25">
      <c r="B27" s="209" t="s">
        <v>498</v>
      </c>
      <c r="C27" s="209">
        <f>+'ANALISIS MACROS'!C47</f>
        <v>0</v>
      </c>
    </row>
    <row r="28" spans="2:3" ht="30" x14ac:dyDescent="0.25">
      <c r="B28" s="209" t="s">
        <v>499</v>
      </c>
      <c r="C28" s="209">
        <f>+'ANALISIS MACROS'!C48</f>
        <v>0</v>
      </c>
    </row>
    <row r="29" spans="2:3" ht="30" x14ac:dyDescent="0.25">
      <c r="B29" s="209" t="s">
        <v>500</v>
      </c>
      <c r="C29" s="209">
        <f>+'ANALISIS MACROS'!C49</f>
        <v>0</v>
      </c>
    </row>
    <row r="30" spans="2:3" ht="30" x14ac:dyDescent="0.25">
      <c r="B30" s="209" t="s">
        <v>501</v>
      </c>
      <c r="C30" s="209">
        <f>+'ANALISIS MACROS'!C50</f>
        <v>0</v>
      </c>
    </row>
    <row r="31" spans="2:3" ht="30" x14ac:dyDescent="0.25">
      <c r="B31" s="209" t="s">
        <v>502</v>
      </c>
      <c r="C31" s="209">
        <f>+'ANALISIS MACROS'!C51</f>
        <v>0</v>
      </c>
    </row>
    <row r="32" spans="2:3" ht="30" x14ac:dyDescent="0.25">
      <c r="B32" s="209" t="s">
        <v>503</v>
      </c>
      <c r="C32" s="209">
        <f>+'ANALISIS MACROS'!C52</f>
        <v>0</v>
      </c>
    </row>
    <row r="33" spans="2:3" ht="30" x14ac:dyDescent="0.25">
      <c r="B33" s="209" t="s">
        <v>504</v>
      </c>
      <c r="C33" s="209">
        <f>+'ANALISIS MACROS'!C53</f>
        <v>0</v>
      </c>
    </row>
    <row r="34" spans="2:3" x14ac:dyDescent="0.25">
      <c r="B34" s="209" t="s">
        <v>505</v>
      </c>
      <c r="C34" s="209">
        <f>+'ANALISIS MACROS'!C54</f>
        <v>0</v>
      </c>
    </row>
    <row r="35" spans="2:3" ht="60" x14ac:dyDescent="0.25">
      <c r="B35" s="209" t="s">
        <v>506</v>
      </c>
      <c r="C35" s="209">
        <f>+'ANALISIS MACROS'!C55</f>
        <v>0</v>
      </c>
    </row>
    <row r="36" spans="2:3" ht="120" x14ac:dyDescent="0.25">
      <c r="B36" s="209" t="s">
        <v>507</v>
      </c>
      <c r="C36" s="209">
        <f>+'ANALISIS MACROS'!C56</f>
        <v>21</v>
      </c>
    </row>
    <row r="37" spans="2:3" ht="75" x14ac:dyDescent="0.25">
      <c r="B37" s="209" t="s">
        <v>508</v>
      </c>
      <c r="C37" s="209">
        <f>+'ANALISIS MACROS'!C57</f>
        <v>0</v>
      </c>
    </row>
    <row r="38" spans="2:3" ht="30" x14ac:dyDescent="0.25">
      <c r="B38" s="209" t="s">
        <v>509</v>
      </c>
      <c r="C38" s="209">
        <f>+'ANALISIS MACROS'!C58</f>
        <v>0</v>
      </c>
    </row>
    <row r="39" spans="2:3" x14ac:dyDescent="0.25">
      <c r="B39" s="209" t="s">
        <v>510</v>
      </c>
      <c r="C39" s="209">
        <f>+'ANALISIS MACROS'!C59</f>
        <v>0</v>
      </c>
    </row>
    <row r="40" spans="2:3" ht="30" x14ac:dyDescent="0.25">
      <c r="B40" s="209" t="s">
        <v>511</v>
      </c>
      <c r="C40" s="209">
        <f>+'ANALISIS MACROS'!C60</f>
        <v>0</v>
      </c>
    </row>
    <row r="41" spans="2:3" x14ac:dyDescent="0.25">
      <c r="B41" s="209" t="s">
        <v>512</v>
      </c>
      <c r="C41" s="209">
        <f>+'ANALISIS MACROS'!C61</f>
        <v>1</v>
      </c>
    </row>
    <row r="42" spans="2:3" ht="30" x14ac:dyDescent="0.25">
      <c r="B42" s="209" t="s">
        <v>513</v>
      </c>
      <c r="C42" s="209">
        <f>+'ANALISIS MACROS'!C62</f>
        <v>5</v>
      </c>
    </row>
    <row r="43" spans="2:3" ht="30" x14ac:dyDescent="0.25">
      <c r="B43" s="209" t="s">
        <v>514</v>
      </c>
      <c r="C43" s="209">
        <f>+'ANALISIS MACROS'!C63</f>
        <v>0</v>
      </c>
    </row>
    <row r="44" spans="2:3" ht="45" x14ac:dyDescent="0.25">
      <c r="B44" s="209" t="s">
        <v>515</v>
      </c>
      <c r="C44" s="209">
        <f>+'ANALISIS MACROS'!C64</f>
        <v>12</v>
      </c>
    </row>
    <row r="45" spans="2:3" ht="45" x14ac:dyDescent="0.25">
      <c r="B45" s="209" t="s">
        <v>516</v>
      </c>
      <c r="C45" s="209">
        <f>+'ANALISIS MACROS'!C65</f>
        <v>12</v>
      </c>
    </row>
    <row r="46" spans="2:3" ht="30" x14ac:dyDescent="0.25">
      <c r="B46" s="209" t="s">
        <v>517</v>
      </c>
      <c r="C46" s="209">
        <f>+'ANALISIS MACROS'!C66</f>
        <v>6</v>
      </c>
    </row>
    <row r="47" spans="2:3" x14ac:dyDescent="0.25">
      <c r="B47" s="209" t="s">
        <v>518</v>
      </c>
      <c r="C47" s="209">
        <f>+'ANALISIS MACROS'!C67</f>
        <v>6</v>
      </c>
    </row>
    <row r="48" spans="2:3" ht="30" x14ac:dyDescent="0.25">
      <c r="B48" s="209" t="s">
        <v>519</v>
      </c>
      <c r="C48" s="209">
        <f>+'ANALISIS MACROS'!C68</f>
        <v>14</v>
      </c>
    </row>
    <row r="49" spans="2:3" ht="30" x14ac:dyDescent="0.25">
      <c r="B49" s="209" t="s">
        <v>520</v>
      </c>
      <c r="C49" s="209">
        <f>+'ANALISIS MACROS'!C69</f>
        <v>2</v>
      </c>
    </row>
    <row r="50" spans="2:3" x14ac:dyDescent="0.25">
      <c r="B50" s="209" t="s">
        <v>521</v>
      </c>
      <c r="C50" s="209">
        <f>+'ANALISIS MACROS'!C70</f>
        <v>3</v>
      </c>
    </row>
    <row r="51" spans="2:3" x14ac:dyDescent="0.25">
      <c r="B51" s="209" t="s">
        <v>522</v>
      </c>
      <c r="C51" s="209">
        <f>+'ANALISIS MACROS'!C71</f>
        <v>17</v>
      </c>
    </row>
    <row r="52" spans="2:3" ht="45" x14ac:dyDescent="0.25">
      <c r="B52" s="209" t="s">
        <v>523</v>
      </c>
      <c r="C52" s="209">
        <f>+'ANALISIS MACROS'!C72</f>
        <v>4</v>
      </c>
    </row>
    <row r="53" spans="2:3" x14ac:dyDescent="0.25">
      <c r="B53" s="209" t="s">
        <v>524</v>
      </c>
      <c r="C53" s="209">
        <f>+'ANALISIS MACROS'!C73</f>
        <v>4</v>
      </c>
    </row>
    <row r="54" spans="2:3" ht="30" x14ac:dyDescent="0.25">
      <c r="B54" s="209" t="s">
        <v>525</v>
      </c>
      <c r="C54" s="209">
        <f>+'ANALISIS MACROS'!C74</f>
        <v>29</v>
      </c>
    </row>
    <row r="55" spans="2:3" ht="45" x14ac:dyDescent="0.25">
      <c r="B55" s="209" t="s">
        <v>526</v>
      </c>
      <c r="C55" s="209">
        <f>+'ANALISIS MACROS'!C75</f>
        <v>3</v>
      </c>
    </row>
    <row r="56" spans="2:3" ht="30" x14ac:dyDescent="0.25">
      <c r="B56" s="209" t="s">
        <v>527</v>
      </c>
      <c r="C56" s="209">
        <f>+'ANALISIS MACROS'!C76</f>
        <v>11</v>
      </c>
    </row>
    <row r="57" spans="2:3" ht="30" x14ac:dyDescent="0.25">
      <c r="B57" s="209" t="s">
        <v>528</v>
      </c>
      <c r="C57" s="209">
        <f>+'ANALISIS MACROS'!C77</f>
        <v>4</v>
      </c>
    </row>
    <row r="58" spans="2:3" ht="30" x14ac:dyDescent="0.25">
      <c r="B58" s="209" t="s">
        <v>529</v>
      </c>
      <c r="C58" s="209">
        <f>+'ANALISIS MACROS'!C78</f>
        <v>14</v>
      </c>
    </row>
    <row r="59" spans="2:3" x14ac:dyDescent="0.25">
      <c r="B59" s="209" t="s">
        <v>530</v>
      </c>
      <c r="C59" s="209">
        <f>+'ANALISIS MACROS'!C79</f>
        <v>13</v>
      </c>
    </row>
    <row r="60" spans="2:3" x14ac:dyDescent="0.25">
      <c r="B60" s="209" t="s">
        <v>531</v>
      </c>
      <c r="C60" s="209">
        <f>+'ANALISIS MACROS'!C80</f>
        <v>4</v>
      </c>
    </row>
    <row r="61" spans="2:3" x14ac:dyDescent="0.25">
      <c r="B61" s="209" t="s">
        <v>532</v>
      </c>
      <c r="C61" s="209">
        <f>+'ANALISIS MACROS'!C81</f>
        <v>21</v>
      </c>
    </row>
    <row r="62" spans="2:3" ht="45" x14ac:dyDescent="0.25">
      <c r="B62" s="209" t="s">
        <v>533</v>
      </c>
      <c r="C62" s="209">
        <f>+'ANALISIS MACROS'!C82</f>
        <v>8</v>
      </c>
    </row>
    <row r="63" spans="2:3" x14ac:dyDescent="0.25">
      <c r="B63" s="209" t="s">
        <v>534</v>
      </c>
      <c r="C63" s="209">
        <f>+'ANALISIS MACROS'!C83</f>
        <v>8</v>
      </c>
    </row>
    <row r="64" spans="2:3" x14ac:dyDescent="0.25">
      <c r="B64" s="209" t="s">
        <v>535</v>
      </c>
      <c r="C64" s="209">
        <f>+'ANALISIS MACROS'!C84</f>
        <v>21</v>
      </c>
    </row>
    <row r="65" spans="2:3" ht="30" x14ac:dyDescent="0.25">
      <c r="B65" s="209" t="s">
        <v>536</v>
      </c>
      <c r="C65" s="209">
        <f>+'ANALISIS MACROS'!C85</f>
        <v>18</v>
      </c>
    </row>
    <row r="66" spans="2:3" ht="30" x14ac:dyDescent="0.25">
      <c r="B66" s="209" t="s">
        <v>537</v>
      </c>
      <c r="C66" s="209">
        <f>+'ANALISIS MACROS'!C86</f>
        <v>17</v>
      </c>
    </row>
    <row r="67" spans="2:3" ht="30" x14ac:dyDescent="0.25">
      <c r="B67" s="209" t="s">
        <v>538</v>
      </c>
      <c r="C67" s="209">
        <f>+'ANALISIS MACROS'!C87</f>
        <v>0</v>
      </c>
    </row>
    <row r="68" spans="2:3" ht="30" x14ac:dyDescent="0.25">
      <c r="B68" s="209" t="s">
        <v>539</v>
      </c>
      <c r="C68" s="209">
        <f>+'ANALISIS MACROS'!C88</f>
        <v>2</v>
      </c>
    </row>
    <row r="69" spans="2:3" ht="45" x14ac:dyDescent="0.25">
      <c r="B69" s="209" t="s">
        <v>540</v>
      </c>
      <c r="C69" s="209">
        <f>+'ANALISIS MACROS'!C89</f>
        <v>3</v>
      </c>
    </row>
    <row r="70" spans="2:3" ht="30" x14ac:dyDescent="0.25">
      <c r="B70" s="209" t="s">
        <v>541</v>
      </c>
      <c r="C70" s="209">
        <f>+'ANALISIS MACROS'!C90</f>
        <v>3</v>
      </c>
    </row>
    <row r="71" spans="2:3" ht="30" x14ac:dyDescent="0.25">
      <c r="B71" s="209" t="s">
        <v>542</v>
      </c>
      <c r="C71" s="209">
        <f>+'ANALISIS MACROS'!C91</f>
        <v>1</v>
      </c>
    </row>
    <row r="72" spans="2:3" x14ac:dyDescent="0.25">
      <c r="B72" s="209" t="s">
        <v>543</v>
      </c>
      <c r="C72" s="209">
        <f>+'ANALISIS MACROS'!C92</f>
        <v>10</v>
      </c>
    </row>
    <row r="73" spans="2:3" ht="45" x14ac:dyDescent="0.25">
      <c r="B73" s="209" t="s">
        <v>544</v>
      </c>
      <c r="C73" s="209">
        <f>+'ANALISIS MACROS'!C93</f>
        <v>2</v>
      </c>
    </row>
    <row r="74" spans="2:3" ht="45" x14ac:dyDescent="0.25">
      <c r="B74" s="209" t="s">
        <v>545</v>
      </c>
      <c r="C74" s="209">
        <f>+'ANALISIS MACROS'!C94</f>
        <v>2</v>
      </c>
    </row>
    <row r="75" spans="2:3" ht="30" x14ac:dyDescent="0.25">
      <c r="B75" s="209" t="s">
        <v>546</v>
      </c>
      <c r="C75" s="209">
        <f>+'ANALISIS MACROS'!C95</f>
        <v>10</v>
      </c>
    </row>
    <row r="76" spans="2:3" ht="30" x14ac:dyDescent="0.25">
      <c r="B76" s="209" t="s">
        <v>547</v>
      </c>
      <c r="C76" s="209">
        <f>+'ANALISIS MACROS'!C96</f>
        <v>1</v>
      </c>
    </row>
    <row r="77" spans="2:3" ht="30" x14ac:dyDescent="0.25">
      <c r="B77" s="209" t="s">
        <v>548</v>
      </c>
      <c r="C77" s="209">
        <f>+'ANALISIS MACROS'!C97</f>
        <v>8</v>
      </c>
    </row>
    <row r="78" spans="2:3" ht="30" x14ac:dyDescent="0.25">
      <c r="B78" s="209" t="s">
        <v>549</v>
      </c>
      <c r="C78" s="209">
        <f>+'ANALISIS MACROS'!C98</f>
        <v>1</v>
      </c>
    </row>
    <row r="79" spans="2:3" ht="45" x14ac:dyDescent="0.25">
      <c r="B79" s="209" t="s">
        <v>550</v>
      </c>
      <c r="C79" s="209">
        <f>+'ANALISIS MACROS'!C99</f>
        <v>0</v>
      </c>
    </row>
    <row r="80" spans="2:3" ht="30" x14ac:dyDescent="0.25">
      <c r="B80" s="209" t="s">
        <v>551</v>
      </c>
      <c r="C80" s="209">
        <f>+'ANALISIS MACROS'!C100</f>
        <v>0</v>
      </c>
    </row>
    <row r="81" spans="2:3" x14ac:dyDescent="0.25">
      <c r="B81" s="209" t="s">
        <v>552</v>
      </c>
      <c r="C81" s="209">
        <f>+'ANALISIS MACROS'!C101</f>
        <v>0</v>
      </c>
    </row>
    <row r="82" spans="2:3" x14ac:dyDescent="0.25">
      <c r="B82" s="209" t="s">
        <v>553</v>
      </c>
      <c r="C82" s="209">
        <f>+'ANALISIS MACROS'!C102</f>
        <v>0</v>
      </c>
    </row>
    <row r="83" spans="2:3" ht="30" x14ac:dyDescent="0.25">
      <c r="B83" s="209" t="s">
        <v>554</v>
      </c>
      <c r="C83" s="209">
        <f>+'ANALISIS MACROS'!C103</f>
        <v>0</v>
      </c>
    </row>
    <row r="84" spans="2:3" x14ac:dyDescent="0.25">
      <c r="B84" s="209" t="s">
        <v>555</v>
      </c>
      <c r="C84" s="209">
        <f>+'ANALISIS MACROS'!C104</f>
        <v>0</v>
      </c>
    </row>
    <row r="85" spans="2:3" x14ac:dyDescent="0.25">
      <c r="B85" s="209" t="s">
        <v>556</v>
      </c>
      <c r="C85" s="209">
        <f>+'ANALISIS MACROS'!C105</f>
        <v>0</v>
      </c>
    </row>
    <row r="86" spans="2:3" x14ac:dyDescent="0.25">
      <c r="B86" s="209" t="s">
        <v>557</v>
      </c>
      <c r="C86" s="209">
        <f>+'ANALISIS MACROS'!C106</f>
        <v>0</v>
      </c>
    </row>
    <row r="87" spans="2:3" x14ac:dyDescent="0.25">
      <c r="B87" s="209" t="s">
        <v>558</v>
      </c>
      <c r="C87" s="209">
        <f>+'ANALISIS MACROS'!C107</f>
        <v>0</v>
      </c>
    </row>
    <row r="88" spans="2:3" x14ac:dyDescent="0.25">
      <c r="B88" s="209" t="s">
        <v>559</v>
      </c>
      <c r="C88" s="209">
        <f>+'ANALISIS MACROS'!C108</f>
        <v>0</v>
      </c>
    </row>
    <row r="89" spans="2:3" ht="30" x14ac:dyDescent="0.25">
      <c r="B89" s="209" t="s">
        <v>560</v>
      </c>
      <c r="C89" s="209">
        <f>+'ANALISIS MACROS'!C109</f>
        <v>0</v>
      </c>
    </row>
    <row r="90" spans="2:3" ht="30" x14ac:dyDescent="0.25">
      <c r="B90" s="209" t="s">
        <v>561</v>
      </c>
      <c r="C90" s="209">
        <f>+'ANALISIS MACROS'!C110</f>
        <v>0</v>
      </c>
    </row>
    <row r="91" spans="2:3" ht="30" x14ac:dyDescent="0.25">
      <c r="B91" s="209" t="s">
        <v>562</v>
      </c>
      <c r="C91" s="209">
        <f>+'ANALISIS MACROS'!C111</f>
        <v>0</v>
      </c>
    </row>
    <row r="92" spans="2:3" x14ac:dyDescent="0.25">
      <c r="B92" s="209" t="s">
        <v>563</v>
      </c>
      <c r="C92" s="209">
        <f>+'ANALISIS MACROS'!C112</f>
        <v>0</v>
      </c>
    </row>
    <row r="93" spans="2:3" x14ac:dyDescent="0.25">
      <c r="B93" s="209" t="s">
        <v>564</v>
      </c>
      <c r="C93" s="209">
        <f>+'ANALISIS MACROS'!C113</f>
        <v>0</v>
      </c>
    </row>
    <row r="94" spans="2:3" ht="30" x14ac:dyDescent="0.25">
      <c r="B94" s="209" t="s">
        <v>565</v>
      </c>
      <c r="C94" s="209">
        <f>+'ANALISIS MACROS'!C114</f>
        <v>0</v>
      </c>
    </row>
    <row r="95" spans="2:3" ht="30" x14ac:dyDescent="0.25">
      <c r="B95" s="209" t="s">
        <v>566</v>
      </c>
      <c r="C95" s="209">
        <f>+'ANALISIS MACROS'!C115</f>
        <v>0</v>
      </c>
    </row>
    <row r="96" spans="2:3" ht="30" x14ac:dyDescent="0.25">
      <c r="B96" s="209" t="s">
        <v>567</v>
      </c>
      <c r="C96" s="209">
        <f>+'ANALISIS MACROS'!C116</f>
        <v>1</v>
      </c>
    </row>
    <row r="97" spans="2:3" ht="30" x14ac:dyDescent="0.25">
      <c r="B97" s="209" t="s">
        <v>568</v>
      </c>
      <c r="C97" s="209">
        <f>+'ANALISIS MACROS'!C117</f>
        <v>0</v>
      </c>
    </row>
    <row r="98" spans="2:3" ht="30" x14ac:dyDescent="0.25">
      <c r="B98" s="209" t="s">
        <v>569</v>
      </c>
      <c r="C98" s="209">
        <f>+'ANALISIS MACROS'!C118</f>
        <v>0</v>
      </c>
    </row>
    <row r="99" spans="2:3" ht="30" x14ac:dyDescent="0.25">
      <c r="B99" s="209" t="s">
        <v>570</v>
      </c>
      <c r="C99" s="209">
        <f>+'ANALISIS MACROS'!C119</f>
        <v>0</v>
      </c>
    </row>
    <row r="100" spans="2:3" x14ac:dyDescent="0.25">
      <c r="B100" s="209" t="s">
        <v>571</v>
      </c>
      <c r="C100" s="209">
        <f>+'ANALISIS MACROS'!C120</f>
        <v>0</v>
      </c>
    </row>
    <row r="101" spans="2:3" x14ac:dyDescent="0.25">
      <c r="B101" s="209" t="s">
        <v>572</v>
      </c>
      <c r="C101" s="209">
        <f>+'ANALISIS MACROS'!C121</f>
        <v>0</v>
      </c>
    </row>
    <row r="102" spans="2:3" x14ac:dyDescent="0.25">
      <c r="B102" s="209" t="s">
        <v>573</v>
      </c>
      <c r="C102" s="209">
        <f>+'ANALISIS MACROS'!C122</f>
        <v>0</v>
      </c>
    </row>
    <row r="103" spans="2:3" ht="30" x14ac:dyDescent="0.25">
      <c r="B103" s="209" t="s">
        <v>574</v>
      </c>
      <c r="C103" s="209">
        <f>+'ANALISIS MACROS'!C123</f>
        <v>0</v>
      </c>
    </row>
    <row r="104" spans="2:3" x14ac:dyDescent="0.25">
      <c r="B104" s="209" t="s">
        <v>575</v>
      </c>
      <c r="C104" s="209">
        <f>+'ANALISIS MACROS'!C124</f>
        <v>0</v>
      </c>
    </row>
    <row r="105" spans="2:3" x14ac:dyDescent="0.25">
      <c r="B105" s="209" t="s">
        <v>699</v>
      </c>
      <c r="C105" s="209">
        <f>+'ANALISIS MACROS'!C125</f>
        <v>0</v>
      </c>
    </row>
    <row r="106" spans="2:3" x14ac:dyDescent="0.25">
      <c r="B106" s="209" t="s">
        <v>576</v>
      </c>
      <c r="C106" s="209">
        <f>+'ANALISIS MACROS'!C126</f>
        <v>0</v>
      </c>
    </row>
    <row r="107" spans="2:3" x14ac:dyDescent="0.25">
      <c r="B107" s="209" t="s">
        <v>577</v>
      </c>
      <c r="C107" s="209">
        <f>+'ANALISIS MACROS'!C127</f>
        <v>0</v>
      </c>
    </row>
    <row r="108" spans="2:3" ht="45" x14ac:dyDescent="0.25">
      <c r="B108" s="209" t="s">
        <v>578</v>
      </c>
      <c r="C108" s="209">
        <f>+'ANALISIS MACROS'!C128</f>
        <v>0</v>
      </c>
    </row>
    <row r="109" spans="2:3" ht="30" x14ac:dyDescent="0.25">
      <c r="B109" s="209" t="s">
        <v>579</v>
      </c>
      <c r="C109" s="209">
        <f>+'ANALISIS MACROS'!C129</f>
        <v>0</v>
      </c>
    </row>
    <row r="110" spans="2:3" x14ac:dyDescent="0.25">
      <c r="B110" s="209" t="s">
        <v>580</v>
      </c>
      <c r="C110" s="209">
        <f>+'ANALISIS MACROS'!C130</f>
        <v>0</v>
      </c>
    </row>
    <row r="111" spans="2:3" x14ac:dyDescent="0.25">
      <c r="B111" s="209" t="s">
        <v>581</v>
      </c>
      <c r="C111" s="209">
        <f>+'ANALISIS MACROS'!C131</f>
        <v>0</v>
      </c>
    </row>
    <row r="112" spans="2:3" x14ac:dyDescent="0.25">
      <c r="B112" s="209" t="s">
        <v>582</v>
      </c>
      <c r="C112" s="209">
        <f>+'ANALISIS MACROS'!C132</f>
        <v>0</v>
      </c>
    </row>
    <row r="113" spans="2:3" x14ac:dyDescent="0.25">
      <c r="B113" s="209" t="s">
        <v>583</v>
      </c>
      <c r="C113" s="209">
        <f>+'ANALISIS MACROS'!C133</f>
        <v>0</v>
      </c>
    </row>
    <row r="114" spans="2:3" ht="30" x14ac:dyDescent="0.25">
      <c r="B114" s="209" t="s">
        <v>584</v>
      </c>
      <c r="C114" s="209">
        <f>+'ANALISIS MACROS'!C134</f>
        <v>0</v>
      </c>
    </row>
    <row r="115" spans="2:3" ht="45" x14ac:dyDescent="0.25">
      <c r="B115" s="209" t="s">
        <v>597</v>
      </c>
      <c r="C115" s="209">
        <f>+'ANALISIS MACROS'!C135</f>
        <v>1</v>
      </c>
    </row>
    <row r="116" spans="2:3" ht="30" x14ac:dyDescent="0.25">
      <c r="B116" s="209" t="s">
        <v>585</v>
      </c>
      <c r="C116" s="209">
        <f>+'ANALISIS MACROS'!C136</f>
        <v>0</v>
      </c>
    </row>
    <row r="117" spans="2:3" ht="30" x14ac:dyDescent="0.25">
      <c r="B117" s="209" t="s">
        <v>586</v>
      </c>
      <c r="C117" s="209">
        <f>+'ANALISIS MACROS'!C137</f>
        <v>0</v>
      </c>
    </row>
    <row r="118" spans="2:3" x14ac:dyDescent="0.25">
      <c r="B118" s="209" t="s">
        <v>587</v>
      </c>
      <c r="C118" s="209">
        <f>+'ANALISIS MACROS'!C138</f>
        <v>0</v>
      </c>
    </row>
    <row r="119" spans="2:3" ht="30" x14ac:dyDescent="0.25">
      <c r="B119" s="209" t="s">
        <v>588</v>
      </c>
      <c r="C119" s="209">
        <f>+'ANALISIS MACROS'!C139</f>
        <v>0</v>
      </c>
    </row>
    <row r="120" spans="2:3" ht="30" x14ac:dyDescent="0.25">
      <c r="B120" s="209" t="s">
        <v>589</v>
      </c>
      <c r="C120" s="209">
        <f>+'ANALISIS MACROS'!C140</f>
        <v>0</v>
      </c>
    </row>
    <row r="121" spans="2:3" ht="30" x14ac:dyDescent="0.25">
      <c r="B121" s="209" t="s">
        <v>590</v>
      </c>
      <c r="C121" s="209">
        <f>+'ANALISIS MACROS'!C141</f>
        <v>0</v>
      </c>
    </row>
    <row r="122" spans="2:3" ht="30" x14ac:dyDescent="0.25">
      <c r="B122" s="209" t="s">
        <v>591</v>
      </c>
      <c r="C122" s="209">
        <f>+'ANALISIS MACROS'!C142</f>
        <v>0</v>
      </c>
    </row>
    <row r="123" spans="2:3" ht="30" x14ac:dyDescent="0.25">
      <c r="B123" s="209" t="s">
        <v>592</v>
      </c>
      <c r="C123" s="209">
        <f>+'ANALISIS MACROS'!C143</f>
        <v>1</v>
      </c>
    </row>
    <row r="124" spans="2:3" ht="30" x14ac:dyDescent="0.25">
      <c r="B124" s="209" t="s">
        <v>593</v>
      </c>
      <c r="C124" s="209">
        <f>+'ANALISIS MACROS'!C144</f>
        <v>0</v>
      </c>
    </row>
    <row r="125" spans="2:3" x14ac:dyDescent="0.25">
      <c r="B125" s="209" t="s">
        <v>594</v>
      </c>
      <c r="C125" s="209">
        <f>+'ANALISIS MACROS'!C145</f>
        <v>0</v>
      </c>
    </row>
    <row r="126" spans="2:3" ht="30" x14ac:dyDescent="0.25">
      <c r="B126" s="209" t="s">
        <v>595</v>
      </c>
      <c r="C126" s="209">
        <f>+'ANALISIS MACROS'!C146</f>
        <v>0</v>
      </c>
    </row>
    <row r="127" spans="2:3" x14ac:dyDescent="0.25">
      <c r="B127" s="209" t="s">
        <v>596</v>
      </c>
      <c r="C127" s="209">
        <f>+'ANALISIS MACROS'!C147</f>
        <v>0</v>
      </c>
    </row>
    <row r="128" spans="2:3" ht="30" x14ac:dyDescent="0.25">
      <c r="B128" s="209" t="s">
        <v>598</v>
      </c>
      <c r="C128" s="209">
        <f>+'ANALISIS MACROS'!C148</f>
        <v>0</v>
      </c>
    </row>
    <row r="129" spans="2:3" ht="30" x14ac:dyDescent="0.25">
      <c r="B129" s="209" t="s">
        <v>599</v>
      </c>
      <c r="C129" s="209">
        <f>+'ANALISIS MACROS'!C149</f>
        <v>0</v>
      </c>
    </row>
    <row r="130" spans="2:3" x14ac:dyDescent="0.25">
      <c r="B130" s="209" t="s">
        <v>600</v>
      </c>
      <c r="C130" s="209">
        <f>+'ANALISIS MACROS'!C150</f>
        <v>0</v>
      </c>
    </row>
    <row r="131" spans="2:3" ht="30" x14ac:dyDescent="0.25">
      <c r="B131" s="209" t="s">
        <v>601</v>
      </c>
      <c r="C131" s="209">
        <f>+'ANALISIS MACROS'!C151</f>
        <v>0</v>
      </c>
    </row>
    <row r="132" spans="2:3" x14ac:dyDescent="0.25">
      <c r="B132" s="209" t="s">
        <v>602</v>
      </c>
      <c r="C132" s="209">
        <f>+'ANALISIS MACROS'!C152</f>
        <v>0</v>
      </c>
    </row>
    <row r="133" spans="2:3" ht="30" x14ac:dyDescent="0.25">
      <c r="B133" s="209" t="s">
        <v>603</v>
      </c>
      <c r="C133" s="209">
        <f>+'ANALISIS MACROS'!C153</f>
        <v>0</v>
      </c>
    </row>
    <row r="134" spans="2:3" ht="45" x14ac:dyDescent="0.25">
      <c r="B134" s="209" t="s">
        <v>604</v>
      </c>
      <c r="C134" s="209">
        <f>+'ANALISIS MACROS'!C154</f>
        <v>0</v>
      </c>
    </row>
    <row r="135" spans="2:3" x14ac:dyDescent="0.25">
      <c r="B135" s="209" t="s">
        <v>605</v>
      </c>
      <c r="C135" s="209">
        <f>+'ANALISIS MACROS'!C155</f>
        <v>0</v>
      </c>
    </row>
    <row r="136" spans="2:3" x14ac:dyDescent="0.25">
      <c r="B136" s="209" t="s">
        <v>606</v>
      </c>
      <c r="C136" s="209">
        <f>+'ANALISIS MACROS'!C156</f>
        <v>0</v>
      </c>
    </row>
    <row r="137" spans="2:3" x14ac:dyDescent="0.25">
      <c r="B137" s="209" t="s">
        <v>607</v>
      </c>
      <c r="C137" s="209">
        <f>+'ANALISIS MACROS'!C157</f>
        <v>0</v>
      </c>
    </row>
    <row r="138" spans="2:3" ht="30" x14ac:dyDescent="0.25">
      <c r="B138" s="209" t="s">
        <v>608</v>
      </c>
      <c r="C138" s="209">
        <f>+'ANALISIS MACROS'!C158</f>
        <v>0</v>
      </c>
    </row>
    <row r="139" spans="2:3" ht="45" x14ac:dyDescent="0.25">
      <c r="B139" s="209" t="s">
        <v>609</v>
      </c>
      <c r="C139" s="209">
        <f>+'ANALISIS MACROS'!C159</f>
        <v>0</v>
      </c>
    </row>
    <row r="140" spans="2:3" x14ac:dyDescent="0.25">
      <c r="B140" s="209" t="s">
        <v>610</v>
      </c>
      <c r="C140" s="209">
        <f>+'ANALISIS MACROS'!C160</f>
        <v>0</v>
      </c>
    </row>
    <row r="141" spans="2:3" ht="30" x14ac:dyDescent="0.25">
      <c r="B141" s="209" t="s">
        <v>611</v>
      </c>
      <c r="C141" s="209">
        <f>+'ANALISIS MACROS'!C161</f>
        <v>0</v>
      </c>
    </row>
    <row r="142" spans="2:3" ht="30" x14ac:dyDescent="0.25">
      <c r="B142" s="209" t="s">
        <v>612</v>
      </c>
      <c r="C142" s="209">
        <f>+'ANALISIS MACROS'!C162</f>
        <v>0</v>
      </c>
    </row>
    <row r="143" spans="2:3" x14ac:dyDescent="0.25">
      <c r="B143" s="209" t="s">
        <v>613</v>
      </c>
      <c r="C143" s="209">
        <f>+'ANALISIS MACROS'!C163</f>
        <v>0</v>
      </c>
    </row>
    <row r="144" spans="2:3" ht="30" x14ac:dyDescent="0.25">
      <c r="B144" s="209" t="s">
        <v>614</v>
      </c>
      <c r="C144" s="209">
        <f>+'ANALISIS MACROS'!C164</f>
        <v>0</v>
      </c>
    </row>
    <row r="145" spans="2:3" x14ac:dyDescent="0.25">
      <c r="B145" s="209" t="s">
        <v>615</v>
      </c>
      <c r="C145" s="209">
        <f>+'ANALISIS MACROS'!C165</f>
        <v>0</v>
      </c>
    </row>
    <row r="146" spans="2:3" x14ac:dyDescent="0.25">
      <c r="B146" s="209" t="s">
        <v>616</v>
      </c>
      <c r="C146" s="209">
        <f>+'ANALISIS MACROS'!C166</f>
        <v>0</v>
      </c>
    </row>
    <row r="147" spans="2:3" ht="30" x14ac:dyDescent="0.25">
      <c r="B147" s="209" t="s">
        <v>617</v>
      </c>
      <c r="C147" s="209">
        <f>+'ANALISIS MACROS'!C167</f>
        <v>0</v>
      </c>
    </row>
    <row r="148" spans="2:3" ht="30" x14ac:dyDescent="0.25">
      <c r="B148" s="209" t="s">
        <v>618</v>
      </c>
      <c r="C148" s="209">
        <f>+'ANALISIS MACROS'!C168</f>
        <v>0</v>
      </c>
    </row>
    <row r="149" spans="2:3" ht="30" x14ac:dyDescent="0.25">
      <c r="B149" s="209" t="s">
        <v>619</v>
      </c>
      <c r="C149" s="209">
        <f>+'ANALISIS MACROS'!C169</f>
        <v>0</v>
      </c>
    </row>
    <row r="150" spans="2:3" x14ac:dyDescent="0.25">
      <c r="B150" s="209" t="s">
        <v>620</v>
      </c>
      <c r="C150" s="209">
        <f>+'ANALISIS MACROS'!C170</f>
        <v>0</v>
      </c>
    </row>
    <row r="151" spans="2:3" x14ac:dyDescent="0.25">
      <c r="B151" s="209" t="s">
        <v>621</v>
      </c>
      <c r="C151" s="209">
        <f>+'ANALISIS MACROS'!C171</f>
        <v>0</v>
      </c>
    </row>
    <row r="152" spans="2:3" x14ac:dyDescent="0.25">
      <c r="B152" s="209" t="s">
        <v>622</v>
      </c>
      <c r="C152" s="209">
        <f>+'ANALISIS MACROS'!C172</f>
        <v>0</v>
      </c>
    </row>
    <row r="153" spans="2:3" x14ac:dyDescent="0.25">
      <c r="B153" s="209" t="s">
        <v>623</v>
      </c>
      <c r="C153" s="209">
        <f>+'ANALISIS MACROS'!C173</f>
        <v>0</v>
      </c>
    </row>
    <row r="154" spans="2:3" x14ac:dyDescent="0.25">
      <c r="B154" s="209" t="s">
        <v>624</v>
      </c>
      <c r="C154" s="209">
        <f>+'ANALISIS MACROS'!C174</f>
        <v>0</v>
      </c>
    </row>
    <row r="155" spans="2:3" ht="30" x14ac:dyDescent="0.25">
      <c r="B155" s="209" t="s">
        <v>625</v>
      </c>
      <c r="C155" s="209">
        <f>+'ANALISIS MACROS'!C175</f>
        <v>0</v>
      </c>
    </row>
    <row r="156" spans="2:3" ht="30" x14ac:dyDescent="0.25">
      <c r="B156" s="209" t="s">
        <v>626</v>
      </c>
      <c r="C156" s="209">
        <f>+'ANALISIS MACROS'!C176</f>
        <v>0</v>
      </c>
    </row>
    <row r="157" spans="2:3" x14ac:dyDescent="0.25">
      <c r="B157" s="209" t="s">
        <v>627</v>
      </c>
      <c r="C157" s="209">
        <f>+'ANALISIS MACROS'!C177</f>
        <v>0</v>
      </c>
    </row>
    <row r="158" spans="2:3" ht="60" x14ac:dyDescent="0.25">
      <c r="B158" s="209" t="s">
        <v>628</v>
      </c>
      <c r="C158" s="209">
        <f>+'ANALISIS MACROS'!C178</f>
        <v>0</v>
      </c>
    </row>
    <row r="159" spans="2:3" ht="30" x14ac:dyDescent="0.25">
      <c r="B159" s="209" t="s">
        <v>629</v>
      </c>
      <c r="C159" s="209">
        <f>+'ANALISIS MACROS'!C179</f>
        <v>0</v>
      </c>
    </row>
    <row r="160" spans="2:3" x14ac:dyDescent="0.25">
      <c r="B160" s="209" t="s">
        <v>630</v>
      </c>
      <c r="C160" s="209">
        <f>+'ANALISIS MACROS'!C180</f>
        <v>0</v>
      </c>
    </row>
    <row r="161" spans="2:3" x14ac:dyDescent="0.25">
      <c r="B161" s="209" t="s">
        <v>631</v>
      </c>
      <c r="C161" s="209">
        <f>+'ANALISIS MACROS'!C181</f>
        <v>0</v>
      </c>
    </row>
    <row r="162" spans="2:3" ht="30" x14ac:dyDescent="0.25">
      <c r="B162" s="209" t="s">
        <v>632</v>
      </c>
      <c r="C162" s="209">
        <f>+'ANALISIS MACROS'!C182</f>
        <v>0</v>
      </c>
    </row>
    <row r="163" spans="2:3" ht="45" x14ac:dyDescent="0.25">
      <c r="B163" s="209" t="s">
        <v>633</v>
      </c>
      <c r="C163" s="209">
        <f>+'ANALISIS MACROS'!C183</f>
        <v>0</v>
      </c>
    </row>
    <row r="164" spans="2:3" ht="30" x14ac:dyDescent="0.25">
      <c r="B164" s="209" t="s">
        <v>634</v>
      </c>
      <c r="C164" s="209">
        <f>+'ANALISIS MACROS'!C184</f>
        <v>0</v>
      </c>
    </row>
    <row r="165" spans="2:3" ht="45" x14ac:dyDescent="0.25">
      <c r="B165" s="209" t="s">
        <v>635</v>
      </c>
      <c r="C165" s="209">
        <f>+'ANALISIS MACROS'!C185</f>
        <v>0</v>
      </c>
    </row>
    <row r="166" spans="2:3" x14ac:dyDescent="0.25">
      <c r="B166" s="209" t="s">
        <v>636</v>
      </c>
      <c r="C166" s="209">
        <f>+'ANALISIS MACROS'!C186</f>
        <v>0</v>
      </c>
    </row>
    <row r="167" spans="2:3" x14ac:dyDescent="0.25">
      <c r="B167" s="209" t="s">
        <v>637</v>
      </c>
      <c r="C167" s="209">
        <f>+'ANALISIS MACROS'!C187</f>
        <v>0</v>
      </c>
    </row>
    <row r="168" spans="2:3" x14ac:dyDescent="0.25">
      <c r="B168" s="209" t="s">
        <v>668</v>
      </c>
      <c r="C168" s="209">
        <f>+'ANALISIS MACROS'!C188</f>
        <v>0</v>
      </c>
    </row>
    <row r="169" spans="2:3" x14ac:dyDescent="0.25">
      <c r="B169" s="209" t="s">
        <v>669</v>
      </c>
      <c r="C169" s="209">
        <f>+'ANALISIS MACROS'!C189</f>
        <v>0</v>
      </c>
    </row>
    <row r="170" spans="2:3" ht="30" x14ac:dyDescent="0.25">
      <c r="B170" s="209" t="s">
        <v>670</v>
      </c>
      <c r="C170" s="209">
        <f>+'ANALISIS MACROS'!C190</f>
        <v>0</v>
      </c>
    </row>
    <row r="171" spans="2:3" x14ac:dyDescent="0.25">
      <c r="B171" s="209" t="s">
        <v>671</v>
      </c>
      <c r="C171" s="209">
        <f>+'ANALISIS MACROS'!C191</f>
        <v>0</v>
      </c>
    </row>
    <row r="172" spans="2:3" ht="30" x14ac:dyDescent="0.25">
      <c r="B172" s="209" t="s">
        <v>672</v>
      </c>
      <c r="C172" s="209">
        <f>+'ANALISIS MACROS'!C192</f>
        <v>0</v>
      </c>
    </row>
    <row r="173" spans="2:3" x14ac:dyDescent="0.25">
      <c r="B173" s="209" t="s">
        <v>638</v>
      </c>
      <c r="C173" s="209">
        <f>+'ANALISIS MACROS'!C193</f>
        <v>0</v>
      </c>
    </row>
    <row r="174" spans="2:3" ht="30" x14ac:dyDescent="0.25">
      <c r="B174" s="209" t="s">
        <v>639</v>
      </c>
      <c r="C174" s="209">
        <f>+'ANALISIS MACROS'!C194</f>
        <v>0</v>
      </c>
    </row>
    <row r="175" spans="2:3" ht="30" x14ac:dyDescent="0.25">
      <c r="B175" s="209" t="s">
        <v>640</v>
      </c>
      <c r="C175" s="209">
        <f>+'ANALISIS MACROS'!C195</f>
        <v>0</v>
      </c>
    </row>
    <row r="176" spans="2:3" ht="30" x14ac:dyDescent="0.25">
      <c r="B176" s="209" t="s">
        <v>641</v>
      </c>
      <c r="C176" s="209">
        <f>+'ANALISIS MACROS'!C196</f>
        <v>0</v>
      </c>
    </row>
    <row r="177" spans="2:3" ht="30" x14ac:dyDescent="0.25">
      <c r="B177" s="209" t="s">
        <v>642</v>
      </c>
      <c r="C177" s="209">
        <f>+'ANALISIS MACROS'!C197</f>
        <v>0</v>
      </c>
    </row>
    <row r="178" spans="2:3" ht="30" x14ac:dyDescent="0.25">
      <c r="B178" s="209" t="s">
        <v>643</v>
      </c>
      <c r="C178" s="209">
        <f>+'ANALISIS MACROS'!C198</f>
        <v>0</v>
      </c>
    </row>
    <row r="179" spans="2:3" ht="30" x14ac:dyDescent="0.25">
      <c r="B179" s="209" t="s">
        <v>644</v>
      </c>
      <c r="C179" s="209">
        <f>+'ANALISIS MACROS'!C199</f>
        <v>0</v>
      </c>
    </row>
    <row r="180" spans="2:3" ht="30" x14ac:dyDescent="0.25">
      <c r="B180" s="209" t="s">
        <v>645</v>
      </c>
      <c r="C180" s="209">
        <f>+'ANALISIS MACROS'!C200</f>
        <v>0</v>
      </c>
    </row>
    <row r="181" spans="2:3" ht="45" x14ac:dyDescent="0.25">
      <c r="B181" s="209" t="s">
        <v>646</v>
      </c>
      <c r="C181" s="209">
        <f>+'ANALISIS MACROS'!C201</f>
        <v>0</v>
      </c>
    </row>
    <row r="182" spans="2:3" ht="60" x14ac:dyDescent="0.25">
      <c r="B182" s="209" t="s">
        <v>647</v>
      </c>
      <c r="C182" s="209">
        <f>+'ANALISIS MACROS'!C202</f>
        <v>0</v>
      </c>
    </row>
    <row r="183" spans="2:3" ht="75" x14ac:dyDescent="0.25">
      <c r="B183" s="209" t="s">
        <v>648</v>
      </c>
      <c r="C183" s="209">
        <f>+'ANALISIS MACROS'!C203</f>
        <v>0</v>
      </c>
    </row>
    <row r="184" spans="2:3" ht="30" x14ac:dyDescent="0.25">
      <c r="B184" s="209" t="s">
        <v>649</v>
      </c>
      <c r="C184" s="209">
        <f>+'ANALISIS MACROS'!C204</f>
        <v>0</v>
      </c>
    </row>
    <row r="185" spans="2:3" ht="45" x14ac:dyDescent="0.25">
      <c r="B185" s="209" t="s">
        <v>650</v>
      </c>
      <c r="C185" s="209">
        <f>+'ANALISIS MACROS'!C205</f>
        <v>0</v>
      </c>
    </row>
    <row r="186" spans="2:3" ht="30" x14ac:dyDescent="0.25">
      <c r="B186" s="209" t="s">
        <v>651</v>
      </c>
      <c r="C186" s="209">
        <f>+'ANALISIS MACROS'!C206</f>
        <v>0</v>
      </c>
    </row>
    <row r="187" spans="2:3" ht="30" x14ac:dyDescent="0.25">
      <c r="B187" s="209" t="s">
        <v>652</v>
      </c>
      <c r="C187" s="209">
        <f>+'ANALISIS MACROS'!C207</f>
        <v>0</v>
      </c>
    </row>
    <row r="188" spans="2:3" x14ac:dyDescent="0.25">
      <c r="B188" s="209" t="s">
        <v>653</v>
      </c>
      <c r="C188" s="209">
        <f>+'ANALISIS MACROS'!C208</f>
        <v>0</v>
      </c>
    </row>
    <row r="189" spans="2:3" ht="45" x14ac:dyDescent="0.25">
      <c r="B189" s="209" t="s">
        <v>654</v>
      </c>
      <c r="C189" s="209">
        <f>+'ANALISIS MACROS'!C209</f>
        <v>0</v>
      </c>
    </row>
    <row r="190" spans="2:3" ht="30" x14ac:dyDescent="0.25">
      <c r="B190" s="209" t="s">
        <v>655</v>
      </c>
      <c r="C190" s="209">
        <f>+'ANALISIS MACROS'!C210</f>
        <v>0</v>
      </c>
    </row>
    <row r="191" spans="2:3" ht="30" x14ac:dyDescent="0.25">
      <c r="B191" s="209" t="s">
        <v>656</v>
      </c>
      <c r="C191" s="209">
        <f>+'ANALISIS MACROS'!C211</f>
        <v>0</v>
      </c>
    </row>
    <row r="192" spans="2:3" ht="30" x14ac:dyDescent="0.25">
      <c r="B192" s="209" t="s">
        <v>657</v>
      </c>
      <c r="C192" s="209">
        <f>+'ANALISIS MACROS'!C212</f>
        <v>0</v>
      </c>
    </row>
    <row r="193" spans="2:3" x14ac:dyDescent="0.25">
      <c r="B193" s="209" t="s">
        <v>658</v>
      </c>
      <c r="C193" s="209">
        <f>+'ANALISIS MACROS'!C213</f>
        <v>0</v>
      </c>
    </row>
    <row r="194" spans="2:3" ht="45" x14ac:dyDescent="0.25">
      <c r="B194" s="209" t="s">
        <v>659</v>
      </c>
      <c r="C194" s="209">
        <f>+'ANALISIS MACROS'!C214</f>
        <v>0</v>
      </c>
    </row>
    <row r="195" spans="2:3" ht="60" x14ac:dyDescent="0.25">
      <c r="B195" s="209" t="s">
        <v>660</v>
      </c>
      <c r="C195" s="209">
        <f>+'ANALISIS MACROS'!C215</f>
        <v>0</v>
      </c>
    </row>
    <row r="196" spans="2:3" x14ac:dyDescent="0.25">
      <c r="C196" s="208">
        <f>SUM(C2:C195)</f>
        <v>332</v>
      </c>
    </row>
  </sheetData>
  <autoFilter ref="B1:C195"/>
  <conditionalFormatting sqref="B2:C195">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6"/>
  <sheetViews>
    <sheetView workbookViewId="0">
      <selection activeCell="L15" sqref="L15"/>
    </sheetView>
  </sheetViews>
  <sheetFormatPr baseColWidth="10" defaultColWidth="10.85546875" defaultRowHeight="15" x14ac:dyDescent="0.25"/>
  <cols>
    <col min="1" max="1" width="10.85546875" style="227"/>
    <col min="2" max="2" width="21.140625" style="227" customWidth="1"/>
    <col min="3" max="16384" width="10.85546875" style="227"/>
  </cols>
  <sheetData>
    <row r="2" spans="2:3" x14ac:dyDescent="0.25">
      <c r="B2" s="226" t="s">
        <v>1049</v>
      </c>
      <c r="C2" s="226" t="s">
        <v>715</v>
      </c>
    </row>
    <row r="3" spans="2:3" x14ac:dyDescent="0.25">
      <c r="B3" s="215" t="s">
        <v>1009</v>
      </c>
      <c r="C3" s="226">
        <f>+COUNTIF(CONSOLIDADO!I:I,'Analisis tipo de Impacto'!B3)</f>
        <v>39</v>
      </c>
    </row>
    <row r="4" spans="2:3" x14ac:dyDescent="0.25">
      <c r="B4" s="215" t="s">
        <v>1010</v>
      </c>
      <c r="C4" s="226">
        <f>+COUNTIF(CONSOLIDADO!I:I,'Analisis tipo de Impacto'!B4)</f>
        <v>123</v>
      </c>
    </row>
    <row r="5" spans="2:3" x14ac:dyDescent="0.25">
      <c r="B5" s="215" t="s">
        <v>1008</v>
      </c>
      <c r="C5" s="226">
        <f>+COUNTIF(CONSOLIDADO!I:I,'Analisis tipo de Impacto'!B5)</f>
        <v>171</v>
      </c>
    </row>
    <row r="6" spans="2:3" x14ac:dyDescent="0.25">
      <c r="C6" s="227">
        <f>SUM(C3:C5)</f>
        <v>333</v>
      </c>
    </row>
  </sheetData>
  <autoFilter ref="B2:C5"/>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showGridLines="0" zoomScale="85" zoomScaleNormal="85" workbookViewId="0">
      <pane ySplit="1" topLeftCell="A2" activePane="bottomLeft" state="frozen"/>
      <selection pane="bottomLeft" activeCell="O7" sqref="O7"/>
    </sheetView>
  </sheetViews>
  <sheetFormatPr baseColWidth="10" defaultColWidth="11.42578125" defaultRowHeight="14.25" x14ac:dyDescent="0.2"/>
  <cols>
    <col min="1" max="1" width="5.7109375" style="1" customWidth="1"/>
    <col min="2" max="2" width="41.140625" style="1" customWidth="1"/>
    <col min="3" max="5" width="11.42578125" style="1"/>
    <col min="6" max="7" width="15.5703125" style="1" customWidth="1"/>
    <col min="8" max="8" width="18.140625" style="1" customWidth="1"/>
    <col min="9" max="10" width="16.42578125" style="1" hidden="1" customWidth="1"/>
    <col min="11" max="11" width="35.85546875" style="1" hidden="1" customWidth="1"/>
    <col min="12" max="12" width="16.140625" style="1" hidden="1" customWidth="1"/>
    <col min="13" max="13" width="39.7109375" style="1" hidden="1" customWidth="1"/>
    <col min="14" max="16384" width="11.42578125" style="1"/>
  </cols>
  <sheetData>
    <row r="1" spans="1:13" ht="41.25" customHeight="1" x14ac:dyDescent="0.2">
      <c r="C1" s="110" t="s">
        <v>247</v>
      </c>
    </row>
    <row r="2" spans="1:13" ht="23.45" customHeight="1" x14ac:dyDescent="0.2">
      <c r="B2" s="354" t="s">
        <v>249</v>
      </c>
      <c r="C2" s="344" t="s">
        <v>100</v>
      </c>
      <c r="D2" s="344"/>
      <c r="E2" s="344"/>
      <c r="F2" s="343" t="s">
        <v>105</v>
      </c>
      <c r="G2" s="343"/>
      <c r="H2" s="202" t="s">
        <v>76</v>
      </c>
      <c r="I2" s="35"/>
      <c r="J2" s="35"/>
      <c r="K2" s="36"/>
      <c r="L2" s="118"/>
      <c r="M2" s="119"/>
    </row>
    <row r="3" spans="1:13" ht="30" customHeight="1" x14ac:dyDescent="0.2">
      <c r="B3" s="355"/>
      <c r="C3" s="344"/>
      <c r="D3" s="344"/>
      <c r="E3" s="344"/>
      <c r="F3" s="78" t="s">
        <v>15</v>
      </c>
      <c r="G3" s="77" t="s">
        <v>16</v>
      </c>
      <c r="H3" s="37" t="s">
        <v>4</v>
      </c>
      <c r="I3" s="37" t="s">
        <v>0</v>
      </c>
      <c r="J3" s="37" t="s">
        <v>1</v>
      </c>
      <c r="K3" s="38" t="s">
        <v>7</v>
      </c>
      <c r="L3" s="117" t="s">
        <v>250</v>
      </c>
      <c r="M3" s="117" t="s">
        <v>251</v>
      </c>
    </row>
    <row r="4" spans="1:13" ht="18" customHeight="1" x14ac:dyDescent="0.2">
      <c r="A4" s="353" t="s">
        <v>123</v>
      </c>
      <c r="B4" s="111"/>
      <c r="C4" s="345"/>
      <c r="D4" s="346"/>
      <c r="E4" s="347"/>
      <c r="F4" s="79">
        <v>0</v>
      </c>
      <c r="G4" s="79"/>
      <c r="H4" s="39" t="s">
        <v>6</v>
      </c>
      <c r="I4" s="22">
        <f t="shared" ref="I4:I10" si="0">IF(H4="SI",F4,IF(H4="NO",0,"Sin comprobar"))</f>
        <v>0</v>
      </c>
      <c r="J4" s="22">
        <f t="shared" ref="J4:J10" si="1">IF(H4="SI",G4,IF(H4="NO",0,"Sin comprobar"))</f>
        <v>0</v>
      </c>
      <c r="K4" s="121"/>
      <c r="L4" s="79"/>
      <c r="M4" s="120"/>
    </row>
    <row r="5" spans="1:13" ht="18" customHeight="1" x14ac:dyDescent="0.2">
      <c r="A5" s="353"/>
      <c r="B5" s="111"/>
      <c r="C5" s="345"/>
      <c r="D5" s="346"/>
      <c r="E5" s="347"/>
      <c r="F5" s="79"/>
      <c r="G5" s="79"/>
      <c r="H5" s="39" t="s">
        <v>6</v>
      </c>
      <c r="I5" s="22">
        <f t="shared" si="0"/>
        <v>0</v>
      </c>
      <c r="J5" s="22">
        <f t="shared" si="1"/>
        <v>0</v>
      </c>
      <c r="K5" s="121"/>
      <c r="L5" s="79"/>
      <c r="M5" s="120"/>
    </row>
    <row r="6" spans="1:13" ht="18" customHeight="1" x14ac:dyDescent="0.2">
      <c r="A6" s="353"/>
      <c r="B6" s="111"/>
      <c r="C6" s="345"/>
      <c r="D6" s="346"/>
      <c r="E6" s="347"/>
      <c r="F6" s="79"/>
      <c r="G6" s="79"/>
      <c r="H6" s="39" t="s">
        <v>6</v>
      </c>
      <c r="I6" s="22">
        <f t="shared" si="0"/>
        <v>0</v>
      </c>
      <c r="J6" s="22">
        <f t="shared" si="1"/>
        <v>0</v>
      </c>
      <c r="K6" s="121"/>
      <c r="L6" s="79"/>
      <c r="M6" s="120"/>
    </row>
    <row r="7" spans="1:13" ht="18" customHeight="1" x14ac:dyDescent="0.2">
      <c r="A7" s="353"/>
      <c r="B7" s="111"/>
      <c r="C7" s="345"/>
      <c r="D7" s="346"/>
      <c r="E7" s="347"/>
      <c r="F7" s="79"/>
      <c r="G7" s="79"/>
      <c r="H7" s="39" t="s">
        <v>6</v>
      </c>
      <c r="I7" s="22">
        <f t="shared" si="0"/>
        <v>0</v>
      </c>
      <c r="J7" s="22">
        <f t="shared" si="1"/>
        <v>0</v>
      </c>
      <c r="K7" s="121"/>
      <c r="L7" s="79"/>
      <c r="M7" s="120"/>
    </row>
    <row r="8" spans="1:13" ht="18" customHeight="1" x14ac:dyDescent="0.2">
      <c r="A8" s="353"/>
      <c r="B8" s="111"/>
      <c r="C8" s="345"/>
      <c r="D8" s="346"/>
      <c r="E8" s="347"/>
      <c r="F8" s="79"/>
      <c r="G8" s="79"/>
      <c r="H8" s="39" t="s">
        <v>6</v>
      </c>
      <c r="I8" s="22">
        <f t="shared" si="0"/>
        <v>0</v>
      </c>
      <c r="J8" s="22">
        <f t="shared" si="1"/>
        <v>0</v>
      </c>
      <c r="K8" s="121"/>
      <c r="L8" s="79"/>
      <c r="M8" s="120"/>
    </row>
    <row r="9" spans="1:13" ht="18" customHeight="1" x14ac:dyDescent="0.2">
      <c r="A9" s="353"/>
      <c r="B9" s="111"/>
      <c r="C9" s="345"/>
      <c r="D9" s="346"/>
      <c r="E9" s="347"/>
      <c r="F9" s="79"/>
      <c r="G9" s="79"/>
      <c r="H9" s="39" t="s">
        <v>6</v>
      </c>
      <c r="I9" s="22">
        <f t="shared" si="0"/>
        <v>0</v>
      </c>
      <c r="J9" s="22">
        <f t="shared" si="1"/>
        <v>0</v>
      </c>
      <c r="K9" s="121"/>
      <c r="L9" s="79"/>
      <c r="M9" s="120"/>
    </row>
    <row r="10" spans="1:13" ht="18" customHeight="1" x14ac:dyDescent="0.2">
      <c r="A10" s="353"/>
      <c r="B10" s="111"/>
      <c r="C10" s="345"/>
      <c r="D10" s="346"/>
      <c r="E10" s="347"/>
      <c r="F10" s="79"/>
      <c r="G10" s="79"/>
      <c r="H10" s="39" t="s">
        <v>6</v>
      </c>
      <c r="I10" s="22">
        <f t="shared" si="0"/>
        <v>0</v>
      </c>
      <c r="J10" s="22">
        <f t="shared" si="1"/>
        <v>0</v>
      </c>
      <c r="K10" s="121"/>
      <c r="L10" s="79"/>
      <c r="M10" s="120"/>
    </row>
    <row r="11" spans="1:13" ht="18" customHeight="1" x14ac:dyDescent="0.2">
      <c r="A11" s="353"/>
      <c r="B11" s="111"/>
      <c r="C11" s="345"/>
      <c r="D11" s="346"/>
      <c r="E11" s="347"/>
      <c r="F11" s="79"/>
      <c r="G11" s="79"/>
      <c r="H11" s="39" t="s">
        <v>6</v>
      </c>
      <c r="I11" s="22">
        <f t="shared" ref="I11:I13" si="2">IF(H11="SI",F11,IF(H11="NO",0,"Sin comprobar"))</f>
        <v>0</v>
      </c>
      <c r="J11" s="22">
        <f t="shared" ref="J11:J13" si="3">IF(H11="SI",G11,IF(H11="NO",0,"Sin comprobar"))</f>
        <v>0</v>
      </c>
      <c r="K11" s="121"/>
      <c r="L11" s="79"/>
      <c r="M11" s="120"/>
    </row>
    <row r="12" spans="1:13" ht="18" customHeight="1" x14ac:dyDescent="0.2">
      <c r="A12" s="353"/>
      <c r="B12" s="111"/>
      <c r="C12" s="345"/>
      <c r="D12" s="346"/>
      <c r="E12" s="347"/>
      <c r="F12" s="79"/>
      <c r="G12" s="79"/>
      <c r="H12" s="39" t="s">
        <v>6</v>
      </c>
      <c r="I12" s="22">
        <f t="shared" si="2"/>
        <v>0</v>
      </c>
      <c r="J12" s="22">
        <f t="shared" si="3"/>
        <v>0</v>
      </c>
      <c r="K12" s="121"/>
      <c r="L12" s="79"/>
      <c r="M12" s="120"/>
    </row>
    <row r="13" spans="1:13" ht="18" customHeight="1" x14ac:dyDescent="0.2">
      <c r="A13" s="353"/>
      <c r="B13" s="111"/>
      <c r="C13" s="345"/>
      <c r="D13" s="346"/>
      <c r="E13" s="347"/>
      <c r="F13" s="79"/>
      <c r="G13" s="79"/>
      <c r="H13" s="39" t="s">
        <v>6</v>
      </c>
      <c r="I13" s="22">
        <f t="shared" si="2"/>
        <v>0</v>
      </c>
      <c r="J13" s="22">
        <f t="shared" si="3"/>
        <v>0</v>
      </c>
      <c r="K13" s="121"/>
      <c r="L13" s="79"/>
      <c r="M13" s="120"/>
    </row>
    <row r="14" spans="1:13" x14ac:dyDescent="0.2">
      <c r="B14" s="109"/>
      <c r="C14" s="348"/>
      <c r="D14" s="349"/>
      <c r="E14" s="350"/>
      <c r="F14" s="106">
        <f>SUM(F4:F13)</f>
        <v>0</v>
      </c>
      <c r="G14" s="106">
        <f>SUM(G4:G13)</f>
        <v>0</v>
      </c>
      <c r="H14" s="107"/>
      <c r="I14" s="108">
        <f>SUM(I4:I13)</f>
        <v>0</v>
      </c>
      <c r="J14" s="108">
        <f>SUM(J4:J13)</f>
        <v>0</v>
      </c>
      <c r="K14" s="124"/>
      <c r="L14" s="122">
        <f>SUM(L4:L13)</f>
        <v>0</v>
      </c>
      <c r="M14" s="94"/>
    </row>
    <row r="15" spans="1:13" x14ac:dyDescent="0.2">
      <c r="B15" s="80"/>
      <c r="C15" s="80"/>
      <c r="D15" s="80"/>
    </row>
    <row r="17" spans="1:13" ht="26.1" customHeight="1" x14ac:dyDescent="0.2">
      <c r="B17" s="351" t="s">
        <v>248</v>
      </c>
      <c r="C17" s="352" t="s">
        <v>100</v>
      </c>
      <c r="D17" s="352"/>
      <c r="E17" s="352"/>
      <c r="F17" s="343" t="s">
        <v>105</v>
      </c>
      <c r="G17" s="343"/>
      <c r="H17" s="202" t="s">
        <v>76</v>
      </c>
      <c r="I17" s="35"/>
      <c r="J17" s="35"/>
      <c r="K17" s="36"/>
      <c r="L17" s="118"/>
      <c r="M17" s="119"/>
    </row>
    <row r="18" spans="1:13" ht="30" customHeight="1" x14ac:dyDescent="0.2">
      <c r="B18" s="351"/>
      <c r="C18" s="352"/>
      <c r="D18" s="352"/>
      <c r="E18" s="352"/>
      <c r="F18" s="78" t="s">
        <v>15</v>
      </c>
      <c r="G18" s="77" t="s">
        <v>16</v>
      </c>
      <c r="H18" s="37" t="s">
        <v>4</v>
      </c>
      <c r="I18" s="37" t="s">
        <v>0</v>
      </c>
      <c r="J18" s="37" t="s">
        <v>1</v>
      </c>
      <c r="K18" s="38" t="s">
        <v>7</v>
      </c>
      <c r="L18" s="117" t="s">
        <v>250</v>
      </c>
      <c r="M18" s="117" t="s">
        <v>251</v>
      </c>
    </row>
    <row r="19" spans="1:13" ht="18" customHeight="1" x14ac:dyDescent="0.2">
      <c r="A19" s="356" t="s">
        <v>244</v>
      </c>
      <c r="B19" s="111"/>
      <c r="C19" s="345"/>
      <c r="D19" s="346"/>
      <c r="E19" s="347"/>
      <c r="F19" s="79"/>
      <c r="G19" s="79"/>
      <c r="H19" s="39" t="s">
        <v>6</v>
      </c>
      <c r="I19" s="22">
        <f t="shared" ref="I19:I28" si="4">IF(H19="SI",F19,IF(H19="NO",0,"Sin comprobar"))</f>
        <v>0</v>
      </c>
      <c r="J19" s="22">
        <f t="shared" ref="J19:J28" si="5">IF(H19="SI",G19,IF(H19="NO",0,"Sin comprobar"))</f>
        <v>0</v>
      </c>
      <c r="K19" s="121"/>
      <c r="L19" s="79"/>
      <c r="M19" s="120"/>
    </row>
    <row r="20" spans="1:13" ht="18" customHeight="1" x14ac:dyDescent="0.2">
      <c r="A20" s="356"/>
      <c r="B20" s="111"/>
      <c r="C20" s="345"/>
      <c r="D20" s="346"/>
      <c r="E20" s="347"/>
      <c r="F20" s="79"/>
      <c r="G20" s="79"/>
      <c r="H20" s="39" t="s">
        <v>6</v>
      </c>
      <c r="I20" s="22">
        <f t="shared" si="4"/>
        <v>0</v>
      </c>
      <c r="J20" s="22">
        <f t="shared" si="5"/>
        <v>0</v>
      </c>
      <c r="K20" s="121"/>
      <c r="L20" s="79"/>
      <c r="M20" s="120"/>
    </row>
    <row r="21" spans="1:13" ht="18" customHeight="1" x14ac:dyDescent="0.2">
      <c r="A21" s="356"/>
      <c r="B21" s="111"/>
      <c r="C21" s="345"/>
      <c r="D21" s="346"/>
      <c r="E21" s="347"/>
      <c r="F21" s="79"/>
      <c r="G21" s="79"/>
      <c r="H21" s="39" t="s">
        <v>6</v>
      </c>
      <c r="I21" s="22">
        <f t="shared" si="4"/>
        <v>0</v>
      </c>
      <c r="J21" s="22">
        <f t="shared" si="5"/>
        <v>0</v>
      </c>
      <c r="K21" s="121"/>
      <c r="L21" s="79"/>
      <c r="M21" s="120"/>
    </row>
    <row r="22" spans="1:13" ht="18" customHeight="1" x14ac:dyDescent="0.2">
      <c r="A22" s="356"/>
      <c r="B22" s="111"/>
      <c r="C22" s="345"/>
      <c r="D22" s="346"/>
      <c r="E22" s="347"/>
      <c r="F22" s="79"/>
      <c r="G22" s="79"/>
      <c r="H22" s="39" t="s">
        <v>6</v>
      </c>
      <c r="I22" s="22">
        <f t="shared" si="4"/>
        <v>0</v>
      </c>
      <c r="J22" s="22">
        <f t="shared" si="5"/>
        <v>0</v>
      </c>
      <c r="K22" s="121"/>
      <c r="L22" s="79"/>
      <c r="M22" s="120"/>
    </row>
    <row r="23" spans="1:13" ht="18" customHeight="1" x14ac:dyDescent="0.2">
      <c r="A23" s="356"/>
      <c r="B23" s="111"/>
      <c r="C23" s="345"/>
      <c r="D23" s="346"/>
      <c r="E23" s="347"/>
      <c r="F23" s="79"/>
      <c r="G23" s="79"/>
      <c r="H23" s="39" t="s">
        <v>6</v>
      </c>
      <c r="I23" s="22">
        <f t="shared" si="4"/>
        <v>0</v>
      </c>
      <c r="J23" s="22">
        <f t="shared" si="5"/>
        <v>0</v>
      </c>
      <c r="K23" s="121"/>
      <c r="L23" s="79"/>
      <c r="M23" s="120"/>
    </row>
    <row r="24" spans="1:13" ht="18" customHeight="1" x14ac:dyDescent="0.2">
      <c r="A24" s="356"/>
      <c r="B24" s="111"/>
      <c r="C24" s="345"/>
      <c r="D24" s="346"/>
      <c r="E24" s="347"/>
      <c r="F24" s="79"/>
      <c r="G24" s="79"/>
      <c r="H24" s="39" t="s">
        <v>6</v>
      </c>
      <c r="I24" s="22">
        <f t="shared" si="4"/>
        <v>0</v>
      </c>
      <c r="J24" s="22">
        <f t="shared" si="5"/>
        <v>0</v>
      </c>
      <c r="K24" s="121"/>
      <c r="L24" s="79"/>
      <c r="M24" s="120"/>
    </row>
    <row r="25" spans="1:13" ht="18" customHeight="1" x14ac:dyDescent="0.2">
      <c r="A25" s="356"/>
      <c r="B25" s="111"/>
      <c r="C25" s="345"/>
      <c r="D25" s="346"/>
      <c r="E25" s="347"/>
      <c r="F25" s="79"/>
      <c r="G25" s="79"/>
      <c r="H25" s="39" t="s">
        <v>6</v>
      </c>
      <c r="I25" s="22">
        <f t="shared" si="4"/>
        <v>0</v>
      </c>
      <c r="J25" s="22">
        <f t="shared" si="5"/>
        <v>0</v>
      </c>
      <c r="K25" s="121"/>
      <c r="L25" s="79"/>
      <c r="M25" s="120"/>
    </row>
    <row r="26" spans="1:13" ht="18" customHeight="1" x14ac:dyDescent="0.2">
      <c r="A26" s="356"/>
      <c r="B26" s="111"/>
      <c r="C26" s="345"/>
      <c r="D26" s="346"/>
      <c r="E26" s="347"/>
      <c r="F26" s="79"/>
      <c r="G26" s="79"/>
      <c r="H26" s="39" t="s">
        <v>6</v>
      </c>
      <c r="I26" s="22">
        <f t="shared" si="4"/>
        <v>0</v>
      </c>
      <c r="J26" s="22">
        <f t="shared" si="5"/>
        <v>0</v>
      </c>
      <c r="K26" s="121"/>
      <c r="L26" s="79"/>
      <c r="M26" s="120"/>
    </row>
    <row r="27" spans="1:13" ht="18" customHeight="1" x14ac:dyDescent="0.2">
      <c r="A27" s="356"/>
      <c r="B27" s="111"/>
      <c r="C27" s="345"/>
      <c r="D27" s="346"/>
      <c r="E27" s="347"/>
      <c r="F27" s="79"/>
      <c r="G27" s="79"/>
      <c r="H27" s="39" t="s">
        <v>6</v>
      </c>
      <c r="I27" s="22">
        <f t="shared" si="4"/>
        <v>0</v>
      </c>
      <c r="J27" s="22">
        <f t="shared" si="5"/>
        <v>0</v>
      </c>
      <c r="K27" s="121"/>
      <c r="L27" s="79"/>
      <c r="M27" s="120"/>
    </row>
    <row r="28" spans="1:13" ht="18" customHeight="1" x14ac:dyDescent="0.2">
      <c r="A28" s="356"/>
      <c r="B28" s="111"/>
      <c r="C28" s="345"/>
      <c r="D28" s="346"/>
      <c r="E28" s="347"/>
      <c r="F28" s="79"/>
      <c r="G28" s="79"/>
      <c r="H28" s="39" t="s">
        <v>6</v>
      </c>
      <c r="I28" s="22">
        <f t="shared" si="4"/>
        <v>0</v>
      </c>
      <c r="J28" s="22">
        <f t="shared" si="5"/>
        <v>0</v>
      </c>
      <c r="K28" s="121"/>
      <c r="L28" s="79"/>
      <c r="M28" s="120"/>
    </row>
    <row r="29" spans="1:13" x14ac:dyDescent="0.2">
      <c r="B29" s="112"/>
      <c r="C29" s="359"/>
      <c r="D29" s="360"/>
      <c r="E29" s="361"/>
      <c r="F29" s="113">
        <f>SUM(F19:F28)</f>
        <v>0</v>
      </c>
      <c r="G29" s="113">
        <f>SUM(G19:G28)</f>
        <v>0</v>
      </c>
      <c r="H29" s="107"/>
      <c r="I29" s="108">
        <f>SUM(I19:I28)</f>
        <v>0</v>
      </c>
      <c r="J29" s="108">
        <f>SUM(J19:J28)</f>
        <v>0</v>
      </c>
      <c r="K29" s="107"/>
      <c r="L29" s="122">
        <f>SUM(L19:L28)</f>
        <v>0</v>
      </c>
      <c r="M29" s="94"/>
    </row>
    <row r="30" spans="1:13" x14ac:dyDescent="0.2">
      <c r="B30" s="80"/>
      <c r="C30" s="80"/>
    </row>
    <row r="31" spans="1:13" x14ac:dyDescent="0.2">
      <c r="B31" s="80"/>
      <c r="C31" s="80"/>
    </row>
    <row r="32" spans="1:13" ht="23.45" customHeight="1" x14ac:dyDescent="0.2">
      <c r="B32" s="357" t="s">
        <v>246</v>
      </c>
      <c r="C32" s="358" t="s">
        <v>100</v>
      </c>
      <c r="D32" s="358"/>
      <c r="E32" s="358"/>
      <c r="F32" s="343" t="s">
        <v>105</v>
      </c>
      <c r="G32" s="343"/>
      <c r="H32" s="202" t="s">
        <v>76</v>
      </c>
      <c r="I32" s="35"/>
      <c r="J32" s="35"/>
      <c r="K32" s="36"/>
      <c r="L32" s="118"/>
      <c r="M32" s="119"/>
    </row>
    <row r="33" spans="1:13" ht="30" customHeight="1" x14ac:dyDescent="0.2">
      <c r="B33" s="357"/>
      <c r="C33" s="358"/>
      <c r="D33" s="358"/>
      <c r="E33" s="358"/>
      <c r="F33" s="78" t="s">
        <v>15</v>
      </c>
      <c r="G33" s="77" t="s">
        <v>16</v>
      </c>
      <c r="H33" s="37" t="s">
        <v>4</v>
      </c>
      <c r="I33" s="37" t="s">
        <v>0</v>
      </c>
      <c r="J33" s="37" t="s">
        <v>1</v>
      </c>
      <c r="K33" s="38" t="s">
        <v>7</v>
      </c>
      <c r="L33" s="117" t="s">
        <v>250</v>
      </c>
      <c r="M33" s="117" t="s">
        <v>251</v>
      </c>
    </row>
    <row r="34" spans="1:13" ht="18" customHeight="1" x14ac:dyDescent="0.2">
      <c r="A34" s="362" t="s">
        <v>245</v>
      </c>
      <c r="B34" s="111"/>
      <c r="C34" s="345"/>
      <c r="D34" s="346"/>
      <c r="E34" s="347"/>
      <c r="F34" s="79"/>
      <c r="G34" s="79">
        <v>0</v>
      </c>
      <c r="H34" s="39" t="s">
        <v>6</v>
      </c>
      <c r="I34" s="22">
        <f t="shared" ref="I34:I43" si="6">IF(H34="SI",F34,IF(H34="NO",0,"Sin comprobar"))</f>
        <v>0</v>
      </c>
      <c r="J34" s="22">
        <f t="shared" ref="J34:J43" si="7">IF(H34="SI",G34,IF(H34="NO",0,"Sin comprobar"))</f>
        <v>0</v>
      </c>
      <c r="K34" s="121"/>
      <c r="L34" s="79"/>
      <c r="M34" s="120"/>
    </row>
    <row r="35" spans="1:13" ht="18" customHeight="1" x14ac:dyDescent="0.2">
      <c r="A35" s="362"/>
      <c r="B35" s="111"/>
      <c r="C35" s="345"/>
      <c r="D35" s="346"/>
      <c r="E35" s="347"/>
      <c r="F35" s="79"/>
      <c r="G35" s="79"/>
      <c r="H35" s="39" t="s">
        <v>6</v>
      </c>
      <c r="I35" s="22">
        <f t="shared" si="6"/>
        <v>0</v>
      </c>
      <c r="J35" s="22">
        <f t="shared" si="7"/>
        <v>0</v>
      </c>
      <c r="K35" s="121"/>
      <c r="L35" s="79"/>
      <c r="M35" s="120"/>
    </row>
    <row r="36" spans="1:13" ht="18" customHeight="1" x14ac:dyDescent="0.2">
      <c r="A36" s="362"/>
      <c r="B36" s="111"/>
      <c r="C36" s="345"/>
      <c r="D36" s="346"/>
      <c r="E36" s="347"/>
      <c r="F36" s="79"/>
      <c r="G36" s="79"/>
      <c r="H36" s="39" t="s">
        <v>6</v>
      </c>
      <c r="I36" s="22">
        <f t="shared" si="6"/>
        <v>0</v>
      </c>
      <c r="J36" s="22">
        <f t="shared" si="7"/>
        <v>0</v>
      </c>
      <c r="K36" s="121"/>
      <c r="L36" s="79"/>
      <c r="M36" s="120"/>
    </row>
    <row r="37" spans="1:13" ht="18" customHeight="1" x14ac:dyDescent="0.2">
      <c r="A37" s="362"/>
      <c r="B37" s="111"/>
      <c r="C37" s="345"/>
      <c r="D37" s="346"/>
      <c r="E37" s="347"/>
      <c r="F37" s="79"/>
      <c r="G37" s="79"/>
      <c r="H37" s="39" t="s">
        <v>6</v>
      </c>
      <c r="I37" s="22">
        <f t="shared" si="6"/>
        <v>0</v>
      </c>
      <c r="J37" s="22">
        <f t="shared" si="7"/>
        <v>0</v>
      </c>
      <c r="K37" s="121"/>
      <c r="L37" s="79"/>
      <c r="M37" s="120"/>
    </row>
    <row r="38" spans="1:13" ht="18" customHeight="1" x14ac:dyDescent="0.2">
      <c r="A38" s="362"/>
      <c r="B38" s="111"/>
      <c r="C38" s="345"/>
      <c r="D38" s="346"/>
      <c r="E38" s="347"/>
      <c r="F38" s="79"/>
      <c r="G38" s="79"/>
      <c r="H38" s="39" t="s">
        <v>6</v>
      </c>
      <c r="I38" s="22">
        <f t="shared" si="6"/>
        <v>0</v>
      </c>
      <c r="J38" s="22">
        <f t="shared" si="7"/>
        <v>0</v>
      </c>
      <c r="K38" s="121"/>
      <c r="L38" s="79"/>
      <c r="M38" s="120"/>
    </row>
    <row r="39" spans="1:13" ht="18" customHeight="1" x14ac:dyDescent="0.2">
      <c r="A39" s="362"/>
      <c r="B39" s="111"/>
      <c r="C39" s="345"/>
      <c r="D39" s="346"/>
      <c r="E39" s="347"/>
      <c r="F39" s="79"/>
      <c r="G39" s="79"/>
      <c r="H39" s="39" t="s">
        <v>6</v>
      </c>
      <c r="I39" s="22">
        <f t="shared" si="6"/>
        <v>0</v>
      </c>
      <c r="J39" s="22">
        <f t="shared" si="7"/>
        <v>0</v>
      </c>
      <c r="K39" s="121"/>
      <c r="L39" s="79"/>
      <c r="M39" s="120"/>
    </row>
    <row r="40" spans="1:13" ht="18" customHeight="1" x14ac:dyDescent="0.2">
      <c r="A40" s="362"/>
      <c r="B40" s="111"/>
      <c r="C40" s="345"/>
      <c r="D40" s="346"/>
      <c r="E40" s="347"/>
      <c r="F40" s="79"/>
      <c r="G40" s="79"/>
      <c r="H40" s="39" t="s">
        <v>6</v>
      </c>
      <c r="I40" s="22">
        <f t="shared" si="6"/>
        <v>0</v>
      </c>
      <c r="J40" s="22">
        <f t="shared" si="7"/>
        <v>0</v>
      </c>
      <c r="K40" s="121"/>
      <c r="L40" s="79"/>
      <c r="M40" s="120"/>
    </row>
    <row r="41" spans="1:13" ht="18" customHeight="1" x14ac:dyDescent="0.2">
      <c r="A41" s="362"/>
      <c r="B41" s="111"/>
      <c r="C41" s="345"/>
      <c r="D41" s="346"/>
      <c r="E41" s="347"/>
      <c r="F41" s="79"/>
      <c r="G41" s="79"/>
      <c r="H41" s="39" t="s">
        <v>6</v>
      </c>
      <c r="I41" s="22">
        <f t="shared" si="6"/>
        <v>0</v>
      </c>
      <c r="J41" s="22">
        <f t="shared" si="7"/>
        <v>0</v>
      </c>
      <c r="K41" s="121"/>
      <c r="L41" s="79"/>
      <c r="M41" s="120"/>
    </row>
    <row r="42" spans="1:13" ht="18" customHeight="1" x14ac:dyDescent="0.2">
      <c r="A42" s="362"/>
      <c r="B42" s="111"/>
      <c r="C42" s="345"/>
      <c r="D42" s="346"/>
      <c r="E42" s="347"/>
      <c r="F42" s="79"/>
      <c r="G42" s="79"/>
      <c r="H42" s="39" t="s">
        <v>6</v>
      </c>
      <c r="I42" s="22">
        <f t="shared" si="6"/>
        <v>0</v>
      </c>
      <c r="J42" s="22">
        <f t="shared" si="7"/>
        <v>0</v>
      </c>
      <c r="K42" s="121"/>
      <c r="L42" s="79"/>
      <c r="M42" s="120"/>
    </row>
    <row r="43" spans="1:13" ht="18" customHeight="1" x14ac:dyDescent="0.2">
      <c r="A43" s="362"/>
      <c r="B43" s="111"/>
      <c r="C43" s="345"/>
      <c r="D43" s="346"/>
      <c r="E43" s="347"/>
      <c r="F43" s="79"/>
      <c r="G43" s="79"/>
      <c r="H43" s="39" t="s">
        <v>6</v>
      </c>
      <c r="I43" s="22">
        <f t="shared" si="6"/>
        <v>0</v>
      </c>
      <c r="J43" s="22">
        <f t="shared" si="7"/>
        <v>0</v>
      </c>
      <c r="K43" s="121"/>
      <c r="L43" s="79"/>
      <c r="M43" s="120"/>
    </row>
    <row r="44" spans="1:13" x14ac:dyDescent="0.2">
      <c r="B44" s="112"/>
      <c r="C44" s="359"/>
      <c r="D44" s="360"/>
      <c r="E44" s="361"/>
      <c r="F44" s="113">
        <f>SUM(F34:F43)</f>
        <v>0</v>
      </c>
      <c r="G44" s="113">
        <f>SUM(G34:G43)</f>
        <v>0</v>
      </c>
      <c r="H44" s="107"/>
      <c r="I44" s="108">
        <f>SUM(I34:I43)</f>
        <v>0</v>
      </c>
      <c r="J44" s="108">
        <f>SUM(J34:J43)</f>
        <v>0</v>
      </c>
      <c r="K44" s="107"/>
      <c r="L44" s="122">
        <f>SUM(L34:L43)</f>
        <v>0</v>
      </c>
      <c r="M44" s="94"/>
    </row>
    <row r="45" spans="1:13" x14ac:dyDescent="0.2">
      <c r="B45" s="80"/>
      <c r="C45" s="80"/>
      <c r="D45" s="80"/>
    </row>
    <row r="46" spans="1:13" x14ac:dyDescent="0.2">
      <c r="B46" s="80"/>
      <c r="C46" s="80"/>
      <c r="D46" s="80"/>
    </row>
  </sheetData>
  <sheetProtection algorithmName="SHA-512" hashValue="XxNQor3XjMBYfc7nVfRuJepg6NW1vq+wpnkZef6OVRJzwWuWvK7Txd6T/pDWPTfmZsUQ/5EGd3BHJF6OpGPMmg==" saltValue="PA4mETs9aMWjR7L5iQ0nNw==" spinCount="100000" sheet="1" objects="1" scenarios="1"/>
  <mergeCells count="45">
    <mergeCell ref="C44:E44"/>
    <mergeCell ref="F32:G32"/>
    <mergeCell ref="A34:A43"/>
    <mergeCell ref="C34:E34"/>
    <mergeCell ref="C35:E35"/>
    <mergeCell ref="C36:E36"/>
    <mergeCell ref="C37:E37"/>
    <mergeCell ref="C38:E38"/>
    <mergeCell ref="C39:E39"/>
    <mergeCell ref="C40:E40"/>
    <mergeCell ref="C41:E41"/>
    <mergeCell ref="C42:E42"/>
    <mergeCell ref="C43:E43"/>
    <mergeCell ref="A4:A13"/>
    <mergeCell ref="B2:B3"/>
    <mergeCell ref="A19:A28"/>
    <mergeCell ref="B32:B33"/>
    <mergeCell ref="C32:E33"/>
    <mergeCell ref="C27:E27"/>
    <mergeCell ref="C28:E28"/>
    <mergeCell ref="C29:E29"/>
    <mergeCell ref="C24:E24"/>
    <mergeCell ref="C25:E25"/>
    <mergeCell ref="C26:E26"/>
    <mergeCell ref="C21:E21"/>
    <mergeCell ref="C22:E22"/>
    <mergeCell ref="C23:E23"/>
    <mergeCell ref="C5:E5"/>
    <mergeCell ref="C6:E6"/>
    <mergeCell ref="F17:G17"/>
    <mergeCell ref="C19:E19"/>
    <mergeCell ref="C20:E20"/>
    <mergeCell ref="B17:B18"/>
    <mergeCell ref="C17:E18"/>
    <mergeCell ref="F2:G2"/>
    <mergeCell ref="C2:E3"/>
    <mergeCell ref="C4:E4"/>
    <mergeCell ref="C7:E7"/>
    <mergeCell ref="C14:E14"/>
    <mergeCell ref="C12:E12"/>
    <mergeCell ref="C13:E13"/>
    <mergeCell ref="C8:E8"/>
    <mergeCell ref="C9:E9"/>
    <mergeCell ref="C10:E10"/>
    <mergeCell ref="C11:E11"/>
  </mergeCells>
  <conditionalFormatting sqref="I4:J13">
    <cfRule type="containsText" dxfId="2" priority="3" operator="containsText" text="Sin comprobar">
      <formula>NOT(ISERROR(SEARCH("Sin comprobar",I4)))</formula>
    </cfRule>
  </conditionalFormatting>
  <conditionalFormatting sqref="I19:J28">
    <cfRule type="containsText" dxfId="1" priority="2" operator="containsText" text="Sin comprobar">
      <formula>NOT(ISERROR(SEARCH("Sin comprobar",I19)))</formula>
    </cfRule>
  </conditionalFormatting>
  <conditionalFormatting sqref="I34:J43">
    <cfRule type="containsText" dxfId="0" priority="1" operator="containsText" text="Sin comprobar">
      <formula>NOT(ISERROR(SEARCH("Sin comprobar",I34)))</formula>
    </cfRule>
  </conditionalFormatting>
  <pageMargins left="0.7" right="0.7" top="0.75" bottom="0.75" header="0.3" footer="0.3"/>
  <pageSetup orientation="portrait" horizontalDpi="360" verticalDpi="36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Convencionales!$B$3:$B$4</xm:f>
          </x14:formula1>
          <xm:sqref>H19:H28 H4:H13 H34:H43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61"/>
  <sheetViews>
    <sheetView showGridLines="0" zoomScale="85" zoomScaleNormal="85" zoomScaleSheetLayoutView="90" workbookViewId="0">
      <selection activeCell="K24" sqref="K24"/>
    </sheetView>
  </sheetViews>
  <sheetFormatPr baseColWidth="10" defaultColWidth="11.42578125" defaultRowHeight="12.75" x14ac:dyDescent="0.2"/>
  <cols>
    <col min="1" max="1" width="3.85546875" style="2" customWidth="1"/>
    <col min="2" max="2" width="11.140625" style="2" customWidth="1"/>
    <col min="3" max="4" width="12" style="2" customWidth="1"/>
    <col min="5" max="5" width="16.28515625" style="2" bestFit="1" customWidth="1"/>
    <col min="6" max="11" width="18" style="2" customWidth="1"/>
    <col min="12" max="12" width="3.85546875" style="2" customWidth="1"/>
    <col min="13" max="13" width="3.42578125" style="2" customWidth="1"/>
    <col min="14" max="14" width="13.7109375" style="2" customWidth="1"/>
    <col min="15" max="16384" width="11.42578125" style="2"/>
  </cols>
  <sheetData>
    <row r="2" spans="2:11" s="9" customFormat="1" ht="23.25" customHeight="1" x14ac:dyDescent="0.25">
      <c r="B2" s="366" t="s">
        <v>40</v>
      </c>
      <c r="C2" s="366"/>
      <c r="D2" s="366"/>
      <c r="E2" s="366"/>
      <c r="F2" s="366"/>
      <c r="G2" s="366"/>
      <c r="H2" s="366"/>
      <c r="I2" s="366"/>
      <c r="J2" s="366"/>
      <c r="K2" s="366"/>
    </row>
    <row r="3" spans="2:11" ht="18" customHeight="1" x14ac:dyDescent="0.2">
      <c r="B3" s="367" t="s">
        <v>72</v>
      </c>
      <c r="C3" s="367"/>
      <c r="D3" s="367"/>
      <c r="E3" s="367"/>
      <c r="F3" s="367"/>
      <c r="G3" s="367"/>
      <c r="H3" s="367"/>
      <c r="I3" s="367"/>
      <c r="J3" s="367"/>
      <c r="K3" s="367"/>
    </row>
    <row r="4" spans="2:11" ht="18" customHeight="1" x14ac:dyDescent="0.2">
      <c r="B4" s="367" t="s">
        <v>62</v>
      </c>
      <c r="C4" s="367"/>
      <c r="D4" s="367"/>
      <c r="E4" s="367"/>
      <c r="F4" s="367"/>
      <c r="G4" s="367"/>
      <c r="H4" s="367"/>
      <c r="I4" s="367"/>
      <c r="J4" s="367"/>
      <c r="K4" s="367"/>
    </row>
    <row r="5" spans="2:11" x14ac:dyDescent="0.2">
      <c r="B5" s="81"/>
      <c r="C5" s="81"/>
      <c r="D5" s="81"/>
      <c r="E5" s="81"/>
      <c r="F5" s="81"/>
      <c r="G5" s="81"/>
      <c r="H5" s="81"/>
    </row>
    <row r="6" spans="2:11" x14ac:dyDescent="0.2">
      <c r="B6" s="23" t="s">
        <v>125</v>
      </c>
    </row>
    <row r="7" spans="2:11" ht="3.75" customHeight="1" x14ac:dyDescent="0.2"/>
    <row r="8" spans="2:11" ht="18.75" customHeight="1" x14ac:dyDescent="0.2">
      <c r="B8" s="363" t="e">
        <f>#REF!</f>
        <v>#REF!</v>
      </c>
      <c r="C8" s="364"/>
      <c r="D8" s="364"/>
      <c r="E8" s="364"/>
      <c r="F8" s="365"/>
    </row>
    <row r="9" spans="2:11" ht="6" customHeight="1" x14ac:dyDescent="0.2"/>
    <row r="10" spans="2:11" x14ac:dyDescent="0.2">
      <c r="B10" s="23" t="s">
        <v>176</v>
      </c>
    </row>
    <row r="11" spans="2:11" ht="3.75" customHeight="1" x14ac:dyDescent="0.2"/>
    <row r="12" spans="2:11" ht="18.75" customHeight="1" x14ac:dyDescent="0.2">
      <c r="B12" s="363" t="e">
        <f>#REF!</f>
        <v>#REF!</v>
      </c>
      <c r="C12" s="364"/>
      <c r="D12" s="364"/>
      <c r="E12" s="364"/>
      <c r="F12" s="365"/>
    </row>
    <row r="13" spans="2:11" ht="6" customHeight="1" x14ac:dyDescent="0.2"/>
    <row r="14" spans="2:11" x14ac:dyDescent="0.2">
      <c r="B14" s="23" t="s">
        <v>61</v>
      </c>
    </row>
    <row r="15" spans="2:11" ht="3.75" customHeight="1" x14ac:dyDescent="0.2"/>
    <row r="16" spans="2:11" ht="18.75" customHeight="1" x14ac:dyDescent="0.2">
      <c r="B16" s="363" t="e">
        <f>#REF!</f>
        <v>#REF!</v>
      </c>
      <c r="C16" s="364"/>
      <c r="D16" s="364"/>
      <c r="E16" s="364"/>
      <c r="F16" s="365"/>
    </row>
    <row r="18" spans="2:11" x14ac:dyDescent="0.2">
      <c r="B18" s="57" t="s">
        <v>92</v>
      </c>
    </row>
    <row r="19" spans="2:11" x14ac:dyDescent="0.2">
      <c r="B19" s="57"/>
    </row>
    <row r="20" spans="2:11" x14ac:dyDescent="0.2">
      <c r="B20" s="23"/>
    </row>
    <row r="21" spans="2:11" x14ac:dyDescent="0.2">
      <c r="B21" s="58" t="s">
        <v>69</v>
      </c>
    </row>
    <row r="22" spans="2:11" ht="16.5" customHeight="1" x14ac:dyDescent="0.2">
      <c r="F22" s="97" t="s">
        <v>68</v>
      </c>
      <c r="G22" s="98"/>
      <c r="H22" s="99"/>
      <c r="I22" s="100" t="s">
        <v>23</v>
      </c>
      <c r="J22" s="101"/>
      <c r="K22" s="102"/>
    </row>
    <row r="23" spans="2:11" ht="26.25" customHeight="1" x14ac:dyDescent="0.2">
      <c r="B23" s="59" t="s">
        <v>67</v>
      </c>
      <c r="C23" s="60"/>
      <c r="D23" s="60"/>
      <c r="E23" s="60"/>
      <c r="F23" s="146" t="s">
        <v>15</v>
      </c>
      <c r="G23" s="30" t="s">
        <v>16</v>
      </c>
      <c r="H23" s="61" t="s">
        <v>63</v>
      </c>
      <c r="I23" s="146" t="s">
        <v>15</v>
      </c>
      <c r="J23" s="31" t="s">
        <v>16</v>
      </c>
      <c r="K23" s="61" t="s">
        <v>63</v>
      </c>
    </row>
    <row r="24" spans="2:11" s="9" customFormat="1" ht="23.25" customHeight="1" x14ac:dyDescent="0.25">
      <c r="B24" s="75" t="s">
        <v>64</v>
      </c>
      <c r="C24" s="76"/>
      <c r="D24" s="76"/>
      <c r="E24" s="131"/>
      <c r="F24" s="74">
        <f>ADM!I18</f>
        <v>0</v>
      </c>
      <c r="G24" s="74">
        <f>ADM!J18</f>
        <v>0</v>
      </c>
      <c r="H24" s="74">
        <f>SUM(F24:G24)</f>
        <v>0</v>
      </c>
      <c r="I24" s="74">
        <f>ADM!L18</f>
        <v>0</v>
      </c>
      <c r="J24" s="74">
        <f>ADM!M18</f>
        <v>0</v>
      </c>
      <c r="K24" s="74">
        <f>SUM(I24:J24)</f>
        <v>0</v>
      </c>
    </row>
    <row r="25" spans="2:11" s="9" customFormat="1" ht="15" customHeight="1" x14ac:dyDescent="0.25"/>
    <row r="26" spans="2:11" s="9" customFormat="1" ht="15" customHeight="1" x14ac:dyDescent="0.25"/>
    <row r="27" spans="2:11" ht="16.5" customHeight="1" x14ac:dyDescent="0.2">
      <c r="F27" s="97" t="s">
        <v>68</v>
      </c>
      <c r="G27" s="98"/>
      <c r="H27" s="99"/>
      <c r="I27" s="100" t="s">
        <v>23</v>
      </c>
      <c r="J27" s="101"/>
      <c r="K27" s="102"/>
    </row>
    <row r="28" spans="2:11" ht="26.25" customHeight="1" x14ac:dyDescent="0.2">
      <c r="B28" s="59" t="s">
        <v>67</v>
      </c>
      <c r="C28" s="60"/>
      <c r="D28" s="60"/>
      <c r="E28" s="60"/>
      <c r="F28" s="146" t="s">
        <v>15</v>
      </c>
      <c r="G28" s="30" t="s">
        <v>16</v>
      </c>
      <c r="H28" s="61" t="s">
        <v>63</v>
      </c>
      <c r="I28" s="146" t="s">
        <v>15</v>
      </c>
      <c r="J28" s="31" t="s">
        <v>16</v>
      </c>
      <c r="K28" s="61" t="s">
        <v>63</v>
      </c>
    </row>
    <row r="29" spans="2:11" s="9" customFormat="1" ht="16.5" customHeight="1" x14ac:dyDescent="0.25">
      <c r="B29" s="132" t="s">
        <v>99</v>
      </c>
      <c r="C29" s="133"/>
      <c r="D29" s="133"/>
      <c r="E29" s="134"/>
      <c r="F29" s="70">
        <f>PRE!F18</f>
        <v>0</v>
      </c>
      <c r="G29" s="70">
        <f>PRE!G18</f>
        <v>0</v>
      </c>
      <c r="H29" s="70">
        <f t="shared" ref="H29:H31" si="0">SUM(F29:G29)</f>
        <v>0</v>
      </c>
      <c r="I29" s="70">
        <f>PRE!I18</f>
        <v>0</v>
      </c>
      <c r="J29" s="70">
        <f>PRE!J18</f>
        <v>0</v>
      </c>
      <c r="K29" s="70">
        <f>SUM(I29:J29)</f>
        <v>0</v>
      </c>
    </row>
    <row r="30" spans="2:11" s="9" customFormat="1" ht="16.5" customHeight="1" x14ac:dyDescent="0.25">
      <c r="B30" s="132" t="s">
        <v>65</v>
      </c>
      <c r="C30" s="133"/>
      <c r="D30" s="133"/>
      <c r="E30" s="134"/>
      <c r="F30" s="70">
        <f>PRE!F33</f>
        <v>0</v>
      </c>
      <c r="G30" s="70">
        <f>PRE!G33</f>
        <v>0</v>
      </c>
      <c r="H30" s="70">
        <f t="shared" si="0"/>
        <v>0</v>
      </c>
      <c r="I30" s="70">
        <f>PRE!I33</f>
        <v>0</v>
      </c>
      <c r="J30" s="70">
        <f>PRE!J33</f>
        <v>0</v>
      </c>
      <c r="K30" s="70">
        <f t="shared" ref="K30:K31" si="1">SUM(I30:J30)</f>
        <v>0</v>
      </c>
    </row>
    <row r="31" spans="2:11" s="9" customFormat="1" ht="16.5" customHeight="1" x14ac:dyDescent="0.25">
      <c r="B31" s="132" t="s">
        <v>66</v>
      </c>
      <c r="C31" s="133"/>
      <c r="D31" s="133"/>
      <c r="E31" s="134"/>
      <c r="F31" s="70">
        <f>PRE!F48</f>
        <v>0</v>
      </c>
      <c r="G31" s="70">
        <f>PRE!G48</f>
        <v>0</v>
      </c>
      <c r="H31" s="70">
        <f t="shared" si="0"/>
        <v>0</v>
      </c>
      <c r="I31" s="70">
        <f>PRE!I48</f>
        <v>0</v>
      </c>
      <c r="J31" s="70">
        <f>PRE!J48</f>
        <v>0</v>
      </c>
      <c r="K31" s="70">
        <f t="shared" si="1"/>
        <v>0</v>
      </c>
    </row>
    <row r="32" spans="2:11" s="9" customFormat="1" ht="16.5" customHeight="1" x14ac:dyDescent="0.25">
      <c r="B32" s="132" t="s">
        <v>243</v>
      </c>
      <c r="C32" s="133"/>
      <c r="D32" s="133"/>
      <c r="E32" s="134"/>
      <c r="F32" s="70">
        <f>POS!G18</f>
        <v>0</v>
      </c>
      <c r="G32" s="70">
        <f>POS!H18</f>
        <v>0</v>
      </c>
      <c r="H32" s="70">
        <f t="shared" ref="H32" si="2">SUM(F32:G32)</f>
        <v>0</v>
      </c>
      <c r="I32" s="70">
        <f>POS!J18</f>
        <v>0</v>
      </c>
      <c r="J32" s="70">
        <f>POS!K18</f>
        <v>0</v>
      </c>
      <c r="K32" s="70">
        <f t="shared" ref="K32" si="3">SUM(I32:J32)</f>
        <v>0</v>
      </c>
    </row>
    <row r="33" spans="2:14" s="9" customFormat="1" ht="23.25" customHeight="1" x14ac:dyDescent="0.25">
      <c r="B33" s="75" t="s">
        <v>71</v>
      </c>
      <c r="C33" s="76"/>
      <c r="D33" s="76"/>
      <c r="E33" s="131"/>
      <c r="F33" s="73">
        <f>SUM(F29:F32)</f>
        <v>0</v>
      </c>
      <c r="G33" s="74">
        <f t="shared" ref="G33:K33" si="4">SUM(G29:G32)</f>
        <v>0</v>
      </c>
      <c r="H33" s="74">
        <f t="shared" si="4"/>
        <v>0</v>
      </c>
      <c r="I33" s="73">
        <f t="shared" si="4"/>
        <v>0</v>
      </c>
      <c r="J33" s="74">
        <f t="shared" si="4"/>
        <v>0</v>
      </c>
      <c r="K33" s="74">
        <f t="shared" si="4"/>
        <v>0</v>
      </c>
    </row>
    <row r="34" spans="2:14" s="9" customFormat="1" ht="15" customHeight="1" x14ac:dyDescent="0.25">
      <c r="B34" s="63"/>
      <c r="C34" s="63"/>
      <c r="D34" s="63"/>
      <c r="E34" s="63"/>
      <c r="F34" s="24"/>
      <c r="G34" s="24"/>
      <c r="H34" s="24"/>
    </row>
    <row r="35" spans="2:14" s="9" customFormat="1" ht="15" customHeight="1" x14ac:dyDescent="0.25">
      <c r="B35" s="63"/>
      <c r="C35" s="63"/>
      <c r="D35" s="63"/>
      <c r="E35" s="63"/>
      <c r="F35" s="24"/>
      <c r="G35" s="24"/>
      <c r="H35" s="24"/>
    </row>
    <row r="36" spans="2:14" s="9" customFormat="1" ht="14.25" customHeight="1" x14ac:dyDescent="0.25">
      <c r="B36" s="64" t="s">
        <v>70</v>
      </c>
      <c r="C36" s="63"/>
      <c r="D36" s="63"/>
      <c r="E36" s="63"/>
      <c r="F36" s="24"/>
      <c r="G36" s="24"/>
      <c r="H36" s="24"/>
    </row>
    <row r="37" spans="2:14" ht="16.5" customHeight="1" x14ac:dyDescent="0.2">
      <c r="F37" s="97" t="s">
        <v>68</v>
      </c>
      <c r="G37" s="98"/>
      <c r="H37" s="99"/>
      <c r="I37" s="100" t="s">
        <v>23</v>
      </c>
      <c r="J37" s="101"/>
      <c r="K37" s="102"/>
    </row>
    <row r="38" spans="2:14" s="9" customFormat="1" ht="26.25" customHeight="1" x14ac:dyDescent="0.25">
      <c r="B38" s="59" t="s">
        <v>67</v>
      </c>
      <c r="C38" s="60"/>
      <c r="D38" s="60"/>
      <c r="E38" s="60"/>
      <c r="F38" s="146" t="s">
        <v>15</v>
      </c>
      <c r="G38" s="25" t="s">
        <v>16</v>
      </c>
      <c r="H38" s="65" t="s">
        <v>63</v>
      </c>
      <c r="I38" s="146" t="s">
        <v>15</v>
      </c>
      <c r="J38" s="25" t="s">
        <v>16</v>
      </c>
      <c r="K38" s="66" t="s">
        <v>63</v>
      </c>
    </row>
    <row r="39" spans="2:14" s="9" customFormat="1" ht="16.5" customHeight="1" x14ac:dyDescent="0.25">
      <c r="B39" s="132" t="s">
        <v>274</v>
      </c>
      <c r="C39" s="136"/>
      <c r="D39" s="136"/>
      <c r="E39" s="136"/>
      <c r="F39" s="135" t="e">
        <f>#REF!</f>
        <v>#REF!</v>
      </c>
      <c r="G39" s="135" t="e">
        <f>#REF!</f>
        <v>#REF!</v>
      </c>
      <c r="H39" s="135" t="e">
        <f t="shared" ref="H39:H42" si="5">SUM(F39:G39)</f>
        <v>#REF!</v>
      </c>
      <c r="I39" s="135" t="e">
        <f>#REF!</f>
        <v>#REF!</v>
      </c>
      <c r="J39" s="135" t="e">
        <f>#REF!</f>
        <v>#REF!</v>
      </c>
      <c r="K39" s="135" t="e">
        <f t="shared" ref="K39:K42" si="6">SUM(I39:J39)</f>
        <v>#REF!</v>
      </c>
    </row>
    <row r="40" spans="2:14" s="9" customFormat="1" ht="16.5" customHeight="1" x14ac:dyDescent="0.25">
      <c r="B40" s="132" t="s">
        <v>3</v>
      </c>
      <c r="C40" s="128"/>
      <c r="D40" s="128"/>
      <c r="E40" s="128"/>
      <c r="F40" s="129" t="e">
        <f>#REF!</f>
        <v>#REF!</v>
      </c>
      <c r="G40" s="129" t="e">
        <f>#REF!</f>
        <v>#REF!</v>
      </c>
      <c r="H40" s="129" t="e">
        <f t="shared" si="5"/>
        <v>#REF!</v>
      </c>
      <c r="I40" s="129" t="e">
        <f>#REF!</f>
        <v>#REF!</v>
      </c>
      <c r="J40" s="129" t="e">
        <f>#REF!</f>
        <v>#REF!</v>
      </c>
      <c r="K40" s="129" t="e">
        <f t="shared" si="6"/>
        <v>#REF!</v>
      </c>
    </row>
    <row r="41" spans="2:14" s="9" customFormat="1" ht="16.5" customHeight="1" x14ac:dyDescent="0.25">
      <c r="B41" s="130" t="s">
        <v>121</v>
      </c>
      <c r="C41" s="128"/>
      <c r="D41" s="128"/>
      <c r="E41" s="128"/>
      <c r="F41" s="129" t="e">
        <f>#REF!</f>
        <v>#REF!</v>
      </c>
      <c r="G41" s="129" t="e">
        <f>#REF!</f>
        <v>#REF!</v>
      </c>
      <c r="H41" s="129" t="e">
        <f t="shared" ref="H41" si="7">SUM(F41:G41)</f>
        <v>#REF!</v>
      </c>
      <c r="I41" s="129" t="e">
        <f>#REF!</f>
        <v>#REF!</v>
      </c>
      <c r="J41" s="129" t="e">
        <f>#REF!</f>
        <v>#REF!</v>
      </c>
      <c r="K41" s="129" t="e">
        <f t="shared" ref="K41" si="8">SUM(I41:J41)</f>
        <v>#REF!</v>
      </c>
    </row>
    <row r="42" spans="2:14" s="9" customFormat="1" ht="16.5" customHeight="1" x14ac:dyDescent="0.25">
      <c r="B42" s="137" t="s">
        <v>242</v>
      </c>
      <c r="C42" s="138"/>
      <c r="D42" s="138"/>
      <c r="E42" s="138"/>
      <c r="F42" s="129" t="e">
        <f>#REF!</f>
        <v>#REF!</v>
      </c>
      <c r="G42" s="129" t="e">
        <f>#REF!</f>
        <v>#REF!</v>
      </c>
      <c r="H42" s="139" t="e">
        <f t="shared" si="5"/>
        <v>#REF!</v>
      </c>
      <c r="I42" s="129" t="e">
        <f>#REF!</f>
        <v>#REF!</v>
      </c>
      <c r="J42" s="129" t="e">
        <f>#REF!</f>
        <v>#REF!</v>
      </c>
      <c r="K42" s="139" t="e">
        <f t="shared" si="6"/>
        <v>#REF!</v>
      </c>
    </row>
    <row r="43" spans="2:14" s="9" customFormat="1" ht="23.25" customHeight="1" x14ac:dyDescent="0.25">
      <c r="B43" s="71" t="s">
        <v>122</v>
      </c>
      <c r="C43" s="72"/>
      <c r="D43" s="72"/>
      <c r="E43" s="72"/>
      <c r="F43" s="73" t="e">
        <f>SUM(F39:F42)</f>
        <v>#REF!</v>
      </c>
      <c r="G43" s="74" t="e">
        <f t="shared" ref="G43:K43" si="9">SUM(G39:G42)</f>
        <v>#REF!</v>
      </c>
      <c r="H43" s="74" t="e">
        <f t="shared" si="9"/>
        <v>#REF!</v>
      </c>
      <c r="I43" s="74" t="e">
        <f t="shared" si="9"/>
        <v>#REF!</v>
      </c>
      <c r="J43" s="74" t="e">
        <f t="shared" si="9"/>
        <v>#REF!</v>
      </c>
      <c r="K43" s="74" t="e">
        <f t="shared" si="9"/>
        <v>#REF!</v>
      </c>
    </row>
    <row r="44" spans="2:14" ht="15" customHeight="1" x14ac:dyDescent="0.2"/>
    <row r="45" spans="2:14" ht="15" customHeight="1" x14ac:dyDescent="0.2"/>
    <row r="46" spans="2:14" x14ac:dyDescent="0.2">
      <c r="B46" s="64" t="s">
        <v>123</v>
      </c>
    </row>
    <row r="47" spans="2:14" ht="16.5" customHeight="1" x14ac:dyDescent="0.2">
      <c r="F47" s="97" t="s">
        <v>68</v>
      </c>
      <c r="G47" s="98"/>
      <c r="H47" s="99"/>
      <c r="I47" s="100" t="s">
        <v>23</v>
      </c>
      <c r="J47" s="101"/>
      <c r="K47" s="102"/>
      <c r="N47" s="67"/>
    </row>
    <row r="48" spans="2:14" s="9" customFormat="1" ht="26.25" customHeight="1" x14ac:dyDescent="0.25">
      <c r="B48" s="59" t="s">
        <v>67</v>
      </c>
      <c r="C48" s="60"/>
      <c r="D48" s="60"/>
      <c r="E48" s="60"/>
      <c r="F48" s="146" t="s">
        <v>15</v>
      </c>
      <c r="G48" s="25" t="s">
        <v>16</v>
      </c>
      <c r="H48" s="65" t="s">
        <v>63</v>
      </c>
      <c r="I48" s="146" t="s">
        <v>15</v>
      </c>
      <c r="J48" s="25" t="s">
        <v>16</v>
      </c>
      <c r="K48" s="66" t="s">
        <v>63</v>
      </c>
    </row>
    <row r="49" spans="2:11" s="9" customFormat="1" ht="23.25" customHeight="1" x14ac:dyDescent="0.25">
      <c r="B49" s="71" t="s">
        <v>247</v>
      </c>
      <c r="C49" s="72"/>
      <c r="D49" s="72"/>
      <c r="E49" s="72"/>
      <c r="F49" s="73">
        <f>'M&amp;E'!F14</f>
        <v>0</v>
      </c>
      <c r="G49" s="74">
        <f>'M&amp;E'!G14</f>
        <v>0</v>
      </c>
      <c r="H49" s="74">
        <f>SUM(F49:G49)</f>
        <v>0</v>
      </c>
      <c r="I49" s="74">
        <f>'M&amp;E'!I14</f>
        <v>0</v>
      </c>
      <c r="J49" s="74">
        <f>'M&amp;E'!J14</f>
        <v>0</v>
      </c>
      <c r="K49" s="74">
        <f>SUM(I49:J49)</f>
        <v>0</v>
      </c>
    </row>
    <row r="50" spans="2:11" s="9" customFormat="1" ht="15" customHeight="1" x14ac:dyDescent="0.2">
      <c r="B50" s="2"/>
      <c r="C50" s="2"/>
      <c r="D50" s="2"/>
      <c r="E50" s="2"/>
      <c r="F50" s="2"/>
      <c r="G50" s="2"/>
      <c r="H50" s="2"/>
      <c r="I50" s="2"/>
      <c r="J50" s="2"/>
      <c r="K50" s="2"/>
    </row>
    <row r="51" spans="2:11" s="9" customFormat="1" ht="15" customHeight="1" x14ac:dyDescent="0.2">
      <c r="B51" s="2"/>
      <c r="C51" s="2"/>
      <c r="D51" s="2"/>
      <c r="E51" s="2"/>
      <c r="F51" s="2"/>
      <c r="G51" s="2"/>
      <c r="H51" s="2"/>
      <c r="I51" s="2"/>
      <c r="J51" s="2"/>
      <c r="K51" s="2"/>
    </row>
    <row r="52" spans="2:11" ht="16.5" customHeight="1" x14ac:dyDescent="0.2">
      <c r="F52" s="97" t="s">
        <v>68</v>
      </c>
      <c r="G52" s="98"/>
      <c r="H52" s="99"/>
      <c r="I52" s="100" t="s">
        <v>23</v>
      </c>
      <c r="J52" s="101"/>
      <c r="K52" s="102"/>
    </row>
    <row r="53" spans="2:11" ht="25.5" x14ac:dyDescent="0.2">
      <c r="B53" s="59"/>
      <c r="C53" s="60"/>
      <c r="D53" s="60"/>
      <c r="E53" s="60"/>
      <c r="F53" s="147" t="s">
        <v>15</v>
      </c>
      <c r="G53" s="103" t="s">
        <v>16</v>
      </c>
      <c r="H53" s="104" t="s">
        <v>63</v>
      </c>
      <c r="I53" s="147" t="s">
        <v>15</v>
      </c>
      <c r="J53" s="103" t="s">
        <v>16</v>
      </c>
      <c r="K53" s="105" t="s">
        <v>63</v>
      </c>
    </row>
    <row r="54" spans="2:11" ht="17.25" customHeight="1" x14ac:dyDescent="0.2">
      <c r="B54" s="62" t="s">
        <v>2</v>
      </c>
      <c r="C54" s="68"/>
      <c r="D54" s="68"/>
      <c r="E54" s="68"/>
      <c r="F54" s="162" t="e">
        <f>F24+F33+F43+F49</f>
        <v>#REF!</v>
      </c>
      <c r="G54" s="69" t="e">
        <f>G24+G33+G43+G49</f>
        <v>#REF!</v>
      </c>
      <c r="H54" s="70" t="e">
        <f>SUM(F54:G54)</f>
        <v>#REF!</v>
      </c>
      <c r="I54" s="69" t="e">
        <f>I24+I33+I43+I49</f>
        <v>#REF!</v>
      </c>
      <c r="J54" s="69" t="e">
        <f>J24+J33+J43+J49</f>
        <v>#REF!</v>
      </c>
      <c r="K54" s="70" t="e">
        <f>SUM(I54:J54)</f>
        <v>#REF!</v>
      </c>
    </row>
    <row r="55" spans="2:11" ht="15" customHeight="1" x14ac:dyDescent="0.2"/>
    <row r="56" spans="2:11" ht="15" customHeight="1" x14ac:dyDescent="0.2"/>
    <row r="57" spans="2:11" ht="17.25" customHeight="1" x14ac:dyDescent="0.2">
      <c r="F57" s="143" t="s">
        <v>278</v>
      </c>
      <c r="G57" s="144" t="s">
        <v>279</v>
      </c>
    </row>
    <row r="58" spans="2:11" s="9" customFormat="1" ht="19.5" customHeight="1" x14ac:dyDescent="0.25">
      <c r="E58" s="107" t="s">
        <v>275</v>
      </c>
      <c r="F58" s="140">
        <f>H24</f>
        <v>0</v>
      </c>
      <c r="G58" s="148">
        <f>K24</f>
        <v>0</v>
      </c>
    </row>
    <row r="59" spans="2:11" s="9" customFormat="1" ht="19.5" customHeight="1" x14ac:dyDescent="0.25">
      <c r="E59" s="145" t="s">
        <v>276</v>
      </c>
      <c r="F59" s="141">
        <f>H33</f>
        <v>0</v>
      </c>
      <c r="G59" s="149">
        <f>K33</f>
        <v>0</v>
      </c>
    </row>
    <row r="60" spans="2:11" s="9" customFormat="1" ht="19.5" customHeight="1" x14ac:dyDescent="0.25">
      <c r="E60" s="107" t="s">
        <v>277</v>
      </c>
      <c r="F60" s="141" t="e">
        <f>H43</f>
        <v>#REF!</v>
      </c>
      <c r="G60" s="149" t="e">
        <f>K43</f>
        <v>#REF!</v>
      </c>
    </row>
    <row r="61" spans="2:11" s="9" customFormat="1" ht="19.5" customHeight="1" x14ac:dyDescent="0.25">
      <c r="E61" s="107" t="s">
        <v>123</v>
      </c>
      <c r="F61" s="142">
        <f>H49</f>
        <v>0</v>
      </c>
      <c r="G61" s="150">
        <f>K49</f>
        <v>0</v>
      </c>
    </row>
  </sheetData>
  <sheetProtection algorithmName="SHA-512" hashValue="6Tmi09LMX3cl0x0mxKR4LodRy9QBYXu1Vmp0TafJDGDIP3xTRnmIoHgajXcucTL3Ci9XX6EZca23DbGT7frnPw==" saltValue="uJUs29N7GiQFTQG7S6Qz4g==" spinCount="100000" sheet="1" objects="1" scenarios="1"/>
  <mergeCells count="6">
    <mergeCell ref="B16:F16"/>
    <mergeCell ref="B2:K2"/>
    <mergeCell ref="B3:K3"/>
    <mergeCell ref="B4:K4"/>
    <mergeCell ref="B8:F8"/>
    <mergeCell ref="B12:F12"/>
  </mergeCells>
  <conditionalFormatting sqref="H24 K24">
    <cfRule type="iconSet" priority="6">
      <iconSet iconSet="3Arrows">
        <cfvo type="percent" val="0"/>
        <cfvo type="percent" val="33"/>
        <cfvo type="percent" val="67"/>
      </iconSet>
    </cfRule>
  </conditionalFormatting>
  <conditionalFormatting sqref="H25:H26 K25:K26">
    <cfRule type="iconSet" priority="111">
      <iconSet iconSet="3ArrowsGray">
        <cfvo type="percent" val="0"/>
        <cfvo type="percent" val="33"/>
        <cfvo type="percent" val="67"/>
      </iconSet>
    </cfRule>
  </conditionalFormatting>
  <conditionalFormatting sqref="H29 K29">
    <cfRule type="iconSet" priority="5">
      <iconSet iconSet="3Arrows">
        <cfvo type="percent" val="0"/>
        <cfvo type="percent" val="33"/>
        <cfvo type="percent" val="67"/>
      </iconSet>
    </cfRule>
  </conditionalFormatting>
  <conditionalFormatting sqref="H29:H32 K29:K32">
    <cfRule type="iconSet" priority="114">
      <iconSet iconSet="3ArrowsGray">
        <cfvo type="percent" val="0"/>
        <cfvo type="percent" val="33"/>
        <cfvo type="percent" val="67"/>
      </iconSet>
    </cfRule>
  </conditionalFormatting>
  <conditionalFormatting sqref="H30 K30">
    <cfRule type="iconSet" priority="4">
      <iconSet iconSet="3Arrows">
        <cfvo type="percent" val="0"/>
        <cfvo type="percent" val="33"/>
        <cfvo type="percent" val="67"/>
      </iconSet>
    </cfRule>
  </conditionalFormatting>
  <conditionalFormatting sqref="H31 K31">
    <cfRule type="iconSet" priority="3">
      <iconSet iconSet="3Arrows">
        <cfvo type="percent" val="0"/>
        <cfvo type="percent" val="33"/>
        <cfvo type="percent" val="67"/>
      </iconSet>
    </cfRule>
  </conditionalFormatting>
  <conditionalFormatting sqref="H32 K32">
    <cfRule type="iconSet" priority="2">
      <iconSet iconSet="3Arrows">
        <cfvo type="percent" val="0"/>
        <cfvo type="percent" val="33"/>
        <cfvo type="percent" val="67"/>
      </iconSet>
    </cfRule>
  </conditionalFormatting>
  <conditionalFormatting sqref="H33 K33">
    <cfRule type="iconSet" priority="1">
      <iconSet iconSet="3Arrows">
        <cfvo type="percent" val="0"/>
        <cfvo type="percent" val="33"/>
        <cfvo type="percent" val="67"/>
      </iconSet>
    </cfRule>
  </conditionalFormatting>
  <conditionalFormatting sqref="H40 K40">
    <cfRule type="iconSet" priority="68">
      <iconSet iconSet="5ArrowsGray">
        <cfvo type="percent" val="0"/>
        <cfvo type="percent" val="20"/>
        <cfvo type="percent" val="40"/>
        <cfvo type="percent" val="60"/>
        <cfvo type="percent" val="80"/>
      </iconSet>
    </cfRule>
  </conditionalFormatting>
  <conditionalFormatting sqref="H41 K41">
    <cfRule type="iconSet" priority="18">
      <iconSet iconSet="5ArrowsGray">
        <cfvo type="percent" val="0"/>
        <cfvo type="percent" val="20"/>
        <cfvo type="percent" val="40"/>
        <cfvo type="percent" val="60"/>
        <cfvo type="percent" val="80"/>
      </iconSet>
    </cfRule>
  </conditionalFormatting>
  <conditionalFormatting sqref="H42 K42">
    <cfRule type="iconSet" priority="42">
      <iconSet iconSet="5ArrowsGray">
        <cfvo type="percent" val="0"/>
        <cfvo type="percent" val="20"/>
        <cfvo type="percent" val="40"/>
        <cfvo type="percent" val="60"/>
        <cfvo type="percent" val="80"/>
      </iconSet>
    </cfRule>
  </conditionalFormatting>
  <conditionalFormatting sqref="H50 K50">
    <cfRule type="iconSet" priority="33">
      <iconSet iconSet="3ArrowsGray">
        <cfvo type="percent" val="0"/>
        <cfvo type="percent" val="33"/>
        <cfvo type="percent" val="67"/>
      </iconSet>
    </cfRule>
  </conditionalFormatting>
  <conditionalFormatting sqref="H51 K51">
    <cfRule type="iconSet" priority="32">
      <iconSet iconSet="3ArrowsGray">
        <cfvo type="percent" val="0"/>
        <cfvo type="percent" val="33"/>
        <cfvo type="percent" val="67"/>
      </iconSet>
    </cfRule>
  </conditionalFormatting>
  <conditionalFormatting sqref="K24">
    <cfRule type="iconSet" priority="7">
      <iconSet iconSet="3ArrowsGray">
        <cfvo type="percent" val="0"/>
        <cfvo type="percent" val="33"/>
        <cfvo type="percent" val="67"/>
      </iconSet>
    </cfRule>
  </conditionalFormatting>
  <conditionalFormatting sqref="K32 H32">
    <cfRule type="iconSet" priority="20">
      <iconSet iconSet="3ArrowsGray">
        <cfvo type="percent" val="0"/>
        <cfvo type="percent" val="33"/>
        <cfvo type="percent" val="67"/>
      </iconSet>
    </cfRule>
  </conditionalFormatting>
  <conditionalFormatting sqref="K33">
    <cfRule type="iconSet" priority="36">
      <iconSet iconSet="3ArrowsGray">
        <cfvo type="percent" val="0"/>
        <cfvo type="percent" val="33"/>
        <cfvo type="percent" val="67"/>
      </iconSet>
    </cfRule>
  </conditionalFormatting>
  <conditionalFormatting sqref="K39 H39">
    <cfRule type="iconSet" priority="121">
      <iconSet iconSet="5ArrowsGray">
        <cfvo type="percent" val="0"/>
        <cfvo type="percent" val="20"/>
        <cfvo type="percent" val="40"/>
        <cfvo type="percent" val="60"/>
        <cfvo type="percent" val="80"/>
      </iconSet>
    </cfRule>
  </conditionalFormatting>
  <conditionalFormatting sqref="K54 H54">
    <cfRule type="iconSet" priority="24">
      <iconSet iconSet="5ArrowsGray">
        <cfvo type="percent" val="0"/>
        <cfvo type="percent" val="20"/>
        <cfvo type="percent" val="40"/>
        <cfvo type="percent" val="60"/>
        <cfvo type="percent" val="80"/>
      </iconSet>
    </cfRule>
  </conditionalFormatting>
  <printOptions horizontalCentered="1"/>
  <pageMargins left="0.23622047244094491" right="0.23622047244094491" top="0.74803149606299213" bottom="0.74803149606299213" header="0.31496062992125984" footer="0.31496062992125984"/>
  <pageSetup scale="61" orientation="portrait" horizontalDpi="360" verticalDpi="360" r:id="rId1"/>
  <ignoredErrors>
    <ignoredError sqref="B12" unlockedFormula="1"/>
    <ignoredError sqref="H54 K29 K30 K31" formula="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
  <sheetViews>
    <sheetView showGridLines="0" workbookViewId="0">
      <selection sqref="A1:XFD1048576"/>
    </sheetView>
  </sheetViews>
  <sheetFormatPr baseColWidth="10" defaultColWidth="11.42578125" defaultRowHeight="15" x14ac:dyDescent="0.25"/>
  <cols>
    <col min="1" max="1" width="11.42578125" style="158"/>
    <col min="2" max="2" width="9.85546875" style="158" bestFit="1" customWidth="1"/>
    <col min="3" max="16384" width="11.42578125" style="158"/>
  </cols>
  <sheetData>
    <row r="1" spans="1:14" x14ac:dyDescent="0.25">
      <c r="A1" s="158" t="s">
        <v>350</v>
      </c>
      <c r="B1" s="158" t="s">
        <v>351</v>
      </c>
    </row>
    <row r="2" spans="1:14" x14ac:dyDescent="0.25">
      <c r="A2" s="159">
        <v>0.1</v>
      </c>
      <c r="B2" s="158">
        <v>1</v>
      </c>
    </row>
    <row r="3" spans="1:14" x14ac:dyDescent="0.25">
      <c r="A3" s="159">
        <v>0.2</v>
      </c>
      <c r="B3" s="158">
        <v>1</v>
      </c>
    </row>
    <row r="4" spans="1:14" x14ac:dyDescent="0.25">
      <c r="A4" s="159">
        <v>0.3</v>
      </c>
      <c r="B4" s="158">
        <v>1</v>
      </c>
    </row>
    <row r="5" spans="1:14" x14ac:dyDescent="0.25">
      <c r="A5" s="159">
        <v>0.4</v>
      </c>
      <c r="B5" s="158">
        <v>1</v>
      </c>
    </row>
    <row r="6" spans="1:14" x14ac:dyDescent="0.25">
      <c r="A6" s="159">
        <v>0.5</v>
      </c>
      <c r="B6" s="158">
        <v>1</v>
      </c>
    </row>
    <row r="7" spans="1:14" x14ac:dyDescent="0.25">
      <c r="A7" s="159">
        <v>0.6</v>
      </c>
      <c r="B7" s="158">
        <v>1</v>
      </c>
    </row>
    <row r="8" spans="1:14" x14ac:dyDescent="0.25">
      <c r="A8" s="159">
        <v>0.7</v>
      </c>
      <c r="B8" s="158">
        <v>1</v>
      </c>
    </row>
    <row r="9" spans="1:14" x14ac:dyDescent="0.25">
      <c r="A9" s="159">
        <v>0.8</v>
      </c>
      <c r="B9" s="158">
        <v>1</v>
      </c>
    </row>
    <row r="10" spans="1:14" x14ac:dyDescent="0.25">
      <c r="A10" s="159">
        <v>0.9</v>
      </c>
      <c r="B10" s="158">
        <v>1</v>
      </c>
    </row>
    <row r="11" spans="1:14" x14ac:dyDescent="0.25">
      <c r="A11" s="159">
        <v>1</v>
      </c>
      <c r="B11" s="158">
        <f>SUM(B2:B10)</f>
        <v>9</v>
      </c>
    </row>
    <row r="14" spans="1:14" x14ac:dyDescent="0.25">
      <c r="A14" s="158" t="s">
        <v>352</v>
      </c>
      <c r="B14" s="159" t="e">
        <f>#REF!</f>
        <v>#REF!</v>
      </c>
      <c r="E14" s="158" t="s">
        <v>352</v>
      </c>
      <c r="F14" s="159" t="e">
        <f>#REF!</f>
        <v>#REF!</v>
      </c>
      <c r="I14" s="158" t="s">
        <v>352</v>
      </c>
      <c r="J14" s="159" t="e">
        <f>#REF!</f>
        <v>#REF!</v>
      </c>
      <c r="M14" s="158" t="s">
        <v>352</v>
      </c>
      <c r="N14" s="159" t="e">
        <f>#REF!</f>
        <v>#REF!</v>
      </c>
    </row>
    <row r="15" spans="1:14" x14ac:dyDescent="0.25">
      <c r="A15" s="158" t="s">
        <v>353</v>
      </c>
      <c r="B15" s="160" t="e">
        <f>B14*PI()</f>
        <v>#REF!</v>
      </c>
      <c r="E15" s="158" t="s">
        <v>353</v>
      </c>
      <c r="F15" s="160" t="e">
        <f>F14*PI()</f>
        <v>#REF!</v>
      </c>
      <c r="I15" s="158" t="s">
        <v>353</v>
      </c>
      <c r="J15" s="160" t="e">
        <f>J14*PI()</f>
        <v>#REF!</v>
      </c>
      <c r="M15" s="158" t="s">
        <v>353</v>
      </c>
      <c r="N15" s="160" t="e">
        <f>N14*PI()</f>
        <v>#REF!</v>
      </c>
    </row>
    <row r="17" spans="1:15" x14ac:dyDescent="0.25">
      <c r="A17" s="158" t="s">
        <v>354</v>
      </c>
      <c r="B17" s="161" t="s">
        <v>280</v>
      </c>
      <c r="C17" s="161" t="s">
        <v>355</v>
      </c>
      <c r="E17" s="158" t="s">
        <v>354</v>
      </c>
      <c r="F17" s="161" t="s">
        <v>280</v>
      </c>
      <c r="G17" s="161" t="s">
        <v>355</v>
      </c>
      <c r="I17" s="158" t="s">
        <v>354</v>
      </c>
      <c r="J17" s="161" t="s">
        <v>280</v>
      </c>
      <c r="K17" s="161" t="s">
        <v>355</v>
      </c>
      <c r="M17" s="158" t="s">
        <v>354</v>
      </c>
      <c r="N17" s="161" t="s">
        <v>280</v>
      </c>
      <c r="O17" s="161" t="s">
        <v>355</v>
      </c>
    </row>
    <row r="18" spans="1:15" x14ac:dyDescent="0.25">
      <c r="A18" s="158" t="s">
        <v>356</v>
      </c>
      <c r="B18" s="158">
        <v>0</v>
      </c>
      <c r="C18" s="158">
        <v>0</v>
      </c>
      <c r="E18" s="158" t="s">
        <v>356</v>
      </c>
      <c r="F18" s="158">
        <v>0</v>
      </c>
      <c r="G18" s="158">
        <v>0</v>
      </c>
      <c r="I18" s="158" t="s">
        <v>356</v>
      </c>
      <c r="J18" s="158">
        <v>0</v>
      </c>
      <c r="K18" s="158">
        <v>0</v>
      </c>
      <c r="M18" s="158" t="s">
        <v>356</v>
      </c>
      <c r="N18" s="158">
        <v>0</v>
      </c>
      <c r="O18" s="158">
        <v>0</v>
      </c>
    </row>
    <row r="19" spans="1:15" x14ac:dyDescent="0.25">
      <c r="A19" s="158" t="s">
        <v>357</v>
      </c>
      <c r="B19" s="158" t="e">
        <f>-(COS(B15))</f>
        <v>#REF!</v>
      </c>
      <c r="C19" s="158" t="e">
        <f>SIN(B15)</f>
        <v>#REF!</v>
      </c>
      <c r="E19" s="158" t="s">
        <v>357</v>
      </c>
      <c r="F19" s="158" t="e">
        <f>-(COS(F15))</f>
        <v>#REF!</v>
      </c>
      <c r="G19" s="158" t="e">
        <f>SIN(F15)</f>
        <v>#REF!</v>
      </c>
      <c r="I19" s="158" t="s">
        <v>357</v>
      </c>
      <c r="J19" s="158" t="e">
        <f>-(COS(J15))</f>
        <v>#REF!</v>
      </c>
      <c r="K19" s="158" t="e">
        <f>SIN(J15)</f>
        <v>#REF!</v>
      </c>
      <c r="M19" s="158" t="s">
        <v>357</v>
      </c>
      <c r="N19" s="158" t="e">
        <f>-(COS(N15))</f>
        <v>#REF!</v>
      </c>
      <c r="O19" s="158" t="e">
        <f>SIN(N15)</f>
        <v>#REF!</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2</vt:i4>
      </vt:variant>
    </vt:vector>
  </HeadingPairs>
  <TitlesOfParts>
    <vt:vector size="14" baseType="lpstr">
      <vt:lpstr>Convencionales</vt:lpstr>
      <vt:lpstr>BaseSalarial</vt:lpstr>
      <vt:lpstr>ADM</vt:lpstr>
      <vt:lpstr>PRE</vt:lpstr>
      <vt:lpstr>POS</vt:lpstr>
      <vt:lpstr>CONSOLIDADO</vt:lpstr>
      <vt:lpstr>ANALISIS MACROS</vt:lpstr>
      <vt:lpstr>Analisis Proyectos</vt:lpstr>
      <vt:lpstr>Analisis tipo de Impacto</vt:lpstr>
      <vt:lpstr>M&amp;E</vt:lpstr>
      <vt:lpstr>RES</vt:lpstr>
      <vt:lpstr>velGrap</vt:lpstr>
      <vt:lpstr>RES!Área_de_impresión</vt:lpstr>
      <vt:lpstr>OBE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ASISTENTE CALIDAD</cp:lastModifiedBy>
  <cp:lastPrinted>2022-09-15T17:00:48Z</cp:lastPrinted>
  <dcterms:created xsi:type="dcterms:W3CDTF">2017-10-05T15:20:21Z</dcterms:created>
  <dcterms:modified xsi:type="dcterms:W3CDTF">2023-11-02T21:03:38Z</dcterms:modified>
</cp:coreProperties>
</file>