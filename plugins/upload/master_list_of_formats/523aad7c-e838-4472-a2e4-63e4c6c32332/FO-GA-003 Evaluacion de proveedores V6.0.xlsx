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ORD.CALIDAD\Downloads\"/>
    </mc:Choice>
  </mc:AlternateContent>
  <bookViews>
    <workbookView xWindow="0" yWindow="0" windowWidth="28800" windowHeight="12450"/>
  </bookViews>
  <sheets>
    <sheet name="FO-GA-003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" i="1" l="1"/>
  <c r="E28" i="1"/>
  <c r="F28" i="1"/>
  <c r="G28" i="1"/>
  <c r="H28" i="1"/>
  <c r="I28" i="1"/>
  <c r="I18" i="1"/>
  <c r="E26" i="1"/>
  <c r="F26" i="1"/>
  <c r="G26" i="1"/>
  <c r="H26" i="1"/>
  <c r="I26" i="1"/>
  <c r="I30" i="1"/>
  <c r="F52" i="1"/>
  <c r="G53" i="1"/>
  <c r="I19" i="1"/>
  <c r="E27" i="1"/>
  <c r="F27" i="1"/>
  <c r="G27" i="1"/>
  <c r="H27" i="1"/>
  <c r="I27" i="1"/>
  <c r="I21" i="1"/>
  <c r="E29" i="1"/>
  <c r="F29" i="1"/>
  <c r="G29" i="1"/>
  <c r="H29" i="1"/>
  <c r="I29" i="1"/>
  <c r="D26" i="1"/>
  <c r="D27" i="1"/>
  <c r="D28" i="1"/>
  <c r="D29" i="1"/>
</calcChain>
</file>

<file path=xl/sharedStrings.xml><?xml version="1.0" encoding="utf-8"?>
<sst xmlns="http://schemas.openxmlformats.org/spreadsheetml/2006/main" count="76" uniqueCount="69">
  <si>
    <t>EVALUACIÓN</t>
  </si>
  <si>
    <t>REEVALUACIÓN</t>
  </si>
  <si>
    <t>IDENTIFICACIÓN DEL PROVEEDOR</t>
  </si>
  <si>
    <t>NOMBRE:</t>
  </si>
  <si>
    <t>Producto o Servicio suministrado:</t>
  </si>
  <si>
    <t>INFORMACIÓN BASE PARA LA EVALUACIÓN</t>
  </si>
  <si>
    <t>PERÍODO EVALUADO:</t>
  </si>
  <si>
    <t>DESDE:</t>
  </si>
  <si>
    <t>HASTA:</t>
  </si>
  <si>
    <t>FECHA EVALUACIÓN</t>
  </si>
  <si>
    <t>MM / AAAA</t>
  </si>
  <si>
    <t>DD / MM / AAAA</t>
  </si>
  <si>
    <t>DATOS REQUERIDOS</t>
  </si>
  <si>
    <t>CANTIDAD</t>
  </si>
  <si>
    <t>CRITERIOS EVALUADOS</t>
  </si>
  <si>
    <t>%</t>
  </si>
  <si>
    <t xml:space="preserve">Total de órdenes de compra, servicios o solicitudes a evaluar durante el período                                   </t>
  </si>
  <si>
    <t>ÉXITOS</t>
  </si>
  <si>
    <t>Ordenes de compra, servicios o solicitudes recibidas a tiempo</t>
  </si>
  <si>
    <t>1. CUMPLIMIENTO ENTREGA</t>
  </si>
  <si>
    <t xml:space="preserve">Órdenes de compra, servicios o solicitudes que cumplieron especificaciones                                                         </t>
  </si>
  <si>
    <t>2. CALIDAD</t>
  </si>
  <si>
    <t xml:space="preserve">Órdenes de compra, servicios o solicitudes que cumplieron con precio acordado                                                         </t>
  </si>
  <si>
    <t>3. PRECIO</t>
  </si>
  <si>
    <r>
      <t>Solicitudes, comunicaciones, pedidos o garantías respondidas</t>
    </r>
    <r>
      <rPr>
        <sz val="10"/>
        <color indexed="57"/>
        <rFont val="Arial"/>
        <family val="2"/>
      </rPr>
      <t xml:space="preserve">                                             </t>
    </r>
  </si>
  <si>
    <t>4. SERVICIO POSTVENTA</t>
  </si>
  <si>
    <t>Deficiente</t>
  </si>
  <si>
    <t>Aceptable</t>
  </si>
  <si>
    <t>Sobresaliente</t>
  </si>
  <si>
    <t xml:space="preserve">Excelente          </t>
  </si>
  <si>
    <t xml:space="preserve">Exitos &lt;50% </t>
  </si>
  <si>
    <t>Éxitos entre 50%  y 70%</t>
  </si>
  <si>
    <t>Éxitos entre 70% y 90%</t>
  </si>
  <si>
    <t>Éxitos &gt;90%</t>
  </si>
  <si>
    <t>RESULTADOS DE LA EVALUACIÓN</t>
  </si>
  <si>
    <t>Peso relativo</t>
  </si>
  <si>
    <t>RESULTADO</t>
  </si>
  <si>
    <t xml:space="preserve">2. CALIDAD </t>
  </si>
  <si>
    <t xml:space="preserve">3. PRECIO </t>
  </si>
  <si>
    <t xml:space="preserve">4. SERVICIO POSTVENTA </t>
  </si>
  <si>
    <t>TOTAL</t>
  </si>
  <si>
    <t>PUNTAJES DE CALIFICACIÓN:</t>
  </si>
  <si>
    <t>Cumplimiento entrega:</t>
  </si>
  <si>
    <t xml:space="preserve">Puntaje máximo </t>
  </si>
  <si>
    <t>Calidad:</t>
  </si>
  <si>
    <t>Precio:</t>
  </si>
  <si>
    <t>Servicio postventa:</t>
  </si>
  <si>
    <t>Puntaje máximo total</t>
  </si>
  <si>
    <t>PUNTAJES DE CLASIFICACIÓN:</t>
  </si>
  <si>
    <t xml:space="preserve">Puntaje menor a: </t>
  </si>
  <si>
    <t>NO CONFIABLE</t>
  </si>
  <si>
    <t>Puntaje entre:</t>
  </si>
  <si>
    <t>ACEPTABLE</t>
  </si>
  <si>
    <t>CONFIABLE</t>
  </si>
  <si>
    <t xml:space="preserve">Puntaje  mayor o igual a:   </t>
  </si>
  <si>
    <t>MUY CONFIABLE</t>
  </si>
  <si>
    <t>CALIFICACION OBTENIDA SOBRE 20 PUNTOS</t>
  </si>
  <si>
    <t>CLASIFICACIÓN DEL PROVEEDOR</t>
  </si>
  <si>
    <t>FORTALEZAS</t>
  </si>
  <si>
    <t>RECOMENDACIONES</t>
  </si>
  <si>
    <t>EVALUAR NUEVAMENTE EN</t>
  </si>
  <si>
    <t>Elaborado por:</t>
  </si>
  <si>
    <t>Firma</t>
  </si>
  <si>
    <t xml:space="preserve">CARGO: </t>
  </si>
  <si>
    <t>PROVEEDOR</t>
  </si>
  <si>
    <r>
      <t xml:space="preserve">                                                                                                                                     </t>
    </r>
    <r>
      <rPr>
        <b/>
        <sz val="8"/>
        <color theme="1"/>
        <rFont val="Arial"/>
        <family val="2"/>
      </rPr>
      <t>Página 1 de 2</t>
    </r>
  </si>
  <si>
    <r>
      <t xml:space="preserve">                                                                                                                                        </t>
    </r>
    <r>
      <rPr>
        <b/>
        <sz val="8"/>
        <color theme="1"/>
        <rFont val="Arial"/>
        <family val="2"/>
      </rPr>
      <t>Página 1 de 1</t>
    </r>
  </si>
  <si>
    <t>EVALUACIÓN DE DESEMPEÑO</t>
  </si>
  <si>
    <t>Profesional de Apoyo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</si>
</sst>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55"/>
      <name val="Arial"/>
      <family val="2"/>
    </font>
    <font>
      <b/>
      <i/>
      <sz val="10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0"/>
      <color indexed="57"/>
      <name val="Arial"/>
      <family val="2"/>
    </font>
    <font>
      <b/>
      <sz val="10"/>
      <color indexed="9"/>
      <name val="Arial"/>
      <family val="2"/>
    </font>
    <font>
      <b/>
      <sz val="10"/>
      <color indexed="13"/>
      <name val="Arial"/>
      <family val="2"/>
    </font>
    <font>
      <sz val="9"/>
      <color indexed="9"/>
      <name val="Arial"/>
      <family val="2"/>
    </font>
    <font>
      <sz val="9"/>
      <name val="Arial"/>
      <family val="2"/>
    </font>
    <font>
      <sz val="9"/>
      <color indexed="13"/>
      <name val="Arial"/>
      <family val="2"/>
    </font>
    <font>
      <sz val="10"/>
      <color indexed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b/>
      <sz val="10"/>
      <color indexed="18"/>
      <name val="Arial"/>
      <family val="2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FFFF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27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99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0" applyFont="1" applyBorder="1"/>
    <xf numFmtId="0" fontId="2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9" fontId="7" fillId="0" borderId="12" xfId="1" applyFont="1" applyBorder="1" applyAlignment="1">
      <alignment horizontal="center" vertical="center"/>
    </xf>
    <xf numFmtId="9" fontId="7" fillId="0" borderId="14" xfId="1" applyFont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horizontal="left" vertical="center"/>
    </xf>
    <xf numFmtId="0" fontId="9" fillId="5" borderId="15" xfId="0" applyFont="1" applyFill="1" applyBorder="1" applyAlignment="1">
      <alignment horizontal="center" wrapText="1"/>
    </xf>
    <xf numFmtId="0" fontId="9" fillId="6" borderId="15" xfId="0" applyFont="1" applyFill="1" applyBorder="1" applyAlignment="1">
      <alignment horizontal="center" wrapText="1"/>
    </xf>
    <xf numFmtId="0" fontId="2" fillId="7" borderId="15" xfId="0" applyFont="1" applyFill="1" applyBorder="1" applyAlignment="1">
      <alignment horizontal="center" wrapText="1"/>
    </xf>
    <xf numFmtId="0" fontId="10" fillId="8" borderId="6" xfId="0" applyFont="1" applyFill="1" applyBorder="1" applyAlignment="1">
      <alignment horizontal="center" wrapText="1"/>
    </xf>
    <xf numFmtId="0" fontId="11" fillId="5" borderId="12" xfId="0" applyFont="1" applyFill="1" applyBorder="1" applyAlignment="1">
      <alignment horizontal="center" vertical="top" wrapText="1"/>
    </xf>
    <xf numFmtId="0" fontId="11" fillId="6" borderId="12" xfId="0" applyFont="1" applyFill="1" applyBorder="1" applyAlignment="1">
      <alignment horizontal="center" vertical="top" wrapText="1"/>
    </xf>
    <xf numFmtId="0" fontId="12" fillId="7" borderId="12" xfId="0" applyFont="1" applyFill="1" applyBorder="1" applyAlignment="1">
      <alignment horizontal="center" vertical="top" wrapText="1"/>
    </xf>
    <xf numFmtId="0" fontId="13" fillId="8" borderId="11" xfId="0" applyFont="1" applyFill="1" applyBorder="1" applyAlignment="1">
      <alignment horizontal="center" vertical="top" wrapText="1"/>
    </xf>
    <xf numFmtId="0" fontId="2" fillId="2" borderId="1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 wrapText="1"/>
    </xf>
    <xf numFmtId="9" fontId="2" fillId="0" borderId="14" xfId="0" applyNumberFormat="1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9" fontId="2" fillId="3" borderId="14" xfId="0" applyNumberFormat="1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3" fillId="3" borderId="6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164" fontId="17" fillId="3" borderId="3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8" fillId="3" borderId="0" xfId="0" applyFont="1" applyFill="1" applyBorder="1" applyAlignment="1">
      <alignment horizontal="left" vertical="center"/>
    </xf>
    <xf numFmtId="1" fontId="3" fillId="3" borderId="0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14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" fillId="2" borderId="14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19" fillId="0" borderId="6" xfId="0" applyNumberFormat="1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164" fontId="19" fillId="0" borderId="1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26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6" fillId="9" borderId="0" xfId="0" applyFont="1" applyFill="1" applyBorder="1" applyAlignment="1">
      <alignment horizontal="center" vertical="center"/>
    </xf>
    <xf numFmtId="0" fontId="27" fillId="12" borderId="0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69"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66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color indexed="17"/>
      </font>
      <fill>
        <patternFill>
          <bgColor indexed="17"/>
        </patternFill>
      </fill>
    </dxf>
    <dxf>
      <font>
        <b/>
        <i val="0"/>
        <condense val="0"/>
        <extend val="0"/>
        <color indexed="13"/>
      </font>
      <fill>
        <patternFill>
          <bgColor indexed="13"/>
        </patternFill>
      </fill>
    </dxf>
    <dxf>
      <font>
        <b/>
        <i val="0"/>
        <condense val="0"/>
        <extend val="0"/>
        <color indexed="53"/>
      </font>
      <fill>
        <patternFill>
          <bgColor indexed="53"/>
        </patternFill>
      </fill>
    </dxf>
    <dxf>
      <font>
        <b/>
        <i val="0"/>
        <condense val="0"/>
        <extend val="0"/>
        <color indexed="10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1"/>
      </font>
    </dxf>
    <dxf>
      <font>
        <condense val="0"/>
        <extend val="0"/>
        <color indexed="51"/>
      </font>
    </dxf>
    <dxf>
      <fill>
        <patternFill>
          <bgColor rgb="FF92D050"/>
        </patternFill>
      </fill>
    </dxf>
    <dxf>
      <font>
        <b/>
        <i val="0"/>
        <condense val="0"/>
        <extend val="0"/>
        <color indexed="13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5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1"/>
      </font>
    </dxf>
    <dxf>
      <font>
        <b/>
        <i val="0"/>
        <condense val="0"/>
        <extend val="0"/>
        <color indexed="11"/>
      </font>
    </dxf>
    <dxf>
      <font>
        <color rgb="FFFFFF00"/>
      </font>
      <fill>
        <patternFill>
          <bgColor rgb="FF0099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66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color indexed="17"/>
      </font>
      <fill>
        <patternFill>
          <bgColor indexed="17"/>
        </patternFill>
      </fill>
    </dxf>
    <dxf>
      <font>
        <b/>
        <i val="0"/>
        <condense val="0"/>
        <extend val="0"/>
        <color indexed="13"/>
      </font>
      <fill>
        <patternFill>
          <bgColor indexed="13"/>
        </patternFill>
      </fill>
    </dxf>
    <dxf>
      <font>
        <b/>
        <i val="0"/>
        <condense val="0"/>
        <extend val="0"/>
        <color indexed="53"/>
      </font>
      <fill>
        <patternFill>
          <bgColor indexed="53"/>
        </patternFill>
      </fill>
    </dxf>
    <dxf>
      <font>
        <b/>
        <i val="0"/>
        <condense val="0"/>
        <extend val="0"/>
        <color indexed="10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1"/>
      </font>
    </dxf>
    <dxf>
      <font>
        <condense val="0"/>
        <extend val="0"/>
        <color indexed="51"/>
      </font>
    </dxf>
    <dxf>
      <fill>
        <patternFill>
          <bgColor rgb="FF92D050"/>
        </patternFill>
      </fill>
    </dxf>
    <dxf>
      <font>
        <b/>
        <i val="0"/>
        <condense val="0"/>
        <extend val="0"/>
        <color indexed="13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5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1"/>
      </font>
    </dxf>
    <dxf>
      <font>
        <b/>
        <i val="0"/>
        <condense val="0"/>
        <extend val="0"/>
        <color indexed="11"/>
      </font>
    </dxf>
    <dxf>
      <fill>
        <patternFill>
          <bgColor rgb="FF92D050"/>
        </patternFill>
      </fill>
    </dxf>
    <dxf>
      <font>
        <color theme="0"/>
      </font>
      <fill>
        <patternFill>
          <bgColor rgb="FFFF66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color indexed="17"/>
      </font>
      <fill>
        <patternFill>
          <bgColor indexed="17"/>
        </patternFill>
      </fill>
    </dxf>
    <dxf>
      <font>
        <b/>
        <i val="0"/>
        <condense val="0"/>
        <extend val="0"/>
        <color indexed="13"/>
      </font>
      <fill>
        <patternFill>
          <bgColor indexed="13"/>
        </patternFill>
      </fill>
    </dxf>
    <dxf>
      <font>
        <b/>
        <i val="0"/>
        <condense val="0"/>
        <extend val="0"/>
        <color indexed="53"/>
      </font>
      <fill>
        <patternFill>
          <bgColor indexed="53"/>
        </patternFill>
      </fill>
    </dxf>
    <dxf>
      <font>
        <b/>
        <i val="0"/>
        <condense val="0"/>
        <extend val="0"/>
        <color indexed="10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1"/>
      </font>
    </dxf>
    <dxf>
      <font>
        <condense val="0"/>
        <extend val="0"/>
        <color indexed="51"/>
      </font>
    </dxf>
    <dxf>
      <fill>
        <patternFill>
          <bgColor rgb="FF92D050"/>
        </patternFill>
      </fill>
    </dxf>
    <dxf>
      <font>
        <b/>
        <i val="0"/>
        <condense val="0"/>
        <extend val="0"/>
        <color indexed="13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5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1"/>
      </font>
    </dxf>
    <dxf>
      <font>
        <b/>
        <i val="0"/>
        <condense val="0"/>
        <extend val="0"/>
        <color indexed="11"/>
      </font>
    </dxf>
    <dxf>
      <font>
        <color theme="0"/>
      </font>
      <fill>
        <patternFill>
          <bgColor rgb="FFFF66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color indexed="17"/>
      </font>
      <fill>
        <patternFill>
          <bgColor indexed="17"/>
        </patternFill>
      </fill>
    </dxf>
    <dxf>
      <font>
        <b/>
        <i val="0"/>
        <condense val="0"/>
        <extend val="0"/>
        <color indexed="13"/>
      </font>
      <fill>
        <patternFill>
          <bgColor indexed="13"/>
        </patternFill>
      </fill>
    </dxf>
    <dxf>
      <font>
        <b/>
        <i val="0"/>
        <condense val="0"/>
        <extend val="0"/>
        <color indexed="53"/>
      </font>
      <fill>
        <patternFill>
          <bgColor indexed="53"/>
        </patternFill>
      </fill>
    </dxf>
    <dxf>
      <font>
        <b/>
        <i val="0"/>
        <condense val="0"/>
        <extend val="0"/>
        <color indexed="10"/>
      </font>
      <fill>
        <patternFill>
          <bgColor indexed="1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1"/>
      </font>
    </dxf>
    <dxf>
      <font>
        <condense val="0"/>
        <extend val="0"/>
        <color indexed="51"/>
      </font>
    </dxf>
    <dxf>
      <font>
        <b/>
        <i val="0"/>
        <condense val="0"/>
        <extend val="0"/>
        <color indexed="13"/>
      </font>
      <fill>
        <patternFill>
          <bgColor indexed="17"/>
        </patternFill>
      </fill>
    </dxf>
    <dxf>
      <font>
        <b/>
        <i val="0"/>
        <condense val="0"/>
        <extend val="0"/>
        <color indexed="9"/>
      </font>
      <fill>
        <patternFill>
          <bgColor indexed="5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1"/>
      </font>
    </dxf>
    <dxf>
      <font>
        <b/>
        <i val="0"/>
        <condense val="0"/>
        <extend val="0"/>
        <color indexed="11"/>
      </font>
    </dxf>
  </dxfs>
  <tableStyles count="0" defaultTableStyle="TableStyleMedium2" defaultPivotStyle="PivotStyleLight16"/>
  <colors>
    <mruColors>
      <color rgb="FF0099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24</xdr:row>
      <xdr:rowOff>121415</xdr:rowOff>
    </xdr:from>
    <xdr:to>
      <xdr:col>4</xdr:col>
      <xdr:colOff>762000</xdr:colOff>
      <xdr:row>24</xdr:row>
      <xdr:rowOff>273815</xdr:rowOff>
    </xdr:to>
    <xdr:sp macro="" textlink="">
      <xdr:nvSpPr>
        <xdr:cNvPr id="2" name="Text Box 7"/>
        <xdr:cNvSpPr txBox="1">
          <a:spLocks noChangeArrowheads="1"/>
        </xdr:cNvSpPr>
      </xdr:nvSpPr>
      <xdr:spPr bwMode="auto">
        <a:xfrm>
          <a:off x="2981325" y="6084065"/>
          <a:ext cx="4572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 Narrow"/>
            </a:rPr>
            <a:t>puntos</a:t>
          </a:r>
        </a:p>
      </xdr:txBody>
    </xdr:sp>
    <xdr:clientData/>
  </xdr:twoCellAnchor>
  <xdr:twoCellAnchor>
    <xdr:from>
      <xdr:col>5</xdr:col>
      <xdr:colOff>228600</xdr:colOff>
      <xdr:row>24</xdr:row>
      <xdr:rowOff>121415</xdr:rowOff>
    </xdr:from>
    <xdr:to>
      <xdr:col>5</xdr:col>
      <xdr:colOff>762000</xdr:colOff>
      <xdr:row>24</xdr:row>
      <xdr:rowOff>273815</xdr:rowOff>
    </xdr:to>
    <xdr:sp macro="" textlink="">
      <xdr:nvSpPr>
        <xdr:cNvPr id="3" name="Text Box 8"/>
        <xdr:cNvSpPr txBox="1">
          <a:spLocks noChangeArrowheads="1"/>
        </xdr:cNvSpPr>
      </xdr:nvSpPr>
      <xdr:spPr bwMode="auto">
        <a:xfrm>
          <a:off x="3667125" y="6084065"/>
          <a:ext cx="47625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 Narrow"/>
            </a:rPr>
            <a:t>puntos</a:t>
          </a:r>
        </a:p>
      </xdr:txBody>
    </xdr:sp>
    <xdr:clientData/>
  </xdr:twoCellAnchor>
  <xdr:twoCellAnchor>
    <xdr:from>
      <xdr:col>6</xdr:col>
      <xdr:colOff>228600</xdr:colOff>
      <xdr:row>24</xdr:row>
      <xdr:rowOff>121415</xdr:rowOff>
    </xdr:from>
    <xdr:to>
      <xdr:col>6</xdr:col>
      <xdr:colOff>762000</xdr:colOff>
      <xdr:row>24</xdr:row>
      <xdr:rowOff>273815</xdr:rowOff>
    </xdr:to>
    <xdr:sp macro="" textlink="">
      <xdr:nvSpPr>
        <xdr:cNvPr id="4" name="Text Box 9"/>
        <xdr:cNvSpPr txBox="1">
          <a:spLocks noChangeArrowheads="1"/>
        </xdr:cNvSpPr>
      </xdr:nvSpPr>
      <xdr:spPr bwMode="auto">
        <a:xfrm>
          <a:off x="4371975" y="6084065"/>
          <a:ext cx="533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 Narrow"/>
            </a:rPr>
            <a:t>puntos</a:t>
          </a:r>
        </a:p>
      </xdr:txBody>
    </xdr:sp>
    <xdr:clientData/>
  </xdr:twoCellAnchor>
  <xdr:twoCellAnchor>
    <xdr:from>
      <xdr:col>7</xdr:col>
      <xdr:colOff>228600</xdr:colOff>
      <xdr:row>24</xdr:row>
      <xdr:rowOff>121415</xdr:rowOff>
    </xdr:from>
    <xdr:to>
      <xdr:col>7</xdr:col>
      <xdr:colOff>762000</xdr:colOff>
      <xdr:row>24</xdr:row>
      <xdr:rowOff>273815</xdr:rowOff>
    </xdr:to>
    <xdr:sp macro="" textlink="">
      <xdr:nvSpPr>
        <xdr:cNvPr id="5" name="Text Box 10"/>
        <xdr:cNvSpPr txBox="1">
          <a:spLocks noChangeArrowheads="1"/>
        </xdr:cNvSpPr>
      </xdr:nvSpPr>
      <xdr:spPr bwMode="auto">
        <a:xfrm>
          <a:off x="5219700" y="6084065"/>
          <a:ext cx="44767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 Narrow"/>
            </a:rPr>
            <a:t>puntos</a:t>
          </a:r>
        </a:p>
      </xdr:txBody>
    </xdr:sp>
    <xdr:clientData/>
  </xdr:twoCellAnchor>
  <xdr:twoCellAnchor>
    <xdr:from>
      <xdr:col>4</xdr:col>
      <xdr:colOff>280869</xdr:colOff>
      <xdr:row>48</xdr:row>
      <xdr:rowOff>28575</xdr:rowOff>
    </xdr:from>
    <xdr:to>
      <xdr:col>4</xdr:col>
      <xdr:colOff>395169</xdr:colOff>
      <xdr:row>48</xdr:row>
      <xdr:rowOff>190500</xdr:rowOff>
    </xdr:to>
    <xdr:sp macro="" textlink="">
      <xdr:nvSpPr>
        <xdr:cNvPr id="6" name="Text Box 11"/>
        <xdr:cNvSpPr txBox="1">
          <a:spLocks noChangeArrowheads="1"/>
        </xdr:cNvSpPr>
      </xdr:nvSpPr>
      <xdr:spPr bwMode="auto">
        <a:xfrm>
          <a:off x="3033594" y="9486900"/>
          <a:ext cx="1143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 Narrow"/>
            </a:rPr>
            <a:t>y</a:t>
          </a:r>
        </a:p>
      </xdr:txBody>
    </xdr:sp>
    <xdr:clientData/>
  </xdr:twoCellAnchor>
  <xdr:twoCellAnchor>
    <xdr:from>
      <xdr:col>5</xdr:col>
      <xdr:colOff>228600</xdr:colOff>
      <xdr:row>6</xdr:row>
      <xdr:rowOff>47625</xdr:rowOff>
    </xdr:from>
    <xdr:to>
      <xdr:col>5</xdr:col>
      <xdr:colOff>523875</xdr:colOff>
      <xdr:row>6</xdr:row>
      <xdr:rowOff>266700</xdr:rowOff>
    </xdr:to>
    <xdr:sp macro="" textlink="">
      <xdr:nvSpPr>
        <xdr:cNvPr id="7" name="15 Rectángulo redondeado"/>
        <xdr:cNvSpPr>
          <a:spLocks noChangeArrowheads="1"/>
        </xdr:cNvSpPr>
      </xdr:nvSpPr>
      <xdr:spPr bwMode="auto">
        <a:xfrm>
          <a:off x="3667125" y="1104900"/>
          <a:ext cx="295275" cy="219075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280869</xdr:colOff>
      <xdr:row>47</xdr:row>
      <xdr:rowOff>28575</xdr:rowOff>
    </xdr:from>
    <xdr:to>
      <xdr:col>4</xdr:col>
      <xdr:colOff>395169</xdr:colOff>
      <xdr:row>47</xdr:row>
      <xdr:rowOff>190500</xdr:rowOff>
    </xdr:to>
    <xdr:sp macro="" textlink="">
      <xdr:nvSpPr>
        <xdr:cNvPr id="8" name="Text Box 11"/>
        <xdr:cNvSpPr txBox="1">
          <a:spLocks noChangeArrowheads="1"/>
        </xdr:cNvSpPr>
      </xdr:nvSpPr>
      <xdr:spPr bwMode="auto">
        <a:xfrm>
          <a:off x="3033594" y="9296400"/>
          <a:ext cx="1143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 Narrow"/>
            </a:rPr>
            <a:t>y</a:t>
          </a:r>
        </a:p>
      </xdr:txBody>
    </xdr:sp>
    <xdr:clientData/>
  </xdr:twoCellAnchor>
  <xdr:twoCellAnchor>
    <xdr:from>
      <xdr:col>8</xdr:col>
      <xdr:colOff>152400</xdr:colOff>
      <xdr:row>6</xdr:row>
      <xdr:rowOff>57150</xdr:rowOff>
    </xdr:from>
    <xdr:to>
      <xdr:col>8</xdr:col>
      <xdr:colOff>438150</xdr:colOff>
      <xdr:row>6</xdr:row>
      <xdr:rowOff>276225</xdr:rowOff>
    </xdr:to>
    <xdr:sp macro="" textlink="">
      <xdr:nvSpPr>
        <xdr:cNvPr id="9" name="19 Rectángulo redondeado"/>
        <xdr:cNvSpPr>
          <a:spLocks noChangeArrowheads="1"/>
        </xdr:cNvSpPr>
      </xdr:nvSpPr>
      <xdr:spPr bwMode="auto">
        <a:xfrm>
          <a:off x="5819775" y="1114425"/>
          <a:ext cx="285750" cy="219075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0</xdr:row>
      <xdr:rowOff>104775</xdr:rowOff>
    </xdr:from>
    <xdr:to>
      <xdr:col>9</xdr:col>
      <xdr:colOff>238125</xdr:colOff>
      <xdr:row>4</xdr:row>
      <xdr:rowOff>28575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7625" y="104775"/>
          <a:ext cx="6699250" cy="996950"/>
          <a:chOff x="0" y="0"/>
          <a:chExt cx="6410325" cy="1000486"/>
        </a:xfrm>
      </xdr:grpSpPr>
      <xdr:sp macro="" textlink="">
        <xdr:nvSpPr>
          <xdr:cNvPr id="18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0" y="36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endParaRPr lang="es-CO"/>
          </a:p>
        </xdr:txBody>
      </xdr:sp>
      <xdr:sp macro="" textlink="">
        <xdr:nvSpPr>
          <xdr:cNvPr id="20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181099" y="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GESTIÓN ADMINISTRATIVA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1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181101" y="50518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EVALUACIÓN DE</a:t>
            </a:r>
            <a:r>
              <a:rPr lang="es-ES" sz="1100" b="1" baseline="0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 PROVEEDORES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pic>
        <xdr:nvPicPr>
          <xdr:cNvPr id="22" name="Imagen 21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152400" y="2893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23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876800" y="35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_tradnl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Código: FO-GA-003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4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876800" y="33373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_tradnl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Versión: 06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5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876800" y="66710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_tradnl" sz="10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Fecha: Marzo 2023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9525</xdr:colOff>
      <xdr:row>32</xdr:row>
      <xdr:rowOff>171450</xdr:rowOff>
    </xdr:from>
    <xdr:to>
      <xdr:col>9</xdr:col>
      <xdr:colOff>200025</xdr:colOff>
      <xdr:row>36</xdr:row>
      <xdr:rowOff>142875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525" y="8591550"/>
          <a:ext cx="6699250" cy="987425"/>
          <a:chOff x="0" y="0"/>
          <a:chExt cx="6410325" cy="1000486"/>
        </a:xfrm>
      </xdr:grpSpPr>
      <xdr:sp macro="" textlink="">
        <xdr:nvSpPr>
          <xdr:cNvPr id="26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0" y="36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endParaRPr lang="es-CO"/>
          </a:p>
        </xdr:txBody>
      </xdr:sp>
      <xdr:sp macro="" textlink="">
        <xdr:nvSpPr>
          <xdr:cNvPr id="27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181099" y="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GESTIÓN ADMINISTRATIVA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8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181101" y="50518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EVALUACIÓN DE</a:t>
            </a:r>
            <a:r>
              <a:rPr lang="es-ES" sz="1100" b="1" baseline="0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 PROVEEDORES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pic>
        <xdr:nvPicPr>
          <xdr:cNvPr id="29" name="Imagen 28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152400" y="2893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30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876800" y="35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_tradnl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Código: FO-GA-003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31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876800" y="33373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_tradnl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Versión: 06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32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876800" y="66710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_tradnl" sz="10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Fecha: Marzo 2023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</xdr:col>
      <xdr:colOff>280869</xdr:colOff>
      <xdr:row>49</xdr:row>
      <xdr:rowOff>28575</xdr:rowOff>
    </xdr:from>
    <xdr:to>
      <xdr:col>4</xdr:col>
      <xdr:colOff>395169</xdr:colOff>
      <xdr:row>49</xdr:row>
      <xdr:rowOff>190500</xdr:rowOff>
    </xdr:to>
    <xdr:sp macro="" textlink="">
      <xdr:nvSpPr>
        <xdr:cNvPr id="33" name="Text Box 11"/>
        <xdr:cNvSpPr txBox="1">
          <a:spLocks noChangeArrowheads="1"/>
        </xdr:cNvSpPr>
      </xdr:nvSpPr>
      <xdr:spPr bwMode="auto">
        <a:xfrm>
          <a:off x="2960569" y="11884025"/>
          <a:ext cx="1143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 Narrow"/>
            </a:rPr>
            <a:t>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showGridLines="0" tabSelected="1" topLeftCell="A25" workbookViewId="0">
      <selection activeCell="M50" sqref="M50"/>
    </sheetView>
  </sheetViews>
  <sheetFormatPr baseColWidth="10" defaultRowHeight="14.5" x14ac:dyDescent="0.35"/>
  <cols>
    <col min="1" max="1" width="3.26953125" customWidth="1"/>
    <col min="4" max="4" width="13.26953125" customWidth="1"/>
    <col min="8" max="8" width="9.54296875" customWidth="1"/>
    <col min="9" max="9" width="12.54296875" customWidth="1"/>
  </cols>
  <sheetData>
    <row r="1" spans="1:9" ht="9.75" customHeight="1" x14ac:dyDescent="0.35">
      <c r="A1" s="125"/>
      <c r="B1" s="126"/>
      <c r="C1" s="126"/>
      <c r="D1" s="126"/>
      <c r="E1" s="126"/>
      <c r="F1" s="126"/>
      <c r="G1" s="126"/>
      <c r="H1" s="126"/>
      <c r="I1" s="126"/>
    </row>
    <row r="2" spans="1:9" ht="27" customHeight="1" x14ac:dyDescent="0.35">
      <c r="A2" s="125"/>
      <c r="B2" s="111"/>
      <c r="C2" s="111"/>
      <c r="D2" s="108"/>
      <c r="E2" s="108"/>
      <c r="F2" s="108"/>
      <c r="G2" s="108"/>
      <c r="H2" s="108"/>
      <c r="I2" s="108"/>
    </row>
    <row r="3" spans="1:9" ht="24" customHeight="1" x14ac:dyDescent="0.35">
      <c r="A3" s="125"/>
      <c r="B3" s="111"/>
      <c r="C3" s="111"/>
      <c r="D3" s="108"/>
      <c r="E3" s="108"/>
      <c r="F3" s="108"/>
      <c r="G3" s="108"/>
      <c r="H3" s="108"/>
      <c r="I3" s="108"/>
    </row>
    <row r="4" spans="1:9" ht="24" customHeight="1" x14ac:dyDescent="0.35">
      <c r="A4" s="125"/>
      <c r="B4" s="111"/>
      <c r="C4" s="111"/>
      <c r="D4" s="108"/>
      <c r="E4" s="108"/>
      <c r="F4" s="108"/>
      <c r="G4" s="108"/>
      <c r="H4" s="108"/>
      <c r="I4" s="108"/>
    </row>
    <row r="5" spans="1:9" ht="9" customHeight="1" x14ac:dyDescent="0.35">
      <c r="A5" s="125"/>
      <c r="B5" s="127"/>
      <c r="C5" s="127"/>
      <c r="D5" s="127"/>
      <c r="E5" s="127"/>
      <c r="F5" s="127"/>
      <c r="G5" s="127"/>
      <c r="H5" s="127"/>
      <c r="I5" s="127"/>
    </row>
    <row r="6" spans="1:9" ht="30.75" customHeight="1" x14ac:dyDescent="0.35">
      <c r="A6" s="125"/>
      <c r="B6" s="119" t="s">
        <v>64</v>
      </c>
      <c r="C6" s="120"/>
      <c r="D6" s="121"/>
      <c r="E6" s="121"/>
      <c r="F6" s="121"/>
      <c r="G6" s="121"/>
      <c r="H6" s="121"/>
      <c r="I6" s="122"/>
    </row>
    <row r="7" spans="1:9" x14ac:dyDescent="0.35">
      <c r="A7" s="125"/>
      <c r="B7" s="1"/>
      <c r="C7" s="2"/>
      <c r="D7" s="2"/>
      <c r="E7" s="2" t="s">
        <v>0</v>
      </c>
      <c r="F7" s="1"/>
      <c r="G7" s="1"/>
      <c r="H7" s="3" t="s">
        <v>1</v>
      </c>
      <c r="I7" s="1"/>
    </row>
    <row r="8" spans="1:9" x14ac:dyDescent="0.35">
      <c r="A8" s="125"/>
      <c r="B8" s="1"/>
      <c r="C8" s="2"/>
      <c r="D8" s="2"/>
      <c r="E8" s="2"/>
      <c r="F8" s="1"/>
      <c r="G8" s="1"/>
      <c r="H8" s="3"/>
      <c r="I8" s="1"/>
    </row>
    <row r="9" spans="1:9" x14ac:dyDescent="0.35">
      <c r="A9" s="125"/>
      <c r="B9" s="62" t="s">
        <v>2</v>
      </c>
      <c r="C9" s="63"/>
      <c r="D9" s="63"/>
      <c r="E9" s="63"/>
      <c r="F9" s="63"/>
      <c r="G9" s="63"/>
      <c r="H9" s="63"/>
      <c r="I9" s="64"/>
    </row>
    <row r="10" spans="1:9" x14ac:dyDescent="0.35">
      <c r="A10" s="125"/>
      <c r="B10" s="4" t="s">
        <v>3</v>
      </c>
      <c r="C10" s="65"/>
      <c r="D10" s="65"/>
      <c r="E10" s="65"/>
      <c r="F10" s="65"/>
      <c r="G10" s="65"/>
      <c r="H10" s="65"/>
      <c r="I10" s="66"/>
    </row>
    <row r="11" spans="1:9" x14ac:dyDescent="0.35">
      <c r="A11" s="125"/>
      <c r="B11" s="4" t="s">
        <v>4</v>
      </c>
      <c r="C11" s="5"/>
      <c r="D11" s="6"/>
      <c r="E11" s="67"/>
      <c r="F11" s="67"/>
      <c r="G11" s="67"/>
      <c r="H11" s="67"/>
      <c r="I11" s="68"/>
    </row>
    <row r="12" spans="1:9" x14ac:dyDescent="0.35">
      <c r="A12" s="125"/>
      <c r="B12" s="2"/>
      <c r="C12" s="7"/>
      <c r="D12" s="8"/>
      <c r="E12" s="7"/>
      <c r="F12" s="7"/>
      <c r="G12" s="7"/>
      <c r="H12" s="7"/>
      <c r="I12" s="7"/>
    </row>
    <row r="13" spans="1:9" x14ac:dyDescent="0.35">
      <c r="A13" s="125"/>
      <c r="B13" s="62" t="s">
        <v>5</v>
      </c>
      <c r="C13" s="63"/>
      <c r="D13" s="63"/>
      <c r="E13" s="63"/>
      <c r="F13" s="63"/>
      <c r="G13" s="63"/>
      <c r="H13" s="63"/>
      <c r="I13" s="64"/>
    </row>
    <row r="14" spans="1:9" x14ac:dyDescent="0.35">
      <c r="A14" s="125"/>
      <c r="B14" s="56" t="s">
        <v>6</v>
      </c>
      <c r="C14" s="57"/>
      <c r="D14" s="9" t="s">
        <v>7</v>
      </c>
      <c r="E14" s="7"/>
      <c r="F14" s="9" t="s">
        <v>8</v>
      </c>
      <c r="G14" s="10"/>
      <c r="H14" s="57" t="s">
        <v>9</v>
      </c>
      <c r="I14" s="112"/>
    </row>
    <row r="15" spans="1:9" x14ac:dyDescent="0.35">
      <c r="A15" s="125"/>
      <c r="B15" s="58"/>
      <c r="C15" s="59"/>
      <c r="D15" s="11" t="s">
        <v>10</v>
      </c>
      <c r="E15" s="12"/>
      <c r="F15" s="11" t="s">
        <v>10</v>
      </c>
      <c r="G15" s="12"/>
      <c r="H15" s="113" t="s">
        <v>11</v>
      </c>
      <c r="I15" s="114"/>
    </row>
    <row r="16" spans="1:9" x14ac:dyDescent="0.35">
      <c r="A16" s="125"/>
      <c r="B16" s="60" t="s">
        <v>12</v>
      </c>
      <c r="C16" s="60"/>
      <c r="D16" s="60"/>
      <c r="E16" s="13" t="s">
        <v>13</v>
      </c>
      <c r="F16" s="115" t="s">
        <v>14</v>
      </c>
      <c r="G16" s="115"/>
      <c r="H16" s="116"/>
      <c r="I16" s="14" t="s">
        <v>15</v>
      </c>
    </row>
    <row r="17" spans="1:9" ht="25.5" customHeight="1" x14ac:dyDescent="0.35">
      <c r="A17" s="125"/>
      <c r="B17" s="61" t="s">
        <v>16</v>
      </c>
      <c r="C17" s="61"/>
      <c r="D17" s="61"/>
      <c r="E17" s="15">
        <v>5</v>
      </c>
      <c r="F17" s="117"/>
      <c r="G17" s="117"/>
      <c r="H17" s="118"/>
      <c r="I17" s="13" t="s">
        <v>17</v>
      </c>
    </row>
    <row r="18" spans="1:9" ht="27.75" customHeight="1" x14ac:dyDescent="0.35">
      <c r="A18" s="125"/>
      <c r="B18" s="55" t="s">
        <v>18</v>
      </c>
      <c r="C18" s="55"/>
      <c r="D18" s="55"/>
      <c r="E18" s="16">
        <v>4</v>
      </c>
      <c r="F18" s="109" t="s">
        <v>19</v>
      </c>
      <c r="G18" s="109"/>
      <c r="H18" s="109"/>
      <c r="I18" s="17">
        <f>E18/$E$17</f>
        <v>0.8</v>
      </c>
    </row>
    <row r="19" spans="1:9" ht="39.75" customHeight="1" x14ac:dyDescent="0.35">
      <c r="A19" s="125"/>
      <c r="B19" s="55" t="s">
        <v>20</v>
      </c>
      <c r="C19" s="55"/>
      <c r="D19" s="55"/>
      <c r="E19" s="16">
        <v>5</v>
      </c>
      <c r="F19" s="110" t="s">
        <v>21</v>
      </c>
      <c r="G19" s="110"/>
      <c r="H19" s="110"/>
      <c r="I19" s="18">
        <f>E19/$E$17</f>
        <v>1</v>
      </c>
    </row>
    <row r="20" spans="1:9" ht="38.25" customHeight="1" x14ac:dyDescent="0.35">
      <c r="A20" s="125"/>
      <c r="B20" s="55" t="s">
        <v>22</v>
      </c>
      <c r="C20" s="55"/>
      <c r="D20" s="55"/>
      <c r="E20" s="16">
        <v>5</v>
      </c>
      <c r="F20" s="109" t="s">
        <v>23</v>
      </c>
      <c r="G20" s="109"/>
      <c r="H20" s="109"/>
      <c r="I20" s="18">
        <f>E20/$E$17</f>
        <v>1</v>
      </c>
    </row>
    <row r="21" spans="1:9" ht="29.25" customHeight="1" x14ac:dyDescent="0.35">
      <c r="A21" s="125"/>
      <c r="B21" s="55" t="s">
        <v>24</v>
      </c>
      <c r="C21" s="55"/>
      <c r="D21" s="55"/>
      <c r="E21" s="16">
        <v>5</v>
      </c>
      <c r="F21" s="109" t="s">
        <v>25</v>
      </c>
      <c r="G21" s="109"/>
      <c r="H21" s="109"/>
      <c r="I21" s="18">
        <f>E21/$E$17</f>
        <v>1</v>
      </c>
    </row>
    <row r="22" spans="1:9" x14ac:dyDescent="0.35">
      <c r="A22" s="125"/>
      <c r="B22" s="19"/>
      <c r="C22" s="19"/>
      <c r="D22" s="19"/>
      <c r="E22" s="19"/>
      <c r="F22" s="19"/>
      <c r="G22" s="19"/>
      <c r="H22" s="19"/>
      <c r="I22" s="19"/>
    </row>
    <row r="23" spans="1:9" ht="26.5" x14ac:dyDescent="0.35">
      <c r="A23" s="125"/>
      <c r="B23" s="20"/>
      <c r="C23" s="21"/>
      <c r="D23" s="20"/>
      <c r="E23" s="22" t="s">
        <v>26</v>
      </c>
      <c r="F23" s="23" t="s">
        <v>27</v>
      </c>
      <c r="G23" s="24" t="s">
        <v>28</v>
      </c>
      <c r="H23" s="25" t="s">
        <v>29</v>
      </c>
      <c r="I23" s="20"/>
    </row>
    <row r="24" spans="1:9" ht="23" x14ac:dyDescent="0.35">
      <c r="A24" s="125"/>
      <c r="B24" s="20"/>
      <c r="C24" s="21"/>
      <c r="D24" s="20"/>
      <c r="E24" s="26" t="s">
        <v>30</v>
      </c>
      <c r="F24" s="27" t="s">
        <v>31</v>
      </c>
      <c r="G24" s="28" t="s">
        <v>32</v>
      </c>
      <c r="H24" s="29" t="s">
        <v>33</v>
      </c>
      <c r="I24" s="20"/>
    </row>
    <row r="25" spans="1:9" ht="33.75" customHeight="1" x14ac:dyDescent="0.35">
      <c r="A25" s="125"/>
      <c r="B25" s="106" t="s">
        <v>34</v>
      </c>
      <c r="C25" s="107"/>
      <c r="D25" s="54" t="s">
        <v>35</v>
      </c>
      <c r="E25" s="31">
        <v>0</v>
      </c>
      <c r="F25" s="31">
        <v>3</v>
      </c>
      <c r="G25" s="31">
        <v>4</v>
      </c>
      <c r="H25" s="31">
        <v>5</v>
      </c>
      <c r="I25" s="30" t="s">
        <v>36</v>
      </c>
    </row>
    <row r="26" spans="1:9" ht="26.25" customHeight="1" x14ac:dyDescent="0.35">
      <c r="A26" s="125"/>
      <c r="B26" s="91" t="s">
        <v>19</v>
      </c>
      <c r="C26" s="92"/>
      <c r="D26" s="32">
        <f>I18</f>
        <v>0.8</v>
      </c>
      <c r="E26" s="33">
        <f>IF(I18&lt;50%,1,0)</f>
        <v>0</v>
      </c>
      <c r="F26" s="33">
        <f>IF(AND(I18&gt;=50%,I18&lt;70%)=TRUE,1,0)</f>
        <v>0</v>
      </c>
      <c r="G26" s="33">
        <f>IF(AND(I18&gt;=70%,I18&lt;90%)=TRUE,1,0)</f>
        <v>1</v>
      </c>
      <c r="H26" s="33">
        <f>IF(I18&gt;=90%,1,0)</f>
        <v>0</v>
      </c>
      <c r="I26" s="34">
        <f>+(E40/$H$25)*((E26*$E$25)+(F26*$F$25)+(G26*$G$25)+(H26*$H$25))</f>
        <v>4</v>
      </c>
    </row>
    <row r="27" spans="1:9" ht="21.75" customHeight="1" x14ac:dyDescent="0.35">
      <c r="A27" s="125"/>
      <c r="B27" s="91" t="s">
        <v>37</v>
      </c>
      <c r="C27" s="92"/>
      <c r="D27" s="35">
        <f>I19</f>
        <v>1</v>
      </c>
      <c r="E27" s="33">
        <f>IF(I19&lt;50%,1,0)</f>
        <v>0</v>
      </c>
      <c r="F27" s="33">
        <f>IF(AND(I19&gt;=50%,I19&lt;70%)=TRUE,1,0)</f>
        <v>0</v>
      </c>
      <c r="G27" s="33">
        <f>IF(AND(I19&gt;=70%,I19&lt;90%)=TRUE,1,0)</f>
        <v>0</v>
      </c>
      <c r="H27" s="33">
        <f>IF(I19&gt;=90%,1,0)</f>
        <v>1</v>
      </c>
      <c r="I27" s="36">
        <f>+(E41/$H$25)*((E27*$E$25)+(F27*$F$25)+(G27*$G$25)+(H27*$H$25))</f>
        <v>5</v>
      </c>
    </row>
    <row r="28" spans="1:9" ht="18.75" customHeight="1" x14ac:dyDescent="0.35">
      <c r="A28" s="125"/>
      <c r="B28" s="91" t="s">
        <v>38</v>
      </c>
      <c r="C28" s="92"/>
      <c r="D28" s="35">
        <f>I20</f>
        <v>1</v>
      </c>
      <c r="E28" s="33">
        <f>IF(I20&lt;50%,1,0)</f>
        <v>0</v>
      </c>
      <c r="F28" s="33">
        <f>IF(AND(I20&gt;=50%,I20&lt;70%)=TRUE,1,0)</f>
        <v>0</v>
      </c>
      <c r="G28" s="33">
        <f>IF(AND(I20&gt;=70%,I20&lt;90%)=TRUE,1,0)</f>
        <v>0</v>
      </c>
      <c r="H28" s="33">
        <f>IF(I20&gt;=90%,1,0)</f>
        <v>1</v>
      </c>
      <c r="I28" s="36">
        <f>+(E42/$H$25)*((E28*$E$25)+(F28*$F$25)+(G28*$G$25)+(H28*$H$25))</f>
        <v>5</v>
      </c>
    </row>
    <row r="29" spans="1:9" ht="25.5" customHeight="1" x14ac:dyDescent="0.35">
      <c r="A29" s="125"/>
      <c r="B29" s="91" t="s">
        <v>39</v>
      </c>
      <c r="C29" s="92"/>
      <c r="D29" s="35">
        <f>I21</f>
        <v>1</v>
      </c>
      <c r="E29" s="33">
        <f>IF(I21&lt;50%,1,0)</f>
        <v>0</v>
      </c>
      <c r="F29" s="33">
        <f>IF(AND(I21&gt;=50%,I21&lt;70%)=TRUE,1,0)</f>
        <v>0</v>
      </c>
      <c r="G29" s="33">
        <f>IF(AND(I21&gt;=70%,I21&lt;90%)=TRUE,1,0)</f>
        <v>0</v>
      </c>
      <c r="H29" s="33">
        <f>IF(I21&gt;=90%,1,0)</f>
        <v>1</v>
      </c>
      <c r="I29" s="36">
        <f>+(E43/$H$25)*((E29*$E$25)+(F29*$F$25)+(G29*$G$25)+(H29*$H$25))</f>
        <v>5</v>
      </c>
    </row>
    <row r="30" spans="1:9" ht="15.5" x14ac:dyDescent="0.35">
      <c r="A30" s="125"/>
      <c r="B30" s="37"/>
      <c r="C30" s="37"/>
      <c r="D30" s="37"/>
      <c r="E30" s="19"/>
      <c r="F30" s="19"/>
      <c r="G30" s="38"/>
      <c r="H30" s="39" t="s">
        <v>40</v>
      </c>
      <c r="I30" s="40">
        <f>SUM(I26:I29)</f>
        <v>19</v>
      </c>
    </row>
    <row r="31" spans="1:9" x14ac:dyDescent="0.35">
      <c r="A31" s="125"/>
      <c r="C31" s="125"/>
      <c r="D31" s="125"/>
      <c r="E31" s="125"/>
      <c r="F31" s="125"/>
      <c r="G31" s="125"/>
      <c r="H31" s="125"/>
      <c r="I31" s="125"/>
    </row>
    <row r="32" spans="1:9" ht="15.5" x14ac:dyDescent="0.35">
      <c r="A32" s="125"/>
      <c r="B32" s="53" t="s">
        <v>66</v>
      </c>
    </row>
    <row r="33" spans="1:9" x14ac:dyDescent="0.35">
      <c r="A33" s="125"/>
      <c r="B33" s="125"/>
      <c r="C33" s="125"/>
      <c r="D33" s="125"/>
      <c r="E33" s="125"/>
      <c r="F33" s="125"/>
      <c r="G33" s="125"/>
      <c r="H33" s="125"/>
      <c r="I33" s="125"/>
    </row>
    <row r="34" spans="1:9" x14ac:dyDescent="0.35">
      <c r="A34" s="125"/>
      <c r="B34" s="126"/>
      <c r="C34" s="126"/>
      <c r="D34" s="126"/>
      <c r="E34" s="126"/>
      <c r="F34" s="126"/>
      <c r="G34" s="126"/>
      <c r="H34" s="126"/>
      <c r="I34" s="126"/>
    </row>
    <row r="35" spans="1:9" ht="27" customHeight="1" x14ac:dyDescent="0.35">
      <c r="A35" s="125"/>
      <c r="B35" s="111"/>
      <c r="C35" s="111"/>
      <c r="D35" s="108"/>
      <c r="E35" s="108"/>
      <c r="F35" s="108"/>
      <c r="G35" s="108"/>
      <c r="H35" s="108"/>
      <c r="I35" s="108"/>
    </row>
    <row r="36" spans="1:9" ht="24" customHeight="1" x14ac:dyDescent="0.35">
      <c r="A36" s="125"/>
      <c r="B36" s="111"/>
      <c r="C36" s="111"/>
      <c r="D36" s="108"/>
      <c r="E36" s="108"/>
      <c r="F36" s="108"/>
      <c r="G36" s="108"/>
      <c r="H36" s="108"/>
      <c r="I36" s="108"/>
    </row>
    <row r="37" spans="1:9" ht="24" customHeight="1" x14ac:dyDescent="0.35">
      <c r="A37" s="125"/>
      <c r="B37" s="111"/>
      <c r="C37" s="111"/>
      <c r="D37" s="108"/>
      <c r="E37" s="108"/>
      <c r="F37" s="108"/>
      <c r="G37" s="108"/>
      <c r="H37" s="108"/>
      <c r="I37" s="108"/>
    </row>
    <row r="38" spans="1:9" x14ac:dyDescent="0.35">
      <c r="A38" s="125"/>
      <c r="B38" s="126"/>
      <c r="C38" s="126"/>
      <c r="D38" s="126"/>
      <c r="E38" s="126"/>
      <c r="F38" s="126"/>
      <c r="G38" s="126"/>
      <c r="H38" s="126"/>
      <c r="I38" s="126"/>
    </row>
    <row r="39" spans="1:9" x14ac:dyDescent="0.35">
      <c r="A39" s="125"/>
      <c r="B39" s="2" t="s">
        <v>41</v>
      </c>
      <c r="C39" s="8"/>
      <c r="D39" s="8"/>
      <c r="E39" s="8"/>
      <c r="F39" s="8"/>
      <c r="G39" s="8"/>
      <c r="H39" s="8"/>
      <c r="I39" s="41"/>
    </row>
    <row r="40" spans="1:9" ht="15.5" x14ac:dyDescent="0.35">
      <c r="A40" s="125"/>
      <c r="B40" s="8" t="s">
        <v>42</v>
      </c>
      <c r="C40" s="8"/>
      <c r="D40" s="42" t="s">
        <v>43</v>
      </c>
      <c r="E40" s="43">
        <v>5</v>
      </c>
      <c r="F40" s="44"/>
      <c r="G40" s="8"/>
      <c r="H40" s="8"/>
      <c r="I40" s="41"/>
    </row>
    <row r="41" spans="1:9" ht="15.5" x14ac:dyDescent="0.35">
      <c r="A41" s="125"/>
      <c r="B41" s="93" t="s">
        <v>44</v>
      </c>
      <c r="C41" s="93"/>
      <c r="D41" s="42" t="s">
        <v>43</v>
      </c>
      <c r="E41" s="43">
        <v>5</v>
      </c>
      <c r="F41" s="44"/>
      <c r="G41" s="8"/>
      <c r="H41" s="8"/>
      <c r="I41" s="41"/>
    </row>
    <row r="42" spans="1:9" ht="15.5" x14ac:dyDescent="0.35">
      <c r="A42" s="125"/>
      <c r="B42" s="93" t="s">
        <v>45</v>
      </c>
      <c r="C42" s="93"/>
      <c r="D42" s="42" t="s">
        <v>43</v>
      </c>
      <c r="E42" s="43">
        <v>5</v>
      </c>
      <c r="F42" s="44"/>
      <c r="G42" s="8"/>
      <c r="H42" s="8"/>
      <c r="I42" s="41"/>
    </row>
    <row r="43" spans="1:9" ht="15.5" x14ac:dyDescent="0.35">
      <c r="A43" s="125"/>
      <c r="B43" s="8" t="s">
        <v>46</v>
      </c>
      <c r="C43" s="8"/>
      <c r="D43" s="42" t="s">
        <v>43</v>
      </c>
      <c r="E43" s="43">
        <v>5</v>
      </c>
      <c r="F43" s="44"/>
      <c r="G43" s="8"/>
      <c r="H43" s="8"/>
      <c r="I43" s="41"/>
    </row>
    <row r="44" spans="1:9" ht="15.5" x14ac:dyDescent="0.35">
      <c r="A44" s="125"/>
      <c r="B44" s="45" t="s">
        <v>47</v>
      </c>
      <c r="C44" s="19"/>
      <c r="D44" s="44"/>
      <c r="E44" s="46">
        <v>20</v>
      </c>
      <c r="F44" s="8"/>
      <c r="G44" s="8"/>
      <c r="H44" s="8"/>
      <c r="I44" s="41"/>
    </row>
    <row r="45" spans="1:9" x14ac:dyDescent="0.35">
      <c r="A45" s="125"/>
      <c r="B45" s="8"/>
      <c r="C45" s="8"/>
      <c r="D45" s="8"/>
      <c r="E45" s="8"/>
      <c r="F45" s="8"/>
      <c r="G45" s="8"/>
      <c r="H45" s="8"/>
      <c r="I45" s="41"/>
    </row>
    <row r="46" spans="1:9" x14ac:dyDescent="0.35">
      <c r="A46" s="125"/>
      <c r="B46" s="47" t="s">
        <v>48</v>
      </c>
      <c r="C46" s="8"/>
      <c r="D46" s="8"/>
      <c r="E46" s="8"/>
      <c r="F46" s="8"/>
      <c r="G46" s="8"/>
      <c r="H46" s="8"/>
      <c r="I46" s="8"/>
    </row>
    <row r="47" spans="1:9" ht="15.5" x14ac:dyDescent="0.35">
      <c r="A47" s="125"/>
      <c r="B47" s="10" t="s">
        <v>49</v>
      </c>
      <c r="C47" s="48"/>
      <c r="D47" s="44"/>
      <c r="E47" s="48">
        <v>10</v>
      </c>
      <c r="F47" s="130" t="s">
        <v>50</v>
      </c>
      <c r="G47" s="130"/>
      <c r="H47" s="44"/>
      <c r="I47" s="8"/>
    </row>
    <row r="48" spans="1:9" ht="15.5" x14ac:dyDescent="0.35">
      <c r="A48" s="125"/>
      <c r="B48" s="10" t="s">
        <v>51</v>
      </c>
      <c r="C48" s="44"/>
      <c r="D48" s="48">
        <v>10.1</v>
      </c>
      <c r="E48" s="48">
        <v>13</v>
      </c>
      <c r="F48" s="128" t="s">
        <v>52</v>
      </c>
      <c r="G48" s="128"/>
      <c r="H48" s="44"/>
      <c r="I48" s="8"/>
    </row>
    <row r="49" spans="1:9" ht="15.5" x14ac:dyDescent="0.35">
      <c r="A49" s="125"/>
      <c r="B49" s="10" t="s">
        <v>51</v>
      </c>
      <c r="C49" s="44"/>
      <c r="D49" s="48">
        <v>13.1</v>
      </c>
      <c r="E49" s="48">
        <v>17</v>
      </c>
      <c r="F49" s="129" t="s">
        <v>53</v>
      </c>
      <c r="G49" s="129"/>
      <c r="H49" s="44"/>
      <c r="I49" s="8"/>
    </row>
    <row r="50" spans="1:9" ht="15.5" x14ac:dyDescent="0.35">
      <c r="A50" s="125"/>
      <c r="B50" s="10" t="s">
        <v>54</v>
      </c>
      <c r="C50" s="48"/>
      <c r="D50" s="48">
        <v>17.100000000000001</v>
      </c>
      <c r="E50" s="48">
        <v>20</v>
      </c>
      <c r="F50" s="131" t="s">
        <v>55</v>
      </c>
      <c r="G50" s="131"/>
      <c r="H50" s="44"/>
      <c r="I50" s="8"/>
    </row>
    <row r="51" spans="1:9" ht="15.5" x14ac:dyDescent="0.35">
      <c r="A51" s="125"/>
      <c r="B51" s="10"/>
      <c r="C51" s="48"/>
      <c r="D51" s="44"/>
      <c r="E51" s="48"/>
      <c r="F51" s="47"/>
      <c r="G51" s="44"/>
      <c r="H51" s="44"/>
      <c r="I51" s="8"/>
    </row>
    <row r="52" spans="1:9" ht="15" thickBot="1" x14ac:dyDescent="0.4">
      <c r="A52" s="125"/>
      <c r="B52" s="94" t="s">
        <v>56</v>
      </c>
      <c r="C52" s="95"/>
      <c r="D52" s="95"/>
      <c r="E52" s="96"/>
      <c r="F52" s="103">
        <f>+I30</f>
        <v>19</v>
      </c>
      <c r="G52" s="85" t="s">
        <v>57</v>
      </c>
      <c r="H52" s="85"/>
      <c r="I52" s="86"/>
    </row>
    <row r="53" spans="1:9" x14ac:dyDescent="0.35">
      <c r="A53" s="125"/>
      <c r="B53" s="97"/>
      <c r="C53" s="98"/>
      <c r="D53" s="98"/>
      <c r="E53" s="99"/>
      <c r="F53" s="104"/>
      <c r="G53" s="87" t="str">
        <f>+IF(F52&lt;=E47,F47,IF(AND(F52&gt;=D48,F52&lt;=E48)=TRUE,F48,IF(AND(F52&gt;=D49,F52&lt;=E49)=TRUE,F49,IF(F52&gt;=D50,F50,F50))))</f>
        <v>MUY CONFIABLE</v>
      </c>
      <c r="H53" s="87"/>
      <c r="I53" s="88"/>
    </row>
    <row r="54" spans="1:9" x14ac:dyDescent="0.35">
      <c r="A54" s="125"/>
      <c r="B54" s="100"/>
      <c r="C54" s="101"/>
      <c r="D54" s="101"/>
      <c r="E54" s="102"/>
      <c r="F54" s="105"/>
      <c r="G54" s="89"/>
      <c r="H54" s="89"/>
      <c r="I54" s="90"/>
    </row>
    <row r="55" spans="1:9" ht="9" customHeight="1" x14ac:dyDescent="0.35">
      <c r="A55" s="125"/>
      <c r="B55" s="49"/>
      <c r="C55" s="49"/>
      <c r="D55" s="49"/>
      <c r="E55" s="49"/>
      <c r="F55" s="9"/>
      <c r="G55" s="50"/>
      <c r="H55" s="50"/>
      <c r="I55" s="50"/>
    </row>
    <row r="56" spans="1:9" ht="5.25" customHeight="1" x14ac:dyDescent="0.35">
      <c r="A56" s="125"/>
      <c r="B56" s="49"/>
      <c r="C56" s="49"/>
      <c r="D56" s="49"/>
      <c r="E56" s="49"/>
      <c r="F56" s="9"/>
      <c r="G56" s="50"/>
      <c r="H56" s="50"/>
      <c r="I56" s="50"/>
    </row>
    <row r="57" spans="1:9" ht="60.75" customHeight="1" x14ac:dyDescent="0.35">
      <c r="A57" s="125"/>
      <c r="B57" s="123" t="s">
        <v>67</v>
      </c>
      <c r="C57" s="124"/>
      <c r="D57" s="73"/>
      <c r="E57" s="74"/>
      <c r="F57" s="74"/>
      <c r="G57" s="74"/>
      <c r="H57" s="74"/>
      <c r="I57" s="75"/>
    </row>
    <row r="58" spans="1:9" ht="40.5" customHeight="1" x14ac:dyDescent="0.35">
      <c r="A58" s="125"/>
      <c r="B58" s="123" t="s">
        <v>58</v>
      </c>
      <c r="C58" s="124"/>
      <c r="D58" s="73"/>
      <c r="E58" s="74"/>
      <c r="F58" s="74"/>
      <c r="G58" s="74"/>
      <c r="H58" s="74"/>
      <c r="I58" s="75"/>
    </row>
    <row r="59" spans="1:9" ht="53.25" customHeight="1" x14ac:dyDescent="0.35">
      <c r="A59" s="125"/>
      <c r="B59" s="123" t="s">
        <v>59</v>
      </c>
      <c r="C59" s="124"/>
      <c r="D59" s="73"/>
      <c r="E59" s="74"/>
      <c r="F59" s="74"/>
      <c r="G59" s="74"/>
      <c r="H59" s="74"/>
      <c r="I59" s="75"/>
    </row>
    <row r="60" spans="1:9" ht="45" customHeight="1" x14ac:dyDescent="0.35">
      <c r="A60" s="125"/>
      <c r="B60" s="123" t="s">
        <v>60</v>
      </c>
      <c r="C60" s="124"/>
      <c r="D60" s="76"/>
      <c r="E60" s="77"/>
      <c r="F60" s="77"/>
      <c r="G60" s="77"/>
      <c r="H60" s="77"/>
      <c r="I60" s="78"/>
    </row>
    <row r="61" spans="1:9" ht="15.5" x14ac:dyDescent="0.35">
      <c r="A61" s="125"/>
      <c r="B61" s="37"/>
      <c r="C61" s="37"/>
      <c r="D61" s="37"/>
      <c r="E61" s="37"/>
      <c r="F61" s="37"/>
      <c r="G61" s="37"/>
      <c r="H61" s="37"/>
      <c r="I61" s="37"/>
    </row>
    <row r="62" spans="1:9" ht="15.5" x14ac:dyDescent="0.35">
      <c r="A62" s="125"/>
      <c r="B62" s="37"/>
      <c r="C62" s="37"/>
      <c r="D62" s="37"/>
      <c r="E62" s="37"/>
      <c r="F62" s="79" t="s">
        <v>61</v>
      </c>
      <c r="G62" s="80"/>
      <c r="H62" s="80"/>
      <c r="I62" s="81"/>
    </row>
    <row r="63" spans="1:9" ht="15.5" x14ac:dyDescent="0.35">
      <c r="A63" s="125"/>
      <c r="B63" s="37"/>
      <c r="C63" s="37"/>
      <c r="D63" s="37"/>
      <c r="E63" s="37"/>
      <c r="F63" s="82" t="s">
        <v>62</v>
      </c>
      <c r="G63" s="83"/>
      <c r="H63" s="83"/>
      <c r="I63" s="84"/>
    </row>
    <row r="64" spans="1:9" ht="15.5" x14ac:dyDescent="0.35">
      <c r="A64" s="125"/>
      <c r="B64" s="37"/>
      <c r="C64" s="37"/>
      <c r="D64" s="37"/>
      <c r="E64" s="37"/>
      <c r="F64" s="82"/>
      <c r="G64" s="83"/>
      <c r="H64" s="83"/>
      <c r="I64" s="84"/>
    </row>
    <row r="65" spans="1:9" x14ac:dyDescent="0.35">
      <c r="A65" s="125"/>
      <c r="B65" s="20"/>
      <c r="C65" s="20"/>
      <c r="D65" s="20"/>
      <c r="E65" s="20"/>
      <c r="F65" s="82"/>
      <c r="G65" s="83"/>
      <c r="H65" s="83"/>
      <c r="I65" s="84"/>
    </row>
    <row r="66" spans="1:9" x14ac:dyDescent="0.35">
      <c r="A66" s="125"/>
      <c r="B66" s="20"/>
      <c r="C66" s="20"/>
      <c r="D66" s="20"/>
      <c r="E66" s="20"/>
      <c r="F66" s="51" t="s">
        <v>3</v>
      </c>
      <c r="G66" s="69"/>
      <c r="H66" s="69"/>
      <c r="I66" s="70"/>
    </row>
    <row r="67" spans="1:9" x14ac:dyDescent="0.35">
      <c r="A67" s="125"/>
      <c r="B67" s="20"/>
      <c r="C67" s="20"/>
      <c r="D67" s="20"/>
      <c r="E67" s="20"/>
      <c r="F67" s="52" t="s">
        <v>63</v>
      </c>
      <c r="G67" s="71" t="s">
        <v>68</v>
      </c>
      <c r="H67" s="71"/>
      <c r="I67" s="72"/>
    </row>
    <row r="68" spans="1:9" x14ac:dyDescent="0.35">
      <c r="A68" s="125"/>
      <c r="B68" s="20"/>
      <c r="C68" s="20"/>
      <c r="D68" s="20"/>
      <c r="E68" s="20"/>
      <c r="F68" s="20"/>
      <c r="G68" s="20"/>
      <c r="H68" s="20"/>
      <c r="I68" s="20"/>
    </row>
    <row r="69" spans="1:9" x14ac:dyDescent="0.35">
      <c r="A69" s="125"/>
    </row>
    <row r="70" spans="1:9" ht="15.5" x14ac:dyDescent="0.35">
      <c r="A70" s="125"/>
      <c r="B70" s="53" t="s">
        <v>65</v>
      </c>
    </row>
  </sheetData>
  <protectedRanges>
    <protectedRange sqref="D15:I15" name="Rango6"/>
    <protectedRange sqref="E11" name="Rango2"/>
    <protectedRange sqref="C10" name="Rango1"/>
    <protectedRange sqref="B6:I7" name="Rango3"/>
    <protectedRange sqref="E17:E21" name="Rango4"/>
    <protectedRange sqref="B57:I68" name="Rango5"/>
  </protectedRanges>
  <mergeCells count="65">
    <mergeCell ref="A1:A70"/>
    <mergeCell ref="B1:I1"/>
    <mergeCell ref="B5:I5"/>
    <mergeCell ref="H3:I3"/>
    <mergeCell ref="B35:C37"/>
    <mergeCell ref="D35:G35"/>
    <mergeCell ref="H35:I35"/>
    <mergeCell ref="D36:G37"/>
    <mergeCell ref="H36:I36"/>
    <mergeCell ref="H37:I37"/>
    <mergeCell ref="B38:I38"/>
    <mergeCell ref="B33:I34"/>
    <mergeCell ref="C31:I31"/>
    <mergeCell ref="D3:G4"/>
    <mergeCell ref="B60:C60"/>
    <mergeCell ref="B59:C59"/>
    <mergeCell ref="B58:C58"/>
    <mergeCell ref="B57:C57"/>
    <mergeCell ref="B28:C28"/>
    <mergeCell ref="B27:C27"/>
    <mergeCell ref="B26:C26"/>
    <mergeCell ref="B25:C25"/>
    <mergeCell ref="D2:G2"/>
    <mergeCell ref="H2:I2"/>
    <mergeCell ref="H4:I4"/>
    <mergeCell ref="F21:H21"/>
    <mergeCell ref="F18:H18"/>
    <mergeCell ref="F19:H19"/>
    <mergeCell ref="F20:H20"/>
    <mergeCell ref="B13:I13"/>
    <mergeCell ref="B2:C4"/>
    <mergeCell ref="B21:D21"/>
    <mergeCell ref="H14:I14"/>
    <mergeCell ref="H15:I15"/>
    <mergeCell ref="F16:H17"/>
    <mergeCell ref="B6:C6"/>
    <mergeCell ref="D6:I6"/>
    <mergeCell ref="G52:I52"/>
    <mergeCell ref="G53:I54"/>
    <mergeCell ref="B29:C29"/>
    <mergeCell ref="B41:C41"/>
    <mergeCell ref="B42:C42"/>
    <mergeCell ref="B52:E54"/>
    <mergeCell ref="F52:F54"/>
    <mergeCell ref="F47:G47"/>
    <mergeCell ref="F48:G48"/>
    <mergeCell ref="F49:G49"/>
    <mergeCell ref="F50:G50"/>
    <mergeCell ref="G66:I66"/>
    <mergeCell ref="G67:I67"/>
    <mergeCell ref="D57:I57"/>
    <mergeCell ref="D58:I58"/>
    <mergeCell ref="D59:I59"/>
    <mergeCell ref="D60:I60"/>
    <mergeCell ref="F62:I62"/>
    <mergeCell ref="F63:I65"/>
    <mergeCell ref="B20:D20"/>
    <mergeCell ref="B14:C15"/>
    <mergeCell ref="B16:D16"/>
    <mergeCell ref="B17:D17"/>
    <mergeCell ref="B9:I9"/>
    <mergeCell ref="C10:I10"/>
    <mergeCell ref="E11:I11"/>
    <mergeCell ref="B18:D18"/>
    <mergeCell ref="B19:D19"/>
  </mergeCells>
  <conditionalFormatting sqref="G53">
    <cfRule type="cellIs" dxfId="35" priority="16" stopIfTrue="1" operator="equal">
      <formula>"CATEGORIA 1"</formula>
    </cfRule>
    <cfRule type="cellIs" dxfId="34" priority="17" stopIfTrue="1" operator="equal">
      <formula>"CATEGORIA 2"</formula>
    </cfRule>
    <cfRule type="cellIs" dxfId="33" priority="18" stopIfTrue="1" operator="equal">
      <formula>"CATEGORIA 3"</formula>
    </cfRule>
  </conditionalFormatting>
  <conditionalFormatting sqref="F52:F54">
    <cfRule type="cellIs" dxfId="32" priority="13" stopIfTrue="1" operator="lessThan">
      <formula>11</formula>
    </cfRule>
    <cfRule type="cellIs" dxfId="31" priority="14" stopIfTrue="1" operator="between">
      <formula>10.1</formula>
      <formula>13</formula>
    </cfRule>
    <cfRule type="cellIs" dxfId="30" priority="15" stopIfTrue="1" operator="greaterThanOrEqual">
      <formula>17.1</formula>
    </cfRule>
    <cfRule type="cellIs" dxfId="29" priority="5" operator="between">
      <formula>13.1</formula>
      <formula>17</formula>
    </cfRule>
  </conditionalFormatting>
  <conditionalFormatting sqref="D26:D29">
    <cfRule type="cellIs" dxfId="28" priority="10" stopIfTrue="1" operator="equal">
      <formula>"ACEPTABLE"</formula>
    </cfRule>
    <cfRule type="cellIs" dxfId="27" priority="11" stopIfTrue="1" operator="equal">
      <formula>"BUENO"</formula>
    </cfRule>
    <cfRule type="cellIs" dxfId="26" priority="12" stopIfTrue="1" operator="equal">
      <formula>"INSATISFACTORIO"</formula>
    </cfRule>
  </conditionalFormatting>
  <conditionalFormatting sqref="E26:E29">
    <cfRule type="cellIs" dxfId="25" priority="9" stopIfTrue="1" operator="equal">
      <formula>1</formula>
    </cfRule>
  </conditionalFormatting>
  <conditionalFormatting sqref="F26:F29">
    <cfRule type="cellIs" dxfId="24" priority="8" stopIfTrue="1" operator="equal">
      <formula>1</formula>
    </cfRule>
  </conditionalFormatting>
  <conditionalFormatting sqref="G26:G29">
    <cfRule type="cellIs" dxfId="23" priority="7" stopIfTrue="1" operator="equal">
      <formula>1</formula>
    </cfRule>
  </conditionalFormatting>
  <conditionalFormatting sqref="H26:H29">
    <cfRule type="cellIs" dxfId="22" priority="6" stopIfTrue="1" operator="equal">
      <formula>1</formula>
    </cfRule>
  </conditionalFormatting>
  <conditionalFormatting sqref="G53:I54">
    <cfRule type="containsText" dxfId="21" priority="4" operator="containsText" text="NO CONFIABLE">
      <formula>NOT(ISERROR(SEARCH("NO CONFIABLE",G53)))</formula>
    </cfRule>
    <cfRule type="containsText" dxfId="20" priority="3" operator="containsText" text="ACEPTABLE">
      <formula>NOT(ISERROR(SEARCH("ACEPTABLE",G53)))</formula>
    </cfRule>
    <cfRule type="cellIs" dxfId="19" priority="2" operator="equal">
      <formula>"CONFIABLE"</formula>
    </cfRule>
    <cfRule type="containsText" dxfId="18" priority="1" operator="containsText" text="MUY CONFIABLE">
      <formula>NOT(ISERROR(SEARCH("MUY CONFIABLE",G53)))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FO-GA-003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COORDINACION CALIDAD</cp:lastModifiedBy>
  <cp:lastPrinted>2023-03-16T21:39:00Z</cp:lastPrinted>
  <dcterms:created xsi:type="dcterms:W3CDTF">2015-10-22T22:35:48Z</dcterms:created>
  <dcterms:modified xsi:type="dcterms:W3CDTF">2023-07-26T15:16:40Z</dcterms:modified>
</cp:coreProperties>
</file>