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8_{5A2E39B2-12A0-4866-9DFB-86B7DF7EC878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FO-GA-005" sheetId="1" r:id="rId1"/>
    <sheet name="Hoja1" sheetId="3" state="hidden" r:id="rId2"/>
    <sheet name="Hoja2" sheetId="2" state="hidden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2" l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COORDINACION CALIDAD</author>
  </authors>
  <commentList>
    <comment ref="D3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COORDINACION CALIDAD:</t>
        </r>
        <r>
          <rPr>
            <sz val="9"/>
            <color indexed="81"/>
            <rFont val="Tahoma"/>
            <family val="2"/>
          </rPr>
          <t xml:space="preserve">
Incluir actividades de Gestión Logística y de Compras</t>
        </r>
      </text>
    </comment>
  </commentList>
</comments>
</file>

<file path=xl/sharedStrings.xml><?xml version="1.0" encoding="utf-8"?>
<sst xmlns="http://schemas.openxmlformats.org/spreadsheetml/2006/main" count="407" uniqueCount="339">
  <si>
    <t>PROCESO</t>
  </si>
  <si>
    <t>NOMBRE DEL PROVEEDOR</t>
  </si>
  <si>
    <t>NIT</t>
  </si>
  <si>
    <t>TELEFONO</t>
  </si>
  <si>
    <t>NOMBRE DE CONTACTO</t>
  </si>
  <si>
    <t>QUÉ SE LE COMPRA?</t>
  </si>
  <si>
    <t>9.2. Gestión Administrativa</t>
  </si>
  <si>
    <t>BOLAÑOS Y BAHAMON SAS</t>
  </si>
  <si>
    <t>8 0 0. 1 8 8 .3 6 9-1</t>
  </si>
  <si>
    <t>Victor Gabriel</t>
  </si>
  <si>
    <t>elementos de aseo y cafeteria</t>
  </si>
  <si>
    <t>FERRETERIA CONSTRU YA LA 17</t>
  </si>
  <si>
    <t>34.536.985-4</t>
  </si>
  <si>
    <t>Elsa Bolaños</t>
  </si>
  <si>
    <t xml:space="preserve">elementos de ferreteria </t>
  </si>
  <si>
    <t>LA NOTA MUSICAL</t>
  </si>
  <si>
    <t>2. 7 0 8 .2 3 5 -1</t>
  </si>
  <si>
    <t>Adriana</t>
  </si>
  <si>
    <t>elementos electricos y tecnologicos menores</t>
  </si>
  <si>
    <t>EL PUNTO ELECTRICO</t>
  </si>
  <si>
    <t>1 0. 5 4 3. 2 4 8-6</t>
  </si>
  <si>
    <t>local</t>
  </si>
  <si>
    <t>elementos electricos</t>
  </si>
  <si>
    <t>PAPELERIA CENTRAL</t>
  </si>
  <si>
    <t>9 0 1. 6 2 8 .8 7 2- 0</t>
  </si>
  <si>
    <t xml:space="preserve">Paola </t>
  </si>
  <si>
    <t>elementos de papeleria en general</t>
  </si>
  <si>
    <t>FABRICA DE CAFÉ ALCAZAR SAS</t>
  </si>
  <si>
    <t>9 0 1 .3 2 6.5 8 4 -8</t>
  </si>
  <si>
    <t>ventas</t>
  </si>
  <si>
    <t>venta de cafe molido</t>
  </si>
  <si>
    <t>ALEXANDER GUITIERREZ UPEGUI</t>
  </si>
  <si>
    <t>14.623.015</t>
  </si>
  <si>
    <t>Alexander Gutierrez</t>
  </si>
  <si>
    <t>Elaboracion y venta de tapetes personalizados</t>
  </si>
  <si>
    <t>COLOMBIANA DE COMERCIO SA(ALKOSTO)</t>
  </si>
  <si>
    <t>890.900.943-1</t>
  </si>
  <si>
    <t>VENTAS</t>
  </si>
  <si>
    <t xml:space="preserve">Tienda  online </t>
  </si>
  <si>
    <t>AMERICAN SUPLIESS</t>
  </si>
  <si>
    <t>7 6 .3 1 8 .4 5 4 -3</t>
  </si>
  <si>
    <t>Diego Rosero</t>
  </si>
  <si>
    <t>tintas para impresoras y recarga de tonner</t>
  </si>
  <si>
    <t>CASA ODONTOLOGICA</t>
  </si>
  <si>
    <t>9 0 0 .5 5 2. 6 9 5-1</t>
  </si>
  <si>
    <t>Adriana Meneses</t>
  </si>
  <si>
    <t>elementos para odontologia</t>
  </si>
  <si>
    <t>CONSTRUCCIONES Y EDIFICACIONES</t>
  </si>
  <si>
    <t>9 01 .0 1 2 .2 6 3 -0</t>
  </si>
  <si>
    <t>Alberto Alvarez</t>
  </si>
  <si>
    <t>suministro de cesped sintetico y malla para canchas</t>
  </si>
  <si>
    <t>CREACIONES DOLPHIN</t>
  </si>
  <si>
    <t>4 8 .6 0 0 .2 2 5 -1</t>
  </si>
  <si>
    <t>patricia Escobar</t>
  </si>
  <si>
    <t>elaboracion y venta de uniformes para empresas</t>
  </si>
  <si>
    <t>GRUPO DECOR SAS</t>
  </si>
  <si>
    <t>8 0 0.1 6 5. 3 7 7 -1</t>
  </si>
  <si>
    <t>Edisson Mosquera</t>
  </si>
  <si>
    <t>venta de pisos y ceramicas</t>
  </si>
  <si>
    <t>DISTRIBUIDORA PANAMA</t>
  </si>
  <si>
    <t>10.542.429-8</t>
  </si>
  <si>
    <t>Humberto Burbano</t>
  </si>
  <si>
    <t>venta de elementos electronicos y sonido</t>
  </si>
  <si>
    <t>EXHIALAMBRE</t>
  </si>
  <si>
    <t>7 6 .2 9 6. 5 2 8 -3</t>
  </si>
  <si>
    <t>Alcides Mauna</t>
  </si>
  <si>
    <t>venta de elementos de oficina, escritorios, sillas hergonomicas, etc</t>
  </si>
  <si>
    <t>FLORISTERIA ACACIAS</t>
  </si>
  <si>
    <t>34.552.093</t>
  </si>
  <si>
    <t>Marta Osorio</t>
  </si>
  <si>
    <t xml:space="preserve">elaboracion de todo tipo de ramos de flores </t>
  </si>
  <si>
    <t>FORESTAL Y CONSTRUCTORA</t>
  </si>
  <si>
    <t>3 4. 5 6 9 .5 2 7 -6</t>
  </si>
  <si>
    <t>Pilar Alegria</t>
  </si>
  <si>
    <t>suministro de Guardaescobas en madera y otros</t>
  </si>
  <si>
    <t>KONCEPTOS</t>
  </si>
  <si>
    <t>1 .0 6 1 .7 0 7 .4 7 1 -4</t>
  </si>
  <si>
    <t>Veronica Espinoza</t>
  </si>
  <si>
    <t xml:space="preserve">carpinteria- trabajos en madera </t>
  </si>
  <si>
    <t>FERRETERIA MARACAIBO</t>
  </si>
  <si>
    <t>8 0 0 .2 5 2 .9 4 4- 0</t>
  </si>
  <si>
    <t>Nuri Otaya</t>
  </si>
  <si>
    <t>elementos de ferreteria  y ceramicas</t>
  </si>
  <si>
    <t>NEMESIO QUIÑONEZ</t>
  </si>
  <si>
    <t>76.333.269-1</t>
  </si>
  <si>
    <t>Nemesio Quiñonez</t>
  </si>
  <si>
    <t>mantenimiento de aires acondicionados</t>
  </si>
  <si>
    <t>GRUPO EMPRESARIAL VID</t>
  </si>
  <si>
    <t>9 0 1 .2 8 5. 1 9 9-8</t>
  </si>
  <si>
    <t>Deisy Fajardo</t>
  </si>
  <si>
    <t>elementos de seguridad industrial y fisioterapia</t>
  </si>
  <si>
    <t>QUIMICOS POPAYAN LTDA QUIMPO</t>
  </si>
  <si>
    <t>8 0 0 .1 3 1 .9 5 6- 1</t>
  </si>
  <si>
    <t>ventas Quimpo</t>
  </si>
  <si>
    <t>elementos de aseo</t>
  </si>
  <si>
    <t>TIENDA DEL COMPUTADOR</t>
  </si>
  <si>
    <t>34.331.754</t>
  </si>
  <si>
    <t>Jhojana Villamarin</t>
  </si>
  <si>
    <t>elementos tecnologicos</t>
  </si>
  <si>
    <t>TODO ELECTRICO</t>
  </si>
  <si>
    <t>10.539.393-0</t>
  </si>
  <si>
    <t xml:space="preserve">ventas </t>
  </si>
  <si>
    <t>TRIPLEX LA 11</t>
  </si>
  <si>
    <t>1.061.736.399-5</t>
  </si>
  <si>
    <t>Alejandra Espinoza</t>
  </si>
  <si>
    <t>chapas en general</t>
  </si>
  <si>
    <t>VIDRIOS EL SOL</t>
  </si>
  <si>
    <t>8 0 0 .0 8 3 .7 7 8- 9</t>
  </si>
  <si>
    <t>Carlos Vidal</t>
  </si>
  <si>
    <t>elaboracion de puertas y ventanas en vidrio templado</t>
  </si>
  <si>
    <t>SODIMAC COLOMBIA S.A. (HOMECENTER)</t>
  </si>
  <si>
    <t>800.242.106-2</t>
  </si>
  <si>
    <t>Servicio al cliente</t>
  </si>
  <si>
    <t>11.1. Recursos Educativos</t>
  </si>
  <si>
    <t>ARTILAB</t>
  </si>
  <si>
    <t>800053310-8</t>
  </si>
  <si>
    <t>Olga Guerrero</t>
  </si>
  <si>
    <t>Reactivos químicos, equipos  y materiales de laboratorio</t>
  </si>
  <si>
    <t>SANITAS S.A.S</t>
  </si>
  <si>
    <t>860000648-2</t>
  </si>
  <si>
    <t>Luz Angelica Camacho</t>
  </si>
  <si>
    <t>Microscopios y equipos para laboratorio</t>
  </si>
  <si>
    <t>PLASMEGO S.A.S</t>
  </si>
  <si>
    <t>Monica Rojas</t>
  </si>
  <si>
    <t>Reactivos químicos y suministros para laboratorio</t>
  </si>
  <si>
    <t>GRUPO DVA INGENIERIA</t>
  </si>
  <si>
    <t>900312300-9</t>
  </si>
  <si>
    <t>Metrología, calibración de equipos</t>
  </si>
  <si>
    <t>6.3. Comunicaciones Institucional</t>
  </si>
  <si>
    <t>LISTOS FAU</t>
  </si>
  <si>
    <t>891501835-6</t>
  </si>
  <si>
    <t>Fredy Alexander Urbano</t>
  </si>
  <si>
    <t>Impresión litográfica</t>
  </si>
  <si>
    <t>TÉCNIGRÁFICAS</t>
  </si>
  <si>
    <t>79300438-7</t>
  </si>
  <si>
    <t>Fernando Narváez Vargas</t>
  </si>
  <si>
    <t>LITOGRAFÍA SAN JOSÉ</t>
  </si>
  <si>
    <t>900568073-0</t>
  </si>
  <si>
    <t>Patricia Navia</t>
  </si>
  <si>
    <t>HABITAT CONSTRUCTORA</t>
  </si>
  <si>
    <t>76322652-0</t>
  </si>
  <si>
    <t>Alexander Lopez</t>
  </si>
  <si>
    <t>Arrendamiento de vallas publicitarias</t>
  </si>
  <si>
    <t>CARACOL RADIO</t>
  </si>
  <si>
    <t>860014923-4</t>
  </si>
  <si>
    <t>Alejandra Jimenez</t>
  </si>
  <si>
    <t>Pauta publicitaria en Radio</t>
  </si>
  <si>
    <t>EN LA VÍA TV</t>
  </si>
  <si>
    <t>76320567-3</t>
  </si>
  <si>
    <t>Jhon Jairo Cadavid</t>
  </si>
  <si>
    <t>Pauta publicitaria en Televisión</t>
  </si>
  <si>
    <t>3.3. Educación Continuada</t>
  </si>
  <si>
    <t>Colpubliventas</t>
  </si>
  <si>
    <t>901114851-1</t>
  </si>
  <si>
    <t>Lyneth Villota</t>
  </si>
  <si>
    <t>Material POP</t>
  </si>
  <si>
    <t>Jk Impresores Popayán SAS</t>
  </si>
  <si>
    <t>900741396-5</t>
  </si>
  <si>
    <t>Juan Carlos Fernandez</t>
  </si>
  <si>
    <t>JJA Producciones SAS</t>
  </si>
  <si>
    <t>901235624-3</t>
  </si>
  <si>
    <t>Julio Andrade</t>
  </si>
  <si>
    <t>Operador Logistico</t>
  </si>
  <si>
    <t>4.4. Gestión de Calidad</t>
  </si>
  <si>
    <t>Bueru Veritas</t>
  </si>
  <si>
    <t>30055049-8</t>
  </si>
  <si>
    <t>Santiago Caicedo</t>
  </si>
  <si>
    <t>Ente certificador</t>
  </si>
  <si>
    <t>3.2. Gestión de Egresados</t>
  </si>
  <si>
    <t>Casa del Rio Salón de Eventos</t>
  </si>
  <si>
    <t>34612669-7</t>
  </si>
  <si>
    <t>Mary ISabel Hernándes Bolaños</t>
  </si>
  <si>
    <t>Alquiler para eventos</t>
  </si>
  <si>
    <t>Fonda Guadalupe SAS</t>
  </si>
  <si>
    <t>901627755-2</t>
  </si>
  <si>
    <t>Victor Manuelle Cruz</t>
  </si>
  <si>
    <t>Distribuidora y deposito Cauca SAS</t>
  </si>
  <si>
    <t>901230876-0</t>
  </si>
  <si>
    <t>Sandra Mercedes Guevara Villamarin</t>
  </si>
  <si>
    <t>Vinos</t>
  </si>
  <si>
    <t>D´Vidrio - Diseños exclusivos</t>
  </si>
  <si>
    <t>1061778171-3</t>
  </si>
  <si>
    <t>Angie Nathalia Riascos Jejen</t>
  </si>
  <si>
    <t>placas en vidrio</t>
  </si>
  <si>
    <t>Divino Detalle</t>
  </si>
  <si>
    <t>Yaiza Marcela Castro Garcia</t>
  </si>
  <si>
    <t>Arreglos florales, pasteles personalizados</t>
  </si>
  <si>
    <t>Marcela Díaz Perez</t>
  </si>
  <si>
    <t>Marcela Diaz Perez</t>
  </si>
  <si>
    <t>servicios profesionales</t>
  </si>
  <si>
    <t>pines con recina</t>
  </si>
  <si>
    <t>Cafeteria FUP</t>
  </si>
  <si>
    <t>Jose Alfredo Garcia</t>
  </si>
  <si>
    <t>Pasabocas</t>
  </si>
  <si>
    <t>LIBRERIA CAICEDO</t>
  </si>
  <si>
    <t xml:space="preserve"> 25395532-2</t>
  </si>
  <si>
    <t>LILIANA CHACÓN CAICEDO</t>
  </si>
  <si>
    <t>MATERIAL BIBLIOGRÁFICO EN FORMATO IMPRESO</t>
  </si>
  <si>
    <t>KARINLIBROS</t>
  </si>
  <si>
    <t xml:space="preserve">        16711796-3</t>
  </si>
  <si>
    <t>KARIN ZAIDEN VILLAVICENCIO</t>
  </si>
  <si>
    <t>EDITORIAL MEDICA INTERNACIONAL LTDA.</t>
  </si>
  <si>
    <t>860075223-8</t>
  </si>
  <si>
    <t xml:space="preserve"> (57601) 3145014</t>
  </si>
  <si>
    <t>GILBERTO SILVA</t>
  </si>
  <si>
    <t>ADQUISICIÓN DE LIBROS DIGITALES</t>
  </si>
  <si>
    <t>MUNDO DEL LIBRO EDITORES</t>
  </si>
  <si>
    <t xml:space="preserve">       900906856-1</t>
  </si>
  <si>
    <t xml:space="preserve">       310 240 6217</t>
  </si>
  <si>
    <t>CARMEN SOFÍA CENTENO</t>
  </si>
  <si>
    <t>Colombia Información Legal S.A.S (Plataforma Vlex)</t>
  </si>
  <si>
    <t xml:space="preserve">       901004967 -3</t>
  </si>
  <si>
    <t>(57601) 4896950</t>
  </si>
  <si>
    <t>YANETH MEDINA ARÉVALO</t>
  </si>
  <si>
    <t>BASE DE DATOS INFORMACIÓN JURÍDICA Y LEGAL</t>
  </si>
  <si>
    <t>INFOLINK COLOMBIA SAS</t>
  </si>
  <si>
    <t xml:space="preserve">       900026333 - 5</t>
  </si>
  <si>
    <t>(57601) 6185997</t>
  </si>
  <si>
    <t>OCTAVIO GUIDO ROJAS LEON</t>
  </si>
  <si>
    <t>TABLAS DEL SISTEMA DE CLASIFICACIÓN DECIMAL DEWEY</t>
  </si>
  <si>
    <t>EBSCO</t>
  </si>
  <si>
    <t>CAROLINA REINA</t>
  </si>
  <si>
    <t>BASES DE DATOS MULTIDISCIPLINARIA</t>
  </si>
  <si>
    <t>7. Bienestar Institucional</t>
  </si>
  <si>
    <t xml:space="preserve">FLA COLOMBIA </t>
  </si>
  <si>
    <t>900711544-0</t>
  </si>
  <si>
    <t>ARALI</t>
  </si>
  <si>
    <t xml:space="preserve">INSUMOS DE CARNETIZACION </t>
  </si>
  <si>
    <t>TECNO SKILLS</t>
  </si>
  <si>
    <t xml:space="preserve">STIVENSON </t>
  </si>
  <si>
    <t>TARJETAS CON CHIF</t>
  </si>
  <si>
    <t>DINAMO</t>
  </si>
  <si>
    <t>LINA SALAZAR</t>
  </si>
  <si>
    <t>DECORACION</t>
  </si>
  <si>
    <t xml:space="preserve">PALACIO DE LAS FLORES </t>
  </si>
  <si>
    <t>25233067-8</t>
  </si>
  <si>
    <t>8.2. Gestión de Seguridad y Salud en el Trabajo</t>
  </si>
  <si>
    <t>VECTORS FUMIGACIONES</t>
  </si>
  <si>
    <t>76325761-9</t>
  </si>
  <si>
    <t>CARLOS ORDOÑEZ</t>
  </si>
  <si>
    <t>FUMIGACION PARA PLAGAS</t>
  </si>
  <si>
    <t>Docencia</t>
  </si>
  <si>
    <t>DO</t>
  </si>
  <si>
    <t>1.1</t>
  </si>
  <si>
    <t>Registro Académico</t>
  </si>
  <si>
    <t>RA</t>
  </si>
  <si>
    <t>1.2</t>
  </si>
  <si>
    <t>Gestión Curricular</t>
  </si>
  <si>
    <t>CU</t>
  </si>
  <si>
    <t>Investigación, Desarrollo e Innovación</t>
  </si>
  <si>
    <t>IN</t>
  </si>
  <si>
    <t>Extensión y Proyección Social</t>
  </si>
  <si>
    <t>EP</t>
  </si>
  <si>
    <t>3.1</t>
  </si>
  <si>
    <t>Emprendimiento</t>
  </si>
  <si>
    <t>EM</t>
  </si>
  <si>
    <t>3.2</t>
  </si>
  <si>
    <t>Gestión de Egresados</t>
  </si>
  <si>
    <t>GE</t>
  </si>
  <si>
    <t>3.3</t>
  </si>
  <si>
    <t>Educación Continuada</t>
  </si>
  <si>
    <t>EC</t>
  </si>
  <si>
    <t>3.4</t>
  </si>
  <si>
    <t>Gestión de Proyectos de Extensión</t>
  </si>
  <si>
    <t>PE</t>
  </si>
  <si>
    <t>3.5</t>
  </si>
  <si>
    <t>Escuela de Formación para el TDH</t>
  </si>
  <si>
    <t>EF</t>
  </si>
  <si>
    <t>Direccionamiento Estratégico</t>
  </si>
  <si>
    <t>DE</t>
  </si>
  <si>
    <t>4.1</t>
  </si>
  <si>
    <t>Planeación Institucional</t>
  </si>
  <si>
    <t>PL</t>
  </si>
  <si>
    <t>4.2</t>
  </si>
  <si>
    <t>Gestión de Sistemas de Información</t>
  </si>
  <si>
    <t>SI</t>
  </si>
  <si>
    <t>4.3</t>
  </si>
  <si>
    <t>Gestión de Proyectos Institucionales</t>
  </si>
  <si>
    <t>PF</t>
  </si>
  <si>
    <t>4.4</t>
  </si>
  <si>
    <t>Gestión de Calidad</t>
  </si>
  <si>
    <t>GC</t>
  </si>
  <si>
    <t>Aseguramiento de la Calidad</t>
  </si>
  <si>
    <t>AC</t>
  </si>
  <si>
    <t>5.1</t>
  </si>
  <si>
    <t>Autoevaluación Institucional</t>
  </si>
  <si>
    <t>AU</t>
  </si>
  <si>
    <t>5.2</t>
  </si>
  <si>
    <t>Registro Calificado</t>
  </si>
  <si>
    <t>RC</t>
  </si>
  <si>
    <t>Visibilidad Nacional e Internacional</t>
  </si>
  <si>
    <t>VN</t>
  </si>
  <si>
    <t>12. Visibilidad Nacional e Internacional</t>
  </si>
  <si>
    <t>6.1</t>
  </si>
  <si>
    <t>Relaciones Interinstitucionales - ORI</t>
  </si>
  <si>
    <t>6.2</t>
  </si>
  <si>
    <t>Mercadeo - Admisiones</t>
  </si>
  <si>
    <t>MA</t>
  </si>
  <si>
    <t>6.3</t>
  </si>
  <si>
    <t>Comunicaciones Institucional</t>
  </si>
  <si>
    <t>CO</t>
  </si>
  <si>
    <t>Bienestar Institucional</t>
  </si>
  <si>
    <t>BI</t>
  </si>
  <si>
    <t>Gestión Humana</t>
  </si>
  <si>
    <t>GH</t>
  </si>
  <si>
    <t>8.1</t>
  </si>
  <si>
    <t>Gestión del Talento Humano</t>
  </si>
  <si>
    <t>TH</t>
  </si>
  <si>
    <t>8.2</t>
  </si>
  <si>
    <t>Gestión de Seguridad y Salud en el Trabajo</t>
  </si>
  <si>
    <t>ST</t>
  </si>
  <si>
    <t>Gestión Administrativa y Financiera</t>
  </si>
  <si>
    <t>GF</t>
  </si>
  <si>
    <t>9.1</t>
  </si>
  <si>
    <t>Gestión Financiera</t>
  </si>
  <si>
    <t>9.2</t>
  </si>
  <si>
    <t>Gestión Administrativa</t>
  </si>
  <si>
    <t>GA</t>
  </si>
  <si>
    <t>9.3</t>
  </si>
  <si>
    <t>Gestión Contable y Tesorería</t>
  </si>
  <si>
    <t>CT</t>
  </si>
  <si>
    <t>Gestión Legal y Documental</t>
  </si>
  <si>
    <t>GL</t>
  </si>
  <si>
    <t>10.1</t>
  </si>
  <si>
    <t>Gestión Legal</t>
  </si>
  <si>
    <t>10.2</t>
  </si>
  <si>
    <t>Gestión Documental</t>
  </si>
  <si>
    <t>GD</t>
  </si>
  <si>
    <t>Gestión de Recursos</t>
  </si>
  <si>
    <t>GR</t>
  </si>
  <si>
    <t>11.1</t>
  </si>
  <si>
    <t>Recursos Educativos</t>
  </si>
  <si>
    <t>RE</t>
  </si>
  <si>
    <t>11.2</t>
  </si>
  <si>
    <t>Recursos Tecnológicos</t>
  </si>
  <si>
    <t>RT</t>
  </si>
  <si>
    <t>11.3</t>
  </si>
  <si>
    <t>Recursos Físicos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</si>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</sst>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8"/>
      <color rgb="FF0000CC"/>
      <name val="Arial"/>
      <family val="2"/>
    </font>
    <font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Arial"/>
      <family val="2"/>
      <charset val="1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242424"/>
      <name val="Calibri"/>
      <family val="2"/>
    </font>
    <font>
      <sz val="11"/>
      <color rgb="FF24242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CC"/>
      </left>
      <right style="thin">
        <color rgb="FF0000CC"/>
      </right>
      <top style="thin">
        <color rgb="FF0000CC"/>
      </top>
      <bottom style="hair">
        <color rgb="FF0000CC"/>
      </bottom>
      <diagonal/>
    </border>
    <border>
      <left style="thin">
        <color rgb="FF0000CC"/>
      </left>
      <right style="thin">
        <color rgb="FF0000CC"/>
      </right>
      <top style="hair">
        <color rgb="FF0000CC"/>
      </top>
      <bottom style="hair">
        <color rgb="FF0000CC"/>
      </bottom>
      <diagonal/>
    </border>
    <border>
      <left style="thin">
        <color rgb="FF0000CC"/>
      </left>
      <right style="thin">
        <color rgb="FF0000CC"/>
      </right>
      <top style="hair">
        <color rgb="FF0000CC"/>
      </top>
      <bottom/>
      <diagonal/>
    </border>
    <border>
      <left style="thin">
        <color rgb="FF0000CC"/>
      </left>
      <right style="thin">
        <color rgb="FF0000CC"/>
      </right>
      <top style="hair">
        <color rgb="FF0000CC"/>
      </top>
      <bottom style="thin">
        <color rgb="FF0000CC"/>
      </bottom>
      <diagonal/>
    </border>
    <border>
      <left style="thin">
        <color rgb="FF0000CC"/>
      </left>
      <right style="thin">
        <color rgb="FF0000CC"/>
      </right>
      <top style="thin">
        <color rgb="FF0000CC"/>
      </top>
      <bottom style="thin">
        <color rgb="FF0000CC"/>
      </bottom>
      <diagonal/>
    </border>
    <border>
      <left style="thin">
        <color rgb="FF0000CC"/>
      </left>
      <right style="thin">
        <color rgb="FF0000CC"/>
      </right>
      <top/>
      <bottom style="hair">
        <color rgb="FF0000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vertical="center"/>
    </xf>
    <xf numFmtId="0" fontId="7" fillId="0" borderId="0" xfId="0" applyFont="1"/>
    <xf numFmtId="0" fontId="10" fillId="0" borderId="1" xfId="0" applyFont="1" applyBorder="1" applyAlignment="1">
      <alignment vertical="center"/>
    </xf>
    <xf numFmtId="0" fontId="8" fillId="0" borderId="0" xfId="0" applyFont="1"/>
    <xf numFmtId="0" fontId="8" fillId="0" borderId="1" xfId="0" applyFont="1" applyBorder="1" applyAlignment="1">
      <alignment vertical="center"/>
    </xf>
    <xf numFmtId="0" fontId="11" fillId="0" borderId="0" xfId="0" applyFont="1"/>
    <xf numFmtId="0" fontId="0" fillId="0" borderId="0" xfId="0" applyAlignment="1">
      <alignment vertical="center"/>
    </xf>
    <xf numFmtId="0" fontId="12" fillId="0" borderId="9" xfId="0" applyFont="1" applyBorder="1"/>
    <xf numFmtId="0" fontId="0" fillId="0" borderId="10" xfId="0" applyBorder="1"/>
    <xf numFmtId="0" fontId="0" fillId="0" borderId="10" xfId="0" quotePrefix="1" applyBorder="1"/>
  </cellXfs>
  <cellStyles count="2">
    <cellStyle name="Hyperlink" xfId="1" xr:uid="{00000000-000B-0000-0000-000008000000}"/>
    <cellStyle name="Normal" xfId="0" builtinId="0"/>
  </cellStyles>
  <dxfs count="61"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1609725</xdr:colOff>
      <xdr:row>0</xdr:row>
      <xdr:rowOff>57150</xdr:rowOff>
    </xdr:from>
    <xdr:to>
      <xdr:col>6</xdr:col>
      <xdr:colOff>409574</xdr:colOff>
      <xdr:row>2</xdr:row>
      <xdr:rowOff>257175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FE0DCDFE-777B-4ABF-B459-D54C4ADC0B81}"/>
            </a:ext>
          </a:extLst>
        </xdr:cNvPr>
        <xdr:cNvGrpSpPr/>
      </xdr:nvGrpSpPr>
      <xdr:grpSpPr>
        <a:xfrm>
          <a:off x="4086225" y="57150"/>
          <a:ext cx="6324599" cy="1047750"/>
          <a:chOff x="104775" y="75840"/>
          <a:chExt cx="6410325" cy="1000486"/>
        </a:xfrm>
      </xdr:grpSpPr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70BC1B10-1855-4CAF-9CD1-26483CAE51F2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2B24868B-22FD-4C04-8D6D-F2D52EEED2A8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ADMINISTRATIVA</a:t>
            </a: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E4AE1E20-A1EE-4E75-AD9F-80673CF0E4EA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BASE DE DATOS PROVEEDORES</a:t>
            </a:r>
          </a:p>
        </xdr:txBody>
      </xdr:sp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DB88B185-3601-44C1-AFD8-BBE3D4A37DE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D6D91FE2-2587-4B02-BEE6-4E0C0C107C39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FO-GA-005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F7F719E5-B0AC-4426-A442-DD0B74E55AB5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4B0783DB-B3EF-4AA0-B0CB-ED5214ACB7BA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Abril 2023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pedu-my.sharepoint.com/personal/calidad_fup_edu_co/Documents/SGC-FUP/2.%20Liderazgo/2.1.%20Planes/2023/9.2%20Gesti&#243;n%20Administrativa/Evidencia%20PMI%20NC/PLAN%20DE%20MEJORA/Documentos%20de%20procesos%20F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2"/>
  <sheetViews>
    <sheetView showGridLines="0" tabSelected="1" workbookViewId="0">
      <selection activeCell="G2" sqref="G2"/>
    </sheetView>
  </sheetViews>
  <sheetFormatPr baseColWidth="10" defaultColWidth="0" defaultRowHeight="15" customHeight="1" x14ac:dyDescent="0.25"/>
  <cols>
    <col min="1" max="1" width="3.7109375" style="1" customWidth="1"/>
    <col min="2" max="2" width="33.42578125" style="1" customWidth="1"/>
    <col min="3" max="3" width="45.28515625" style="1" customWidth="1"/>
    <col min="4" max="4" width="18.7109375" style="2" bestFit="1" customWidth="1"/>
    <col min="5" max="5" width="16.42578125" style="1" customWidth="1"/>
    <col min="6" max="6" width="32.42578125" style="1" customWidth="1"/>
    <col min="7" max="7" width="61.28515625" style="1" bestFit="1" customWidth="1"/>
    <col min="8" max="8" width="3.7109375" style="1" customWidth="1"/>
    <col min="9" max="16384" width="10.85546875" style="1" hidden="1"/>
  </cols>
  <sheetData>
    <row r="1" spans="2:7" ht="24.95" customHeight="1" x14ac:dyDescent="0.25"/>
    <row r="2" spans="2:7" ht="42" customHeight="1" x14ac:dyDescent="0.25"/>
    <row r="3" spans="2:7" ht="24.95" customHeight="1" x14ac:dyDescent="0.25"/>
    <row r="4" spans="2:7" s="2" customFormat="1" x14ac:dyDescent="0.25">
      <c r="B4" s="7" t="s">
        <v>0</v>
      </c>
      <c r="C4" s="7" t="s">
        <v>1</v>
      </c>
      <c r="D4" s="6" t="s">
        <v>2</v>
      </c>
      <c r="E4" s="6" t="s">
        <v>3</v>
      </c>
      <c r="F4" s="7" t="s">
        <v>4</v>
      </c>
      <c r="G4" s="5" t="s">
        <v>5</v>
      </c>
    </row>
    <row r="5" spans="2:7" x14ac:dyDescent="0.25">
      <c r="B5" s="3" t="s">
        <v>6</v>
      </c>
      <c r="C5" s="3" t="s">
        <v>7</v>
      </c>
      <c r="D5" s="46" t="s">
        <v>8</v>
      </c>
      <c r="E5" s="43">
        <v>3183380073</v>
      </c>
      <c r="F5" s="3" t="s">
        <v>9</v>
      </c>
      <c r="G5" s="3" t="s">
        <v>10</v>
      </c>
    </row>
    <row r="6" spans="2:7" x14ac:dyDescent="0.25">
      <c r="B6" s="3" t="s">
        <v>6</v>
      </c>
      <c r="C6" s="3" t="s">
        <v>11</v>
      </c>
      <c r="D6" s="46" t="s">
        <v>12</v>
      </c>
      <c r="E6" s="3">
        <v>3206818157</v>
      </c>
      <c r="F6" s="3" t="s">
        <v>13</v>
      </c>
      <c r="G6" s="3" t="s">
        <v>14</v>
      </c>
    </row>
    <row r="7" spans="2:7" x14ac:dyDescent="0.25">
      <c r="B7" s="3" t="s">
        <v>6</v>
      </c>
      <c r="C7" s="3" t="s">
        <v>15</v>
      </c>
      <c r="D7" s="46" t="s">
        <v>16</v>
      </c>
      <c r="E7" s="3">
        <v>3155785044</v>
      </c>
      <c r="F7" s="3" t="s">
        <v>17</v>
      </c>
      <c r="G7" s="3" t="s">
        <v>18</v>
      </c>
    </row>
    <row r="8" spans="2:7" x14ac:dyDescent="0.25">
      <c r="B8" s="3" t="s">
        <v>6</v>
      </c>
      <c r="C8" s="3" t="s">
        <v>19</v>
      </c>
      <c r="D8" s="46" t="s">
        <v>20</v>
      </c>
      <c r="E8" s="3">
        <v>6028243881</v>
      </c>
      <c r="F8" s="3" t="s">
        <v>21</v>
      </c>
      <c r="G8" s="3" t="s">
        <v>22</v>
      </c>
    </row>
    <row r="9" spans="2:7" x14ac:dyDescent="0.25">
      <c r="B9" s="3" t="s">
        <v>6</v>
      </c>
      <c r="C9" s="3" t="s">
        <v>23</v>
      </c>
      <c r="D9" s="46" t="s">
        <v>24</v>
      </c>
      <c r="E9" s="3">
        <v>3154637490</v>
      </c>
      <c r="F9" s="3" t="s">
        <v>25</v>
      </c>
      <c r="G9" s="3" t="s">
        <v>26</v>
      </c>
    </row>
    <row r="10" spans="2:7" x14ac:dyDescent="0.25">
      <c r="B10" s="3" t="s">
        <v>6</v>
      </c>
      <c r="C10" s="3" t="s">
        <v>27</v>
      </c>
      <c r="D10" s="46" t="s">
        <v>28</v>
      </c>
      <c r="E10" s="3">
        <v>3206728380</v>
      </c>
      <c r="F10" s="3" t="s">
        <v>29</v>
      </c>
      <c r="G10" s="3" t="s">
        <v>30</v>
      </c>
    </row>
    <row r="11" spans="2:7" x14ac:dyDescent="0.25">
      <c r="B11" s="3" t="s">
        <v>6</v>
      </c>
      <c r="C11" s="3" t="s">
        <v>31</v>
      </c>
      <c r="D11" s="47" t="s">
        <v>32</v>
      </c>
      <c r="E11" s="3">
        <v>3168065978</v>
      </c>
      <c r="F11" s="3" t="s">
        <v>33</v>
      </c>
      <c r="G11" s="3" t="s">
        <v>34</v>
      </c>
    </row>
    <row r="12" spans="2:7" x14ac:dyDescent="0.25">
      <c r="B12" s="3" t="s">
        <v>6</v>
      </c>
      <c r="C12" s="3" t="s">
        <v>35</v>
      </c>
      <c r="D12" s="47" t="s">
        <v>36</v>
      </c>
      <c r="E12" s="3">
        <v>6017468001</v>
      </c>
      <c r="F12" s="3" t="s">
        <v>37</v>
      </c>
      <c r="G12" s="3" t="s">
        <v>38</v>
      </c>
    </row>
    <row r="13" spans="2:7" x14ac:dyDescent="0.25">
      <c r="B13" s="3" t="s">
        <v>6</v>
      </c>
      <c r="C13" s="3" t="s">
        <v>39</v>
      </c>
      <c r="D13" s="46" t="s">
        <v>40</v>
      </c>
      <c r="E13" s="3">
        <v>3108322129</v>
      </c>
      <c r="F13" s="3" t="s">
        <v>41</v>
      </c>
      <c r="G13" s="3" t="s">
        <v>42</v>
      </c>
    </row>
    <row r="14" spans="2:7" x14ac:dyDescent="0.25">
      <c r="B14" s="3" t="s">
        <v>6</v>
      </c>
      <c r="C14" s="3" t="s">
        <v>43</v>
      </c>
      <c r="D14" s="46" t="s">
        <v>44</v>
      </c>
      <c r="E14" s="3">
        <v>3142291490</v>
      </c>
      <c r="F14" s="3" t="s">
        <v>45</v>
      </c>
      <c r="G14" s="3" t="s">
        <v>46</v>
      </c>
    </row>
    <row r="15" spans="2:7" x14ac:dyDescent="0.25">
      <c r="B15" s="3" t="s">
        <v>6</v>
      </c>
      <c r="C15" s="3" t="s">
        <v>47</v>
      </c>
      <c r="D15" s="46" t="s">
        <v>48</v>
      </c>
      <c r="E15" s="3">
        <v>3008000639</v>
      </c>
      <c r="F15" s="3" t="s">
        <v>49</v>
      </c>
      <c r="G15" s="3" t="s">
        <v>50</v>
      </c>
    </row>
    <row r="16" spans="2:7" x14ac:dyDescent="0.25">
      <c r="B16" s="3" t="s">
        <v>6</v>
      </c>
      <c r="C16" s="3" t="s">
        <v>51</v>
      </c>
      <c r="D16" s="46" t="s">
        <v>52</v>
      </c>
      <c r="E16" s="3">
        <v>3175128393</v>
      </c>
      <c r="F16" s="3" t="s">
        <v>53</v>
      </c>
      <c r="G16" s="3" t="s">
        <v>54</v>
      </c>
    </row>
    <row r="17" spans="2:7" x14ac:dyDescent="0.25">
      <c r="B17" s="3" t="s">
        <v>6</v>
      </c>
      <c r="C17" s="44" t="s">
        <v>55</v>
      </c>
      <c r="D17" s="46" t="s">
        <v>56</v>
      </c>
      <c r="E17" s="3">
        <v>3102053159</v>
      </c>
      <c r="F17" s="3" t="s">
        <v>57</v>
      </c>
      <c r="G17" s="3" t="s">
        <v>58</v>
      </c>
    </row>
    <row r="18" spans="2:7" x14ac:dyDescent="0.25">
      <c r="B18" s="3" t="s">
        <v>6</v>
      </c>
      <c r="C18" s="3" t="s">
        <v>59</v>
      </c>
      <c r="D18" s="47" t="s">
        <v>60</v>
      </c>
      <c r="E18" s="3">
        <v>3162902893</v>
      </c>
      <c r="F18" s="3" t="s">
        <v>61</v>
      </c>
      <c r="G18" s="3" t="s">
        <v>62</v>
      </c>
    </row>
    <row r="19" spans="2:7" x14ac:dyDescent="0.25">
      <c r="B19" s="3" t="s">
        <v>6</v>
      </c>
      <c r="C19" s="3" t="s">
        <v>63</v>
      </c>
      <c r="D19" s="46" t="s">
        <v>64</v>
      </c>
      <c r="E19" s="3">
        <v>3202929252</v>
      </c>
      <c r="F19" s="3" t="s">
        <v>65</v>
      </c>
      <c r="G19" s="3" t="s">
        <v>66</v>
      </c>
    </row>
    <row r="20" spans="2:7" x14ac:dyDescent="0.25">
      <c r="B20" s="3" t="s">
        <v>6</v>
      </c>
      <c r="C20" s="3" t="s">
        <v>67</v>
      </c>
      <c r="D20" s="47" t="s">
        <v>68</v>
      </c>
      <c r="E20" s="3">
        <v>3008503368</v>
      </c>
      <c r="F20" s="3" t="s">
        <v>69</v>
      </c>
      <c r="G20" s="3" t="s">
        <v>70</v>
      </c>
    </row>
    <row r="21" spans="2:7" x14ac:dyDescent="0.25">
      <c r="B21" s="3" t="s">
        <v>6</v>
      </c>
      <c r="C21" s="3" t="s">
        <v>71</v>
      </c>
      <c r="D21" s="46" t="s">
        <v>72</v>
      </c>
      <c r="E21" s="3">
        <v>3153675559</v>
      </c>
      <c r="F21" s="3" t="s">
        <v>73</v>
      </c>
      <c r="G21" s="3" t="s">
        <v>74</v>
      </c>
    </row>
    <row r="22" spans="2:7" x14ac:dyDescent="0.25">
      <c r="B22" s="3" t="s">
        <v>6</v>
      </c>
      <c r="C22" s="3" t="s">
        <v>75</v>
      </c>
      <c r="D22" s="47" t="s">
        <v>76</v>
      </c>
      <c r="E22" s="3">
        <v>3112184780</v>
      </c>
      <c r="F22" s="3" t="s">
        <v>77</v>
      </c>
      <c r="G22" s="3" t="s">
        <v>78</v>
      </c>
    </row>
    <row r="23" spans="2:7" x14ac:dyDescent="0.25">
      <c r="B23" s="3" t="s">
        <v>6</v>
      </c>
      <c r="C23" s="3" t="s">
        <v>79</v>
      </c>
      <c r="D23" s="46" t="s">
        <v>80</v>
      </c>
      <c r="E23" s="3">
        <v>3105482405</v>
      </c>
      <c r="F23" s="3" t="s">
        <v>81</v>
      </c>
      <c r="G23" s="3" t="s">
        <v>82</v>
      </c>
    </row>
    <row r="24" spans="2:7" x14ac:dyDescent="0.25">
      <c r="B24" s="3" t="s">
        <v>6</v>
      </c>
      <c r="C24" s="3" t="s">
        <v>83</v>
      </c>
      <c r="D24" s="47" t="s">
        <v>84</v>
      </c>
      <c r="E24" s="3">
        <v>3117263573</v>
      </c>
      <c r="F24" s="3" t="s">
        <v>85</v>
      </c>
      <c r="G24" s="3" t="s">
        <v>86</v>
      </c>
    </row>
    <row r="25" spans="2:7" x14ac:dyDescent="0.25">
      <c r="B25" s="3" t="s">
        <v>6</v>
      </c>
      <c r="C25" s="3" t="s">
        <v>87</v>
      </c>
      <c r="D25" s="47" t="s">
        <v>88</v>
      </c>
      <c r="E25" s="3">
        <v>3168005984</v>
      </c>
      <c r="F25" s="3" t="s">
        <v>89</v>
      </c>
      <c r="G25" s="3" t="s">
        <v>90</v>
      </c>
    </row>
    <row r="26" spans="2:7" x14ac:dyDescent="0.25">
      <c r="B26" s="3" t="s">
        <v>6</v>
      </c>
      <c r="C26" s="3" t="s">
        <v>91</v>
      </c>
      <c r="D26" s="47" t="s">
        <v>92</v>
      </c>
      <c r="E26" s="3">
        <v>3234824358</v>
      </c>
      <c r="F26" s="3" t="s">
        <v>93</v>
      </c>
      <c r="G26" s="3" t="s">
        <v>94</v>
      </c>
    </row>
    <row r="27" spans="2:7" x14ac:dyDescent="0.25">
      <c r="B27" s="3" t="s">
        <v>6</v>
      </c>
      <c r="C27" s="3" t="s">
        <v>95</v>
      </c>
      <c r="D27" s="47" t="s">
        <v>96</v>
      </c>
      <c r="E27" s="3">
        <v>3007378784</v>
      </c>
      <c r="F27" s="3" t="s">
        <v>97</v>
      </c>
      <c r="G27" s="3" t="s">
        <v>98</v>
      </c>
    </row>
    <row r="28" spans="2:7" x14ac:dyDescent="0.25">
      <c r="B28" s="3" t="s">
        <v>6</v>
      </c>
      <c r="C28" s="3" t="s">
        <v>99</v>
      </c>
      <c r="D28" s="46" t="s">
        <v>100</v>
      </c>
      <c r="E28" s="3">
        <v>3128960475</v>
      </c>
      <c r="F28" s="3" t="s">
        <v>101</v>
      </c>
      <c r="G28" s="3" t="s">
        <v>22</v>
      </c>
    </row>
    <row r="29" spans="2:7" x14ac:dyDescent="0.25">
      <c r="B29" s="3" t="s">
        <v>6</v>
      </c>
      <c r="C29" s="3" t="s">
        <v>102</v>
      </c>
      <c r="D29" s="47" t="s">
        <v>103</v>
      </c>
      <c r="E29" s="3">
        <v>3015471097</v>
      </c>
      <c r="F29" s="3" t="s">
        <v>104</v>
      </c>
      <c r="G29" s="3" t="s">
        <v>105</v>
      </c>
    </row>
    <row r="30" spans="2:7" x14ac:dyDescent="0.25">
      <c r="B30" s="3" t="s">
        <v>6</v>
      </c>
      <c r="C30" s="3" t="s">
        <v>106</v>
      </c>
      <c r="D30" s="47" t="s">
        <v>107</v>
      </c>
      <c r="E30" s="3">
        <v>3176671513</v>
      </c>
      <c r="F30" s="3" t="s">
        <v>108</v>
      </c>
      <c r="G30" s="3" t="s">
        <v>109</v>
      </c>
    </row>
    <row r="31" spans="2:7" x14ac:dyDescent="0.25">
      <c r="B31" s="3" t="s">
        <v>6</v>
      </c>
      <c r="C31" s="3" t="s">
        <v>110</v>
      </c>
      <c r="D31" s="47" t="s">
        <v>111</v>
      </c>
      <c r="E31" s="45">
        <v>3208899933</v>
      </c>
      <c r="F31" s="3" t="s">
        <v>112</v>
      </c>
      <c r="G31" s="3" t="s">
        <v>38</v>
      </c>
    </row>
    <row r="32" spans="2:7" x14ac:dyDescent="0.25">
      <c r="B32" s="3" t="s">
        <v>113</v>
      </c>
      <c r="C32" s="3" t="s">
        <v>114</v>
      </c>
      <c r="D32" s="4" t="s">
        <v>115</v>
      </c>
      <c r="E32" s="45">
        <v>3174303106</v>
      </c>
      <c r="F32" s="3" t="s">
        <v>116</v>
      </c>
      <c r="G32" s="3" t="s">
        <v>117</v>
      </c>
    </row>
    <row r="33" spans="2:7" x14ac:dyDescent="0.25">
      <c r="B33" s="3" t="s">
        <v>113</v>
      </c>
      <c r="C33" s="3" t="s">
        <v>118</v>
      </c>
      <c r="D33" s="4" t="s">
        <v>119</v>
      </c>
      <c r="E33" s="3">
        <v>3183437496</v>
      </c>
      <c r="F33" s="3" t="s">
        <v>120</v>
      </c>
      <c r="G33" s="3" t="s">
        <v>121</v>
      </c>
    </row>
    <row r="34" spans="2:7" x14ac:dyDescent="0.25">
      <c r="B34" s="3" t="s">
        <v>113</v>
      </c>
      <c r="C34" s="3" t="s">
        <v>122</v>
      </c>
      <c r="D34" s="4" t="s">
        <v>119</v>
      </c>
      <c r="E34" s="48">
        <v>3117463618</v>
      </c>
      <c r="F34" s="3" t="s">
        <v>123</v>
      </c>
      <c r="G34" s="3" t="s">
        <v>124</v>
      </c>
    </row>
    <row r="35" spans="2:7" x14ac:dyDescent="0.25">
      <c r="B35" s="3" t="s">
        <v>113</v>
      </c>
      <c r="C35" s="3" t="s">
        <v>125</v>
      </c>
      <c r="D35" s="4" t="s">
        <v>126</v>
      </c>
      <c r="E35">
        <v>3176395105</v>
      </c>
      <c r="F35" s="3" t="s">
        <v>112</v>
      </c>
      <c r="G35" s="3" t="s">
        <v>127</v>
      </c>
    </row>
    <row r="36" spans="2:7" x14ac:dyDescent="0.25">
      <c r="B36" s="3" t="s">
        <v>128</v>
      </c>
      <c r="C36" s="3" t="s">
        <v>129</v>
      </c>
      <c r="D36" s="4" t="s">
        <v>130</v>
      </c>
      <c r="E36">
        <v>3148413606</v>
      </c>
      <c r="F36" s="3" t="s">
        <v>131</v>
      </c>
      <c r="G36" s="3" t="s">
        <v>132</v>
      </c>
    </row>
    <row r="37" spans="2:7" x14ac:dyDescent="0.25">
      <c r="B37" s="3" t="s">
        <v>128</v>
      </c>
      <c r="C37" s="3" t="s">
        <v>133</v>
      </c>
      <c r="D37" s="4" t="s">
        <v>134</v>
      </c>
      <c r="E37" s="3">
        <v>3117840270</v>
      </c>
      <c r="F37" s="3" t="s">
        <v>135</v>
      </c>
      <c r="G37" s="3" t="s">
        <v>132</v>
      </c>
    </row>
    <row r="38" spans="2:7" ht="15" customHeight="1" x14ac:dyDescent="0.25">
      <c r="B38" s="3" t="s">
        <v>128</v>
      </c>
      <c r="C38" s="3" t="s">
        <v>136</v>
      </c>
      <c r="D38" s="4" t="s">
        <v>137</v>
      </c>
      <c r="E38" s="3">
        <v>3216366888</v>
      </c>
      <c r="F38" s="3" t="s">
        <v>138</v>
      </c>
      <c r="G38" s="3" t="s">
        <v>132</v>
      </c>
    </row>
    <row r="39" spans="2:7" ht="15" customHeight="1" x14ac:dyDescent="0.25">
      <c r="B39" s="3" t="s">
        <v>128</v>
      </c>
      <c r="C39" s="3" t="s">
        <v>139</v>
      </c>
      <c r="D39" s="4" t="s">
        <v>140</v>
      </c>
      <c r="E39" s="3">
        <v>3117599949</v>
      </c>
      <c r="F39" s="3" t="s">
        <v>141</v>
      </c>
      <c r="G39" s="3" t="s">
        <v>142</v>
      </c>
    </row>
    <row r="40" spans="2:7" ht="15" customHeight="1" x14ac:dyDescent="0.25">
      <c r="B40" s="3" t="s">
        <v>128</v>
      </c>
      <c r="C40" s="3" t="s">
        <v>143</v>
      </c>
      <c r="D40" s="4" t="s">
        <v>144</v>
      </c>
      <c r="E40" s="3">
        <v>3178114562</v>
      </c>
      <c r="F40" s="3" t="s">
        <v>145</v>
      </c>
      <c r="G40" s="3" t="s">
        <v>146</v>
      </c>
    </row>
    <row r="41" spans="2:7" ht="15" customHeight="1" x14ac:dyDescent="0.25">
      <c r="B41" s="3" t="s">
        <v>128</v>
      </c>
      <c r="C41" s="3" t="s">
        <v>147</v>
      </c>
      <c r="D41" s="4" t="s">
        <v>148</v>
      </c>
      <c r="E41" s="3">
        <v>3004439691</v>
      </c>
      <c r="F41" s="3" t="s">
        <v>149</v>
      </c>
      <c r="G41" s="3" t="s">
        <v>150</v>
      </c>
    </row>
    <row r="42" spans="2:7" ht="15" customHeight="1" x14ac:dyDescent="0.25">
      <c r="B42" s="3" t="s">
        <v>151</v>
      </c>
      <c r="C42" s="3" t="s">
        <v>152</v>
      </c>
      <c r="D42" s="4" t="s">
        <v>153</v>
      </c>
      <c r="E42" s="3">
        <v>3218569306</v>
      </c>
      <c r="F42" s="3" t="s">
        <v>154</v>
      </c>
      <c r="G42" s="3" t="s">
        <v>155</v>
      </c>
    </row>
    <row r="43" spans="2:7" ht="15" customHeight="1" x14ac:dyDescent="0.25">
      <c r="B43" s="3" t="s">
        <v>151</v>
      </c>
      <c r="C43" s="3" t="s">
        <v>156</v>
      </c>
      <c r="D43" s="4" t="s">
        <v>157</v>
      </c>
      <c r="E43" s="3">
        <v>6028339542</v>
      </c>
      <c r="F43" s="3" t="s">
        <v>158</v>
      </c>
      <c r="G43" s="3" t="s">
        <v>132</v>
      </c>
    </row>
    <row r="44" spans="2:7" ht="15" customHeight="1" x14ac:dyDescent="0.25">
      <c r="B44" s="3" t="s">
        <v>151</v>
      </c>
      <c r="C44" s="3" t="s">
        <v>159</v>
      </c>
      <c r="D44" s="4" t="s">
        <v>160</v>
      </c>
      <c r="E44" s="3">
        <v>3046387835</v>
      </c>
      <c r="F44" s="3" t="s">
        <v>161</v>
      </c>
      <c r="G44" s="3" t="s">
        <v>162</v>
      </c>
    </row>
    <row r="45" spans="2:7" ht="15" customHeight="1" x14ac:dyDescent="0.25">
      <c r="B45" s="3" t="s">
        <v>163</v>
      </c>
      <c r="C45" s="3" t="s">
        <v>164</v>
      </c>
      <c r="D45" s="4" t="s">
        <v>165</v>
      </c>
      <c r="E45" s="3">
        <v>6013129191</v>
      </c>
      <c r="F45" s="3" t="s">
        <v>166</v>
      </c>
      <c r="G45" s="3" t="s">
        <v>167</v>
      </c>
    </row>
    <row r="46" spans="2:7" ht="15" customHeight="1" x14ac:dyDescent="0.25">
      <c r="B46" s="3" t="s">
        <v>168</v>
      </c>
      <c r="C46" s="3" t="s">
        <v>169</v>
      </c>
      <c r="D46" s="4" t="s">
        <v>170</v>
      </c>
      <c r="E46" s="3">
        <v>3104162174</v>
      </c>
      <c r="F46" s="3" t="s">
        <v>171</v>
      </c>
      <c r="G46" s="3" t="s">
        <v>172</v>
      </c>
    </row>
    <row r="47" spans="2:7" ht="15" customHeight="1" x14ac:dyDescent="0.25">
      <c r="B47" s="3" t="s">
        <v>168</v>
      </c>
      <c r="C47" s="3" t="s">
        <v>173</v>
      </c>
      <c r="D47" s="4" t="s">
        <v>174</v>
      </c>
      <c r="E47" s="3">
        <v>3103664137</v>
      </c>
      <c r="F47" s="3" t="s">
        <v>175</v>
      </c>
      <c r="G47" s="3" t="s">
        <v>172</v>
      </c>
    </row>
    <row r="48" spans="2:7" ht="15" customHeight="1" x14ac:dyDescent="0.25">
      <c r="B48" s="3" t="s">
        <v>168</v>
      </c>
      <c r="C48" s="3" t="s">
        <v>176</v>
      </c>
      <c r="D48" s="4" t="s">
        <v>177</v>
      </c>
      <c r="E48" s="3">
        <v>3002269958</v>
      </c>
      <c r="F48" s="3" t="s">
        <v>178</v>
      </c>
      <c r="G48" s="3" t="s">
        <v>179</v>
      </c>
    </row>
    <row r="49" spans="2:7" ht="15" customHeight="1" x14ac:dyDescent="0.25">
      <c r="B49" s="3" t="s">
        <v>168</v>
      </c>
      <c r="C49" s="3" t="s">
        <v>180</v>
      </c>
      <c r="D49" s="4" t="s">
        <v>181</v>
      </c>
      <c r="E49" s="3">
        <v>3218940405</v>
      </c>
      <c r="F49" s="3" t="s">
        <v>182</v>
      </c>
      <c r="G49" s="3" t="s">
        <v>183</v>
      </c>
    </row>
    <row r="50" spans="2:7" ht="15" customHeight="1" x14ac:dyDescent="0.25">
      <c r="B50" s="3" t="s">
        <v>168</v>
      </c>
      <c r="C50" s="3" t="s">
        <v>184</v>
      </c>
      <c r="D50" s="4">
        <v>1061735762</v>
      </c>
      <c r="E50" s="3">
        <v>3212352009</v>
      </c>
      <c r="F50" s="3" t="s">
        <v>185</v>
      </c>
      <c r="G50" s="3" t="s">
        <v>186</v>
      </c>
    </row>
    <row r="51" spans="2:7" ht="15" customHeight="1" x14ac:dyDescent="0.25">
      <c r="B51" s="3" t="s">
        <v>168</v>
      </c>
      <c r="C51" s="3" t="s">
        <v>187</v>
      </c>
      <c r="D51" s="4">
        <v>1061705254</v>
      </c>
      <c r="E51" s="3">
        <v>3006688663</v>
      </c>
      <c r="F51" s="3" t="s">
        <v>188</v>
      </c>
      <c r="G51" s="3" t="s">
        <v>189</v>
      </c>
    </row>
    <row r="52" spans="2:7" ht="15" customHeight="1" x14ac:dyDescent="0.25">
      <c r="B52" s="3" t="s">
        <v>168</v>
      </c>
      <c r="C52" s="3" t="s">
        <v>129</v>
      </c>
      <c r="D52" s="4"/>
      <c r="E52" s="3">
        <v>3148413606</v>
      </c>
      <c r="F52" s="3" t="s">
        <v>131</v>
      </c>
      <c r="G52" s="3" t="s">
        <v>190</v>
      </c>
    </row>
    <row r="53" spans="2:7" ht="15" customHeight="1" x14ac:dyDescent="0.25">
      <c r="B53" s="3" t="s">
        <v>168</v>
      </c>
      <c r="C53" s="3" t="s">
        <v>191</v>
      </c>
      <c r="D53" s="4"/>
      <c r="E53" s="3"/>
      <c r="F53" s="3" t="s">
        <v>192</v>
      </c>
      <c r="G53" s="3" t="s">
        <v>193</v>
      </c>
    </row>
    <row r="54" spans="2:7" ht="15" customHeight="1" x14ac:dyDescent="0.25">
      <c r="B54" s="3" t="s">
        <v>113</v>
      </c>
      <c r="C54" s="3" t="s">
        <v>194</v>
      </c>
      <c r="D54" s="4" t="s">
        <v>195</v>
      </c>
      <c r="E54" s="3">
        <v>3117208668</v>
      </c>
      <c r="F54" s="3" t="s">
        <v>196</v>
      </c>
      <c r="G54" s="3" t="s">
        <v>197</v>
      </c>
    </row>
    <row r="55" spans="2:7" ht="15" customHeight="1" x14ac:dyDescent="0.25">
      <c r="B55" s="3" t="s">
        <v>113</v>
      </c>
      <c r="C55" s="3" t="s">
        <v>198</v>
      </c>
      <c r="D55" s="49" t="s">
        <v>199</v>
      </c>
      <c r="E55" s="50">
        <v>3117208668</v>
      </c>
      <c r="F55" s="3" t="s">
        <v>200</v>
      </c>
      <c r="G55" s="3" t="s">
        <v>197</v>
      </c>
    </row>
    <row r="56" spans="2:7" ht="15" customHeight="1" x14ac:dyDescent="0.25">
      <c r="B56" s="3" t="s">
        <v>113</v>
      </c>
      <c r="C56" s="3" t="s">
        <v>201</v>
      </c>
      <c r="D56" s="4" t="s">
        <v>202</v>
      </c>
      <c r="E56" s="3" t="s">
        <v>203</v>
      </c>
      <c r="F56" s="3" t="s">
        <v>204</v>
      </c>
      <c r="G56" s="3" t="s">
        <v>205</v>
      </c>
    </row>
    <row r="57" spans="2:7" ht="15" customHeight="1" x14ac:dyDescent="0.25">
      <c r="B57" s="3" t="s">
        <v>113</v>
      </c>
      <c r="C57" s="3" t="s">
        <v>206</v>
      </c>
      <c r="D57" s="51" t="s">
        <v>207</v>
      </c>
      <c r="E57" s="52" t="s">
        <v>208</v>
      </c>
      <c r="F57" s="3" t="s">
        <v>209</v>
      </c>
      <c r="G57" s="3" t="s">
        <v>205</v>
      </c>
    </row>
    <row r="58" spans="2:7" ht="15" customHeight="1" x14ac:dyDescent="0.25">
      <c r="B58" s="3" t="s">
        <v>113</v>
      </c>
      <c r="C58" t="s">
        <v>210</v>
      </c>
      <c r="D58" t="s">
        <v>211</v>
      </c>
      <c r="E58" t="s">
        <v>212</v>
      </c>
      <c r="F58" s="3" t="s">
        <v>213</v>
      </c>
      <c r="G58" s="3" t="s">
        <v>214</v>
      </c>
    </row>
    <row r="59" spans="2:7" ht="15" customHeight="1" x14ac:dyDescent="0.25">
      <c r="B59" s="3" t="s">
        <v>113</v>
      </c>
      <c r="C59" t="s">
        <v>215</v>
      </c>
      <c r="D59" t="s">
        <v>216</v>
      </c>
      <c r="E59" t="s">
        <v>217</v>
      </c>
      <c r="F59" s="3" t="s">
        <v>218</v>
      </c>
      <c r="G59" t="s">
        <v>219</v>
      </c>
    </row>
    <row r="60" spans="2:7" ht="15" customHeight="1" x14ac:dyDescent="0.25">
      <c r="B60" s="3" t="s">
        <v>113</v>
      </c>
      <c r="C60" s="3" t="s">
        <v>220</v>
      </c>
      <c r="D60" s="4"/>
      <c r="E60" s="3">
        <v>3016278988</v>
      </c>
      <c r="F60" s="3" t="s">
        <v>221</v>
      </c>
      <c r="G60" s="3" t="s">
        <v>222</v>
      </c>
    </row>
    <row r="61" spans="2:7" ht="15" customHeight="1" x14ac:dyDescent="0.25">
      <c r="B61" s="3" t="s">
        <v>223</v>
      </c>
      <c r="C61" s="3" t="s">
        <v>224</v>
      </c>
      <c r="D61" s="4" t="s">
        <v>225</v>
      </c>
      <c r="E61" s="3">
        <v>3176574511</v>
      </c>
      <c r="F61" s="3" t="s">
        <v>226</v>
      </c>
      <c r="G61" s="3" t="s">
        <v>227</v>
      </c>
    </row>
    <row r="62" spans="2:7" ht="15" customHeight="1" x14ac:dyDescent="0.25">
      <c r="B62" s="3" t="s">
        <v>223</v>
      </c>
      <c r="C62" s="3" t="s">
        <v>228</v>
      </c>
      <c r="D62" s="4">
        <v>900966150</v>
      </c>
      <c r="E62" s="3">
        <v>3162318231</v>
      </c>
      <c r="F62" s="3" t="s">
        <v>229</v>
      </c>
      <c r="G62" s="3" t="s">
        <v>230</v>
      </c>
    </row>
    <row r="63" spans="2:7" ht="15" customHeight="1" x14ac:dyDescent="0.25">
      <c r="B63" s="3" t="s">
        <v>223</v>
      </c>
      <c r="C63" s="3" t="s">
        <v>231</v>
      </c>
      <c r="D63" s="4">
        <v>1061761971</v>
      </c>
      <c r="E63" s="3">
        <v>3188957101</v>
      </c>
      <c r="F63" s="3" t="s">
        <v>232</v>
      </c>
      <c r="G63" s="3" t="s">
        <v>233</v>
      </c>
    </row>
    <row r="64" spans="2:7" ht="15" customHeight="1" x14ac:dyDescent="0.25">
      <c r="B64" s="3" t="s">
        <v>223</v>
      </c>
      <c r="C64" s="3" t="s">
        <v>234</v>
      </c>
      <c r="D64" s="4" t="s">
        <v>235</v>
      </c>
      <c r="E64" s="3"/>
      <c r="F64" s="3"/>
      <c r="G64" s="3"/>
    </row>
    <row r="65" spans="2:7" ht="15" customHeight="1" x14ac:dyDescent="0.25">
      <c r="B65" s="3" t="s">
        <v>236</v>
      </c>
      <c r="C65" s="3" t="s">
        <v>237</v>
      </c>
      <c r="D65" s="4" t="s">
        <v>238</v>
      </c>
      <c r="E65" s="3">
        <v>3217655298</v>
      </c>
      <c r="F65" s="3" t="s">
        <v>239</v>
      </c>
      <c r="G65" s="3" t="s">
        <v>240</v>
      </c>
    </row>
    <row r="66" spans="2:7" ht="15" customHeight="1" x14ac:dyDescent="0.25">
      <c r="B66" s="3"/>
      <c r="C66" s="3"/>
      <c r="D66" s="4"/>
      <c r="E66" s="3"/>
      <c r="F66" s="3"/>
      <c r="G66" s="3"/>
    </row>
    <row r="67" spans="2:7" ht="15" customHeight="1" x14ac:dyDescent="0.25">
      <c r="B67" s="3"/>
      <c r="C67" s="3"/>
      <c r="D67" s="4"/>
      <c r="E67" s="3"/>
      <c r="F67" s="3"/>
      <c r="G67" s="3"/>
    </row>
    <row r="68" spans="2:7" ht="15" customHeight="1" x14ac:dyDescent="0.25">
      <c r="B68" s="3"/>
      <c r="C68" s="3"/>
      <c r="D68" s="4"/>
      <c r="E68" s="3"/>
      <c r="F68" s="3"/>
      <c r="G68" s="3"/>
    </row>
    <row r="69" spans="2:7" ht="15" customHeight="1" x14ac:dyDescent="0.25">
      <c r="B69" s="3"/>
      <c r="C69" s="3"/>
      <c r="D69" s="4"/>
      <c r="E69" s="3"/>
      <c r="F69" s="3"/>
      <c r="G69" s="3"/>
    </row>
    <row r="70" spans="2:7" ht="15" customHeight="1" x14ac:dyDescent="0.25">
      <c r="B70" s="3"/>
      <c r="C70" s="3"/>
      <c r="D70" s="4"/>
      <c r="E70" s="3"/>
      <c r="F70" s="3"/>
      <c r="G70" s="3"/>
    </row>
    <row r="71" spans="2:7" ht="15" customHeight="1" x14ac:dyDescent="0.25">
      <c r="B71" s="3"/>
      <c r="C71" s="3"/>
      <c r="D71" s="4"/>
      <c r="E71" s="3"/>
      <c r="F71" s="3"/>
      <c r="G71" s="3"/>
    </row>
    <row r="72" spans="2:7" ht="15" customHeight="1" x14ac:dyDescent="0.25">
      <c r="B72" s="3"/>
      <c r="C72" s="3"/>
      <c r="D72" s="4"/>
      <c r="E72" s="3"/>
      <c r="F72" s="3"/>
      <c r="G72" s="3"/>
    </row>
    <row r="73" spans="2:7" ht="15" customHeight="1" x14ac:dyDescent="0.25">
      <c r="B73" s="3"/>
      <c r="C73" s="3"/>
      <c r="D73" s="4"/>
      <c r="E73" s="3"/>
      <c r="F73" s="3"/>
      <c r="G73" s="3"/>
    </row>
    <row r="74" spans="2:7" ht="15" customHeight="1" x14ac:dyDescent="0.25">
      <c r="B74" s="3"/>
      <c r="C74" s="3"/>
      <c r="D74" s="4"/>
      <c r="E74" s="3"/>
      <c r="F74" s="3"/>
      <c r="G74" s="3"/>
    </row>
    <row r="75" spans="2:7" ht="15" customHeight="1" x14ac:dyDescent="0.25">
      <c r="B75" s="3"/>
      <c r="C75" s="3"/>
      <c r="D75" s="4"/>
      <c r="E75" s="3"/>
      <c r="F75" s="3"/>
      <c r="G75" s="3"/>
    </row>
    <row r="76" spans="2:7" ht="15" customHeight="1" x14ac:dyDescent="0.25">
      <c r="B76" s="3"/>
      <c r="C76" s="3"/>
      <c r="D76" s="4"/>
      <c r="E76" s="3"/>
      <c r="F76" s="3"/>
      <c r="G76" s="3"/>
    </row>
    <row r="77" spans="2:7" ht="15" customHeight="1" x14ac:dyDescent="0.25">
      <c r="B77" s="3"/>
      <c r="C77" s="3"/>
      <c r="D77" s="4"/>
      <c r="E77" s="3"/>
      <c r="F77" s="3"/>
      <c r="G77" s="3"/>
    </row>
    <row r="78" spans="2:7" ht="15" customHeight="1" x14ac:dyDescent="0.25">
      <c r="B78" s="3"/>
      <c r="C78" s="3"/>
      <c r="D78" s="4"/>
      <c r="E78" s="3"/>
      <c r="F78" s="3"/>
      <c r="G78" s="3"/>
    </row>
    <row r="79" spans="2:7" ht="15" customHeight="1" x14ac:dyDescent="0.25">
      <c r="B79" s="3"/>
      <c r="C79" s="3"/>
      <c r="D79" s="4"/>
      <c r="E79" s="3"/>
      <c r="F79" s="3"/>
      <c r="G79" s="3"/>
    </row>
    <row r="80" spans="2:7" ht="15" customHeight="1" x14ac:dyDescent="0.25">
      <c r="B80" s="3"/>
      <c r="C80" s="3"/>
      <c r="D80" s="4"/>
      <c r="E80" s="3"/>
      <c r="F80" s="3"/>
      <c r="G80" s="3"/>
    </row>
    <row r="81" spans="2:7" ht="15" customHeight="1" x14ac:dyDescent="0.25">
      <c r="B81" s="3"/>
      <c r="C81" s="3"/>
      <c r="D81" s="4"/>
      <c r="E81" s="3"/>
      <c r="F81" s="3"/>
      <c r="G81" s="3"/>
    </row>
    <row r="82" spans="2:7" ht="15" customHeight="1" x14ac:dyDescent="0.25">
      <c r="B82" s="3"/>
      <c r="C82" s="3"/>
      <c r="D82" s="4"/>
      <c r="E82" s="3"/>
      <c r="F82" s="3"/>
      <c r="G82" s="3"/>
    </row>
    <row r="83" spans="2:7" ht="15" customHeight="1" x14ac:dyDescent="0.25">
      <c r="B83" s="3"/>
      <c r="C83" s="3"/>
      <c r="D83" s="4"/>
      <c r="E83" s="3"/>
      <c r="F83" s="3"/>
      <c r="G83" s="3"/>
    </row>
    <row r="84" spans="2:7" ht="15" customHeight="1" x14ac:dyDescent="0.25">
      <c r="B84" s="3"/>
      <c r="C84" s="3"/>
      <c r="D84" s="4"/>
      <c r="E84" s="3"/>
      <c r="F84" s="3"/>
      <c r="G84" s="3"/>
    </row>
    <row r="85" spans="2:7" ht="15" customHeight="1" x14ac:dyDescent="0.25">
      <c r="B85" s="3"/>
      <c r="C85" s="3"/>
      <c r="D85" s="4"/>
      <c r="E85" s="3"/>
      <c r="F85" s="3"/>
      <c r="G85" s="3"/>
    </row>
    <row r="86" spans="2:7" ht="15" customHeight="1" x14ac:dyDescent="0.25">
      <c r="B86" s="3"/>
      <c r="C86" s="3"/>
      <c r="D86" s="4"/>
      <c r="E86" s="3"/>
      <c r="F86" s="3"/>
      <c r="G86" s="3"/>
    </row>
    <row r="87" spans="2:7" ht="15" customHeight="1" x14ac:dyDescent="0.25">
      <c r="B87" s="3"/>
      <c r="C87" s="3"/>
      <c r="D87" s="4"/>
      <c r="E87" s="3"/>
      <c r="F87" s="3"/>
      <c r="G87" s="3"/>
    </row>
    <row r="88" spans="2:7" ht="15" customHeight="1" x14ac:dyDescent="0.25">
      <c r="B88" s="3"/>
      <c r="C88" s="3"/>
      <c r="D88" s="4"/>
      <c r="E88" s="3"/>
      <c r="F88" s="3"/>
      <c r="G88" s="3"/>
    </row>
    <row r="89" spans="2:7" ht="15" customHeight="1" x14ac:dyDescent="0.25">
      <c r="B89" s="3"/>
      <c r="C89" s="3"/>
      <c r="D89" s="4"/>
      <c r="E89" s="3"/>
      <c r="F89" s="3"/>
      <c r="G89" s="3"/>
    </row>
    <row r="90" spans="2:7" ht="15" customHeight="1" x14ac:dyDescent="0.25">
      <c r="B90" s="3"/>
      <c r="C90" s="3"/>
      <c r="D90" s="4"/>
      <c r="E90" s="3"/>
      <c r="F90" s="3"/>
      <c r="G90" s="3"/>
    </row>
    <row r="91" spans="2:7" ht="15" customHeight="1" x14ac:dyDescent="0.25">
      <c r="B91" s="3"/>
      <c r="C91" s="3"/>
      <c r="D91" s="4"/>
      <c r="E91" s="3"/>
      <c r="F91" s="3"/>
      <c r="G91" s="3"/>
    </row>
    <row r="92" spans="2:7" ht="15" customHeight="1" x14ac:dyDescent="0.25">
      <c r="B92" s="3"/>
      <c r="C92" s="3"/>
      <c r="D92" s="4"/>
      <c r="E92" s="3"/>
      <c r="F92" s="3"/>
      <c r="G92" s="3"/>
    </row>
  </sheetData>
  <pageMargins left="0.70866141732283472" right="0.70866141732283472" top="0.39370078740157483" bottom="0.74803149606299213" header="0.31496062992125984" footer="0.31496062992125984"/>
  <pageSetup scale="59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'https://fupedu-my.sharepoint.com/personal/calidad_fup_edu_co/Documents/SGC-FUP/2. Liderazgo/2.1. Planes/2023/9.2 Gestión Administrativa/Evidencia PMI NC/PLAN DE MEJORA/[Documentos de procesos FUP.xlsx]Hoja2'!#REF!</xm:f>
          </x14:formula1>
          <xm:sqref>B93:B1048576 B4</xm:sqref>
        </x14:dataValidation>
        <x14:dataValidation type="list" allowBlank="1" showInputMessage="1" showErrorMessage="1" xr:uid="{00000000-0002-0000-0000-000001000000}">
          <x14:formula1>
            <xm:f>Hoja2!$F$2:$F$38</xm:f>
          </x14:formula1>
          <xm:sqref>B5:B92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643D-4609-47D4-AAB6-3B17F80EF101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F38"/>
  <sheetViews>
    <sheetView topLeftCell="A27" workbookViewId="0">
      <selection activeCell="E6" sqref="E6"/>
    </sheetView>
  </sheetViews>
  <sheetFormatPr baseColWidth="10" defaultColWidth="11.42578125" defaultRowHeight="15" x14ac:dyDescent="0.25"/>
  <cols>
    <col min="3" max="3" width="3.5703125" bestFit="1" customWidth="1"/>
    <col min="4" max="4" width="14.7109375" customWidth="1"/>
  </cols>
  <sheetData>
    <row r="2" spans="3:6" x14ac:dyDescent="0.25">
      <c r="C2" s="8">
        <v>1</v>
      </c>
      <c r="D2" s="9" t="s">
        <v>241</v>
      </c>
      <c r="E2" s="10" t="s">
        <v>242</v>
      </c>
      <c r="F2" s="8" t="str">
        <f t="shared" ref="F2:F19" si="0">CONCATENATE(C2,". ",D2)</f>
        <v>1. Docencia</v>
      </c>
    </row>
    <row r="3" spans="3:6" ht="22.5" x14ac:dyDescent="0.25">
      <c r="C3" s="11" t="s">
        <v>243</v>
      </c>
      <c r="D3" s="12" t="s">
        <v>244</v>
      </c>
      <c r="E3" s="13" t="s">
        <v>245</v>
      </c>
      <c r="F3" s="11" t="str">
        <f t="shared" si="0"/>
        <v>1.1. Registro Académico</v>
      </c>
    </row>
    <row r="4" spans="3:6" ht="22.5" x14ac:dyDescent="0.25">
      <c r="C4" s="14" t="s">
        <v>246</v>
      </c>
      <c r="D4" s="15" t="s">
        <v>247</v>
      </c>
      <c r="E4" s="13" t="s">
        <v>248</v>
      </c>
      <c r="F4" s="11" t="str">
        <f t="shared" si="0"/>
        <v>1.2. Gestión Curricular</v>
      </c>
    </row>
    <row r="5" spans="3:6" ht="45" x14ac:dyDescent="0.25">
      <c r="C5" s="8">
        <v>2</v>
      </c>
      <c r="D5" s="9" t="s">
        <v>249</v>
      </c>
      <c r="E5" s="10" t="s">
        <v>250</v>
      </c>
      <c r="F5" s="8" t="str">
        <f t="shared" si="0"/>
        <v>2. Investigación, Desarrollo e Innovación</v>
      </c>
    </row>
    <row r="6" spans="3:6" ht="33.75" x14ac:dyDescent="0.25">
      <c r="C6" s="8">
        <v>3</v>
      </c>
      <c r="D6" s="9" t="s">
        <v>251</v>
      </c>
      <c r="E6" s="10" t="s">
        <v>252</v>
      </c>
      <c r="F6" s="8" t="str">
        <f t="shared" si="0"/>
        <v>3. Extensión y Proyección Social</v>
      </c>
    </row>
    <row r="7" spans="3:6" ht="33.75" x14ac:dyDescent="0.25">
      <c r="C7" s="11" t="s">
        <v>253</v>
      </c>
      <c r="D7" s="12" t="s">
        <v>254</v>
      </c>
      <c r="E7" s="13" t="s">
        <v>255</v>
      </c>
      <c r="F7" s="11" t="str">
        <f t="shared" si="0"/>
        <v>3.1. Emprendimiento</v>
      </c>
    </row>
    <row r="8" spans="3:6" ht="22.5" x14ac:dyDescent="0.25">
      <c r="C8" s="11" t="s">
        <v>256</v>
      </c>
      <c r="D8" s="12" t="s">
        <v>257</v>
      </c>
      <c r="E8" s="13" t="s">
        <v>258</v>
      </c>
      <c r="F8" s="11" t="str">
        <f t="shared" si="0"/>
        <v>3.2. Gestión de Egresados</v>
      </c>
    </row>
    <row r="9" spans="3:6" ht="22.5" x14ac:dyDescent="0.25">
      <c r="C9" s="11" t="s">
        <v>259</v>
      </c>
      <c r="D9" s="12" t="s">
        <v>260</v>
      </c>
      <c r="E9" s="13" t="s">
        <v>261</v>
      </c>
      <c r="F9" s="11" t="str">
        <f t="shared" si="0"/>
        <v>3.3. Educación Continuada</v>
      </c>
    </row>
    <row r="10" spans="3:6" ht="33.75" x14ac:dyDescent="0.25">
      <c r="C10" s="11" t="s">
        <v>262</v>
      </c>
      <c r="D10" s="12" t="s">
        <v>263</v>
      </c>
      <c r="E10" s="13" t="s">
        <v>264</v>
      </c>
      <c r="F10" s="11" t="str">
        <f t="shared" si="0"/>
        <v>3.4. Gestión de Proyectos de Extensión</v>
      </c>
    </row>
    <row r="11" spans="3:6" ht="33.75" x14ac:dyDescent="0.25">
      <c r="C11" s="16" t="s">
        <v>265</v>
      </c>
      <c r="D11" s="17" t="s">
        <v>266</v>
      </c>
      <c r="E11" s="18" t="s">
        <v>267</v>
      </c>
      <c r="F11" s="16" t="str">
        <f t="shared" si="0"/>
        <v>3.5. Escuela de Formación para el TDH</v>
      </c>
    </row>
    <row r="12" spans="3:6" ht="45" x14ac:dyDescent="0.25">
      <c r="C12" s="19">
        <v>4</v>
      </c>
      <c r="D12" s="20" t="s">
        <v>268</v>
      </c>
      <c r="E12" s="21" t="s">
        <v>269</v>
      </c>
      <c r="F12" s="19" t="str">
        <f t="shared" si="0"/>
        <v>4. Direccionamiento Estratégico</v>
      </c>
    </row>
    <row r="13" spans="3:6" ht="22.5" x14ac:dyDescent="0.25">
      <c r="C13" s="22" t="s">
        <v>270</v>
      </c>
      <c r="D13" s="23" t="s">
        <v>271</v>
      </c>
      <c r="E13" s="24" t="s">
        <v>272</v>
      </c>
      <c r="F13" s="22" t="str">
        <f t="shared" si="0"/>
        <v>4.1. Planeación Institucional</v>
      </c>
    </row>
    <row r="14" spans="3:6" ht="33.75" x14ac:dyDescent="0.25">
      <c r="C14" s="22" t="s">
        <v>273</v>
      </c>
      <c r="D14" s="23" t="s">
        <v>274</v>
      </c>
      <c r="E14" s="24" t="s">
        <v>275</v>
      </c>
      <c r="F14" s="22" t="str">
        <f t="shared" si="0"/>
        <v>4.2. Gestión de Sistemas de Información</v>
      </c>
    </row>
    <row r="15" spans="3:6" ht="33.75" x14ac:dyDescent="0.25">
      <c r="C15" s="22" t="s">
        <v>276</v>
      </c>
      <c r="D15" s="23" t="s">
        <v>277</v>
      </c>
      <c r="E15" s="24" t="s">
        <v>278</v>
      </c>
      <c r="F15" s="22" t="str">
        <f t="shared" si="0"/>
        <v>4.3. Gestión de Proyectos Institucionales</v>
      </c>
    </row>
    <row r="16" spans="3:6" ht="22.5" x14ac:dyDescent="0.25">
      <c r="C16" s="25" t="s">
        <v>279</v>
      </c>
      <c r="D16" s="26" t="s">
        <v>280</v>
      </c>
      <c r="E16" s="27" t="s">
        <v>281</v>
      </c>
      <c r="F16" s="25" t="str">
        <f t="shared" si="0"/>
        <v>4.4. Gestión de Calidad</v>
      </c>
    </row>
    <row r="17" spans="3:6" ht="45" x14ac:dyDescent="0.25">
      <c r="C17" s="19">
        <v>5</v>
      </c>
      <c r="D17" s="20" t="s">
        <v>282</v>
      </c>
      <c r="E17" s="21" t="s">
        <v>283</v>
      </c>
      <c r="F17" s="19" t="str">
        <f t="shared" si="0"/>
        <v>5. Aseguramiento de la Calidad</v>
      </c>
    </row>
    <row r="18" spans="3:6" ht="33.75" x14ac:dyDescent="0.25">
      <c r="C18" s="22" t="s">
        <v>284</v>
      </c>
      <c r="D18" s="23" t="s">
        <v>285</v>
      </c>
      <c r="E18" s="24" t="s">
        <v>286</v>
      </c>
      <c r="F18" s="22" t="str">
        <f t="shared" si="0"/>
        <v>5.1. Autoevaluación Institucional</v>
      </c>
    </row>
    <row r="19" spans="3:6" ht="22.5" x14ac:dyDescent="0.25">
      <c r="C19" s="22" t="s">
        <v>287</v>
      </c>
      <c r="D19" s="23" t="s">
        <v>288</v>
      </c>
      <c r="E19" s="24" t="s">
        <v>289</v>
      </c>
      <c r="F19" s="22" t="str">
        <f t="shared" si="0"/>
        <v>5.2. Registro Calificado</v>
      </c>
    </row>
    <row r="20" spans="3:6" ht="45" x14ac:dyDescent="0.25">
      <c r="C20" s="19">
        <v>6</v>
      </c>
      <c r="D20" s="20" t="s">
        <v>290</v>
      </c>
      <c r="E20" s="21" t="s">
        <v>291</v>
      </c>
      <c r="F20" s="19" t="s">
        <v>292</v>
      </c>
    </row>
    <row r="21" spans="3:6" ht="45" x14ac:dyDescent="0.25">
      <c r="C21" s="22" t="s">
        <v>293</v>
      </c>
      <c r="D21" s="23" t="s">
        <v>294</v>
      </c>
      <c r="E21" s="24" t="s">
        <v>291</v>
      </c>
      <c r="F21" s="22" t="str">
        <f t="shared" ref="F21:F38" si="1">CONCATENATE(C21,". ",D21)</f>
        <v>6.1. Relaciones Interinstitucionales - ORI</v>
      </c>
    </row>
    <row r="22" spans="3:6" ht="22.5" x14ac:dyDescent="0.25">
      <c r="C22" s="22" t="s">
        <v>295</v>
      </c>
      <c r="D22" s="23" t="s">
        <v>296</v>
      </c>
      <c r="E22" s="24" t="s">
        <v>297</v>
      </c>
      <c r="F22" s="22" t="str">
        <f t="shared" si="1"/>
        <v>6.2. Mercadeo - Admisiones</v>
      </c>
    </row>
    <row r="23" spans="3:6" ht="33.75" x14ac:dyDescent="0.25">
      <c r="C23" s="25" t="s">
        <v>298</v>
      </c>
      <c r="D23" s="26" t="s">
        <v>299</v>
      </c>
      <c r="E23" s="27" t="s">
        <v>300</v>
      </c>
      <c r="F23" s="25" t="str">
        <f t="shared" si="1"/>
        <v>6.3. Comunicaciones Institucional</v>
      </c>
    </row>
    <row r="24" spans="3:6" ht="22.5" x14ac:dyDescent="0.25">
      <c r="C24" s="28">
        <v>7</v>
      </c>
      <c r="D24" s="29" t="s">
        <v>301</v>
      </c>
      <c r="E24" s="30" t="s">
        <v>302</v>
      </c>
      <c r="F24" s="28" t="str">
        <f t="shared" si="1"/>
        <v>7. Bienestar Institucional</v>
      </c>
    </row>
    <row r="25" spans="3:6" ht="22.5" x14ac:dyDescent="0.25">
      <c r="C25" s="19">
        <v>8</v>
      </c>
      <c r="D25" s="20" t="s">
        <v>303</v>
      </c>
      <c r="E25" s="21" t="s">
        <v>304</v>
      </c>
      <c r="F25" s="19" t="str">
        <f t="shared" si="1"/>
        <v>8. Gestión Humana</v>
      </c>
    </row>
    <row r="26" spans="3:6" ht="33.75" x14ac:dyDescent="0.25">
      <c r="C26" s="22" t="s">
        <v>305</v>
      </c>
      <c r="D26" s="23" t="s">
        <v>306</v>
      </c>
      <c r="E26" s="24" t="s">
        <v>307</v>
      </c>
      <c r="F26" s="22" t="str">
        <f t="shared" si="1"/>
        <v>8.1. Gestión del Talento Humano</v>
      </c>
    </row>
    <row r="27" spans="3:6" ht="45" x14ac:dyDescent="0.25">
      <c r="C27" s="25" t="s">
        <v>308</v>
      </c>
      <c r="D27" s="26" t="s">
        <v>309</v>
      </c>
      <c r="E27" s="27" t="s">
        <v>310</v>
      </c>
      <c r="F27" s="25" t="str">
        <f t="shared" si="1"/>
        <v>8.2. Gestión de Seguridad y Salud en el Trabajo</v>
      </c>
    </row>
    <row r="28" spans="3:6" ht="45" x14ac:dyDescent="0.25">
      <c r="C28" s="31">
        <v>9</v>
      </c>
      <c r="D28" s="32" t="s">
        <v>311</v>
      </c>
      <c r="E28" s="33" t="s">
        <v>312</v>
      </c>
      <c r="F28" s="31" t="str">
        <f t="shared" si="1"/>
        <v>9. Gestión Administrativa y Financiera</v>
      </c>
    </row>
    <row r="29" spans="3:6" ht="22.5" x14ac:dyDescent="0.25">
      <c r="C29" s="34" t="s">
        <v>313</v>
      </c>
      <c r="D29" s="35" t="s">
        <v>314</v>
      </c>
      <c r="E29" s="36" t="s">
        <v>312</v>
      </c>
      <c r="F29" s="34" t="str">
        <f t="shared" si="1"/>
        <v>9.1. Gestión Financiera</v>
      </c>
    </row>
    <row r="30" spans="3:6" ht="22.5" x14ac:dyDescent="0.25">
      <c r="C30" s="34" t="s">
        <v>315</v>
      </c>
      <c r="D30" s="35" t="s">
        <v>316</v>
      </c>
      <c r="E30" s="36" t="s">
        <v>317</v>
      </c>
      <c r="F30" s="34" t="str">
        <f t="shared" si="1"/>
        <v>9.2. Gestión Administrativa</v>
      </c>
    </row>
    <row r="31" spans="3:6" ht="33.75" x14ac:dyDescent="0.25">
      <c r="C31" s="37" t="s">
        <v>318</v>
      </c>
      <c r="D31" s="38" t="s">
        <v>319</v>
      </c>
      <c r="E31" s="39" t="s">
        <v>320</v>
      </c>
      <c r="F31" s="37" t="str">
        <f t="shared" si="1"/>
        <v>9.3. Gestión Contable y Tesorería</v>
      </c>
    </row>
    <row r="32" spans="3:6" ht="33.75" x14ac:dyDescent="0.25">
      <c r="C32" s="31">
        <v>10</v>
      </c>
      <c r="D32" s="32" t="s">
        <v>321</v>
      </c>
      <c r="E32" s="33" t="s">
        <v>322</v>
      </c>
      <c r="F32" s="31" t="str">
        <f t="shared" si="1"/>
        <v>10. Gestión Legal y Documental</v>
      </c>
    </row>
    <row r="33" spans="3:6" ht="22.5" x14ac:dyDescent="0.25">
      <c r="C33" s="34" t="s">
        <v>323</v>
      </c>
      <c r="D33" s="35" t="s">
        <v>324</v>
      </c>
      <c r="E33" s="36" t="s">
        <v>322</v>
      </c>
      <c r="F33" s="34" t="str">
        <f t="shared" si="1"/>
        <v>10.1. Gestión Legal</v>
      </c>
    </row>
    <row r="34" spans="3:6" ht="22.5" x14ac:dyDescent="0.25">
      <c r="C34" s="37" t="s">
        <v>325</v>
      </c>
      <c r="D34" s="38" t="s">
        <v>326</v>
      </c>
      <c r="E34" s="39" t="s">
        <v>327</v>
      </c>
      <c r="F34" s="37" t="str">
        <f t="shared" si="1"/>
        <v>10.2. Gestión Documental</v>
      </c>
    </row>
    <row r="35" spans="3:6" ht="22.5" x14ac:dyDescent="0.25">
      <c r="C35" s="40">
        <v>11</v>
      </c>
      <c r="D35" s="41" t="s">
        <v>328</v>
      </c>
      <c r="E35" s="42" t="s">
        <v>329</v>
      </c>
      <c r="F35" s="40" t="str">
        <f t="shared" si="1"/>
        <v>11. Gestión de Recursos</v>
      </c>
    </row>
    <row r="36" spans="3:6" ht="33.75" x14ac:dyDescent="0.25">
      <c r="C36" s="34" t="s">
        <v>330</v>
      </c>
      <c r="D36" s="35" t="s">
        <v>331</v>
      </c>
      <c r="E36" s="36" t="s">
        <v>332</v>
      </c>
      <c r="F36" s="34" t="str">
        <f t="shared" si="1"/>
        <v>11.1. Recursos Educativos</v>
      </c>
    </row>
    <row r="37" spans="3:6" ht="33.75" x14ac:dyDescent="0.25">
      <c r="C37" s="34" t="s">
        <v>333</v>
      </c>
      <c r="D37" s="35" t="s">
        <v>334</v>
      </c>
      <c r="E37" s="36" t="s">
        <v>335</v>
      </c>
      <c r="F37" s="34" t="str">
        <f t="shared" si="1"/>
        <v>11.2. Recursos Tecnológicos</v>
      </c>
    </row>
    <row r="38" spans="3:6" ht="33.75" x14ac:dyDescent="0.25">
      <c r="C38" s="34" t="s">
        <v>336</v>
      </c>
      <c r="D38" s="35" t="s">
        <v>337</v>
      </c>
      <c r="E38" s="36" t="s">
        <v>338</v>
      </c>
      <c r="F38" s="34" t="str">
        <f t="shared" si="1"/>
        <v>11.3. Recursos Físicos</v>
      </c>
    </row>
  </sheetData>
  <conditionalFormatting sqref="C17:C19 C22:C23">
    <cfRule type="expression" dxfId="60" priority="134">
      <formula>$A43="VERDADERO"</formula>
    </cfRule>
  </conditionalFormatting>
  <conditionalFormatting sqref="C17:C20 C22:C23 C2:E5 C34:D36">
    <cfRule type="expression" dxfId="59" priority="135">
      <formula>#REF!&gt;0</formula>
    </cfRule>
  </conditionalFormatting>
  <conditionalFormatting sqref="C21">
    <cfRule type="expression" dxfId="58" priority="97">
      <formula>$A47="VERDADERO"</formula>
    </cfRule>
  </conditionalFormatting>
  <conditionalFormatting sqref="C21:C23">
    <cfRule type="expression" dxfId="57" priority="98">
      <formula>#REF!&gt;0</formula>
    </cfRule>
  </conditionalFormatting>
  <conditionalFormatting sqref="C22:C25">
    <cfRule type="expression" dxfId="56" priority="126">
      <formula>#REF!&gt;0</formula>
    </cfRule>
  </conditionalFormatting>
  <conditionalFormatting sqref="C2:D2">
    <cfRule type="expression" dxfId="55" priority="130">
      <formula>$A2="VERDADERO"</formula>
    </cfRule>
  </conditionalFormatting>
  <conditionalFormatting sqref="C3:D11">
    <cfRule type="expression" dxfId="54" priority="136">
      <formula>#REF!="VERDADERO"</formula>
    </cfRule>
  </conditionalFormatting>
  <conditionalFormatting sqref="C6:D20 C33">
    <cfRule type="expression" dxfId="53" priority="132">
      <formula>#REF!&gt;0</formula>
    </cfRule>
  </conditionalFormatting>
  <conditionalFormatting sqref="C11:D20">
    <cfRule type="expression" dxfId="52" priority="122">
      <formula>#REF!&gt;0</formula>
    </cfRule>
  </conditionalFormatting>
  <conditionalFormatting sqref="C12:D12 E12:E14 C33">
    <cfRule type="expression" dxfId="51" priority="121">
      <formula>$A7="VERDADERO"</formula>
    </cfRule>
  </conditionalFormatting>
  <conditionalFormatting sqref="C13:D13">
    <cfRule type="expression" dxfId="50" priority="138">
      <formula>#REF!="VERDADERO"</formula>
    </cfRule>
  </conditionalFormatting>
  <conditionalFormatting sqref="C14:D20">
    <cfRule type="expression" dxfId="49" priority="41">
      <formula>$A41="VERDADERO"</formula>
    </cfRule>
  </conditionalFormatting>
  <conditionalFormatting sqref="C21:D21">
    <cfRule type="expression" dxfId="48" priority="94">
      <formula>#REF!&gt;0</formula>
    </cfRule>
  </conditionalFormatting>
  <conditionalFormatting sqref="C26:D26">
    <cfRule type="expression" dxfId="47" priority="90">
      <formula>$A22="VERDADERO"</formula>
    </cfRule>
    <cfRule type="expression" dxfId="46" priority="91">
      <formula>#REF!&gt;0</formula>
    </cfRule>
  </conditionalFormatting>
  <conditionalFormatting sqref="C29:D32">
    <cfRule type="expression" dxfId="45" priority="88">
      <formula>#REF!&gt;0</formula>
    </cfRule>
  </conditionalFormatting>
  <conditionalFormatting sqref="C37:D38">
    <cfRule type="expression" dxfId="44" priority="55">
      <formula>#REF!&gt;0</formula>
    </cfRule>
  </conditionalFormatting>
  <conditionalFormatting sqref="C15:E16">
    <cfRule type="expression" dxfId="43" priority="34">
      <formula>#REF!&gt;0</formula>
    </cfRule>
  </conditionalFormatting>
  <conditionalFormatting sqref="C29:E31">
    <cfRule type="expression" dxfId="42" priority="58">
      <formula>$A25="VERDADERO"</formula>
    </cfRule>
  </conditionalFormatting>
  <conditionalFormatting sqref="C24:F24">
    <cfRule type="expression" dxfId="41" priority="23">
      <formula>#REF!="VERDADERO"</formula>
    </cfRule>
  </conditionalFormatting>
  <conditionalFormatting sqref="C32:F32">
    <cfRule type="expression" dxfId="40" priority="27">
      <formula>$A26="VERDADERO"</formula>
    </cfRule>
  </conditionalFormatting>
  <conditionalFormatting sqref="C33:F33">
    <cfRule type="expression" dxfId="39" priority="8">
      <formula>$A26="VERDADERO"</formula>
    </cfRule>
  </conditionalFormatting>
  <conditionalFormatting sqref="C34:F34">
    <cfRule type="expression" dxfId="38" priority="10">
      <formula>$A29="VERDADERO"</formula>
    </cfRule>
  </conditionalFormatting>
  <conditionalFormatting sqref="D2">
    <cfRule type="expression" dxfId="37" priority="52">
      <formula>#REF!="VERDADERO"</formula>
    </cfRule>
  </conditionalFormatting>
  <conditionalFormatting sqref="D2:D28">
    <cfRule type="expression" dxfId="36" priority="104">
      <formula>#REF!&gt;0</formula>
    </cfRule>
  </conditionalFormatting>
  <conditionalFormatting sqref="D21">
    <cfRule type="expression" dxfId="35" priority="92">
      <formula>#REF!&gt;0</formula>
    </cfRule>
  </conditionalFormatting>
  <conditionalFormatting sqref="D24:D25">
    <cfRule type="expression" dxfId="34" priority="111">
      <formula>$A50="VERDADERO"</formula>
    </cfRule>
  </conditionalFormatting>
  <conditionalFormatting sqref="D27 C27:C29 C14">
    <cfRule type="expression" dxfId="33" priority="128">
      <formula>#REF!&gt;0</formula>
    </cfRule>
  </conditionalFormatting>
  <conditionalFormatting sqref="D28">
    <cfRule type="expression" dxfId="32" priority="107">
      <formula>$A53="VERDADERO"</formula>
    </cfRule>
  </conditionalFormatting>
  <conditionalFormatting sqref="D33">
    <cfRule type="expression" dxfId="31" priority="100">
      <formula>#REF!&gt;0</formula>
    </cfRule>
  </conditionalFormatting>
  <conditionalFormatting sqref="D17:E19 C27:D27 C37:E38 C25 C28">
    <cfRule type="expression" dxfId="30" priority="124">
      <formula>$A13="VERDADERO"</formula>
    </cfRule>
  </conditionalFormatting>
  <conditionalFormatting sqref="D21:E23">
    <cfRule type="expression" dxfId="29" priority="93">
      <formula>$A18="VERDADERO"</formula>
    </cfRule>
  </conditionalFormatting>
  <conditionalFormatting sqref="E6:E29">
    <cfRule type="expression" dxfId="28" priority="61">
      <formula>#REF!&gt;0</formula>
    </cfRule>
  </conditionalFormatting>
  <conditionalFormatting sqref="E9:E24">
    <cfRule type="expression" dxfId="27" priority="112">
      <formula>#REF!="VERDADERO"</formula>
    </cfRule>
  </conditionalFormatting>
  <conditionalFormatting sqref="E10">
    <cfRule type="expression" dxfId="26" priority="103">
      <formula>$A7="VERDADERO"</formula>
    </cfRule>
  </conditionalFormatting>
  <conditionalFormatting sqref="E15">
    <cfRule type="expression" dxfId="25" priority="35">
      <formula>$A10="VERDADERO"</formula>
    </cfRule>
  </conditionalFormatting>
  <conditionalFormatting sqref="E16">
    <cfRule type="expression" dxfId="24" priority="47">
      <formula>$A13="VERDADERO"</formula>
    </cfRule>
  </conditionalFormatting>
  <conditionalFormatting sqref="E25:E28">
    <cfRule type="expression" dxfId="23" priority="77">
      <formula>$A21="VERDADERO"</formula>
    </cfRule>
  </conditionalFormatting>
  <conditionalFormatting sqref="E26:E27">
    <cfRule type="expression" dxfId="22" priority="60">
      <formula>$A22="VERDADERO"</formula>
    </cfRule>
  </conditionalFormatting>
  <conditionalFormatting sqref="E30:E34">
    <cfRule type="expression" dxfId="21" priority="59">
      <formula>#REF!&gt;0</formula>
    </cfRule>
  </conditionalFormatting>
  <conditionalFormatting sqref="E35">
    <cfRule type="expression" dxfId="20" priority="67">
      <formula>$A33="VERDADERO"</formula>
    </cfRule>
  </conditionalFormatting>
  <conditionalFormatting sqref="E35:E38">
    <cfRule type="expression" dxfId="19" priority="68">
      <formula>#REF!&gt;0</formula>
    </cfRule>
  </conditionalFormatting>
  <conditionalFormatting sqref="E36 E7:E8 E20 C35:D36">
    <cfRule type="expression" dxfId="18" priority="102">
      <formula>$A5="VERDADERO"</formula>
    </cfRule>
  </conditionalFormatting>
  <conditionalFormatting sqref="E2:F2">
    <cfRule type="expression" dxfId="17" priority="29">
      <formula>$A2="VERDADERO"</formula>
    </cfRule>
  </conditionalFormatting>
  <conditionalFormatting sqref="E3:F5 F7:F8">
    <cfRule type="expression" dxfId="16" priority="12">
      <formula>$A1="VERDADERO"</formula>
    </cfRule>
  </conditionalFormatting>
  <conditionalFormatting sqref="E6:F6">
    <cfRule type="expression" dxfId="15" priority="3">
      <formula>#REF!="VERDADERO"</formula>
    </cfRule>
  </conditionalFormatting>
  <conditionalFormatting sqref="F2:F11">
    <cfRule type="expression" dxfId="14" priority="30">
      <formula>#REF!&gt;0</formula>
    </cfRule>
  </conditionalFormatting>
  <conditionalFormatting sqref="F9">
    <cfRule type="expression" dxfId="13" priority="32">
      <formula>#REF!="VERDADERO"</formula>
    </cfRule>
  </conditionalFormatting>
  <conditionalFormatting sqref="F10 F21:F23">
    <cfRule type="expression" dxfId="12" priority="14">
      <formula>$A7="VERDADERO"</formula>
    </cfRule>
  </conditionalFormatting>
  <conditionalFormatting sqref="F11">
    <cfRule type="expression" dxfId="11" priority="33">
      <formula>#REF!="VERDADERO"</formula>
    </cfRule>
  </conditionalFormatting>
  <conditionalFormatting sqref="F12:F15">
    <cfRule type="expression" dxfId="10" priority="1">
      <formula>$A7="VERDADERO"</formula>
    </cfRule>
    <cfRule type="expression" dxfId="9" priority="2">
      <formula>#REF!&gt;0</formula>
    </cfRule>
  </conditionalFormatting>
  <conditionalFormatting sqref="F16:F19 F37:F38">
    <cfRule type="expression" dxfId="8" priority="28">
      <formula>$A12="VERDADERO"</formula>
    </cfRule>
  </conditionalFormatting>
  <conditionalFormatting sqref="F16:F23 F36:F38">
    <cfRule type="expression" dxfId="7" priority="31">
      <formula>#REF!&gt;0</formula>
    </cfRule>
  </conditionalFormatting>
  <conditionalFormatting sqref="F20 F35:F36">
    <cfRule type="expression" dxfId="6" priority="13">
      <formula>$A18="VERDADERO"</formula>
    </cfRule>
  </conditionalFormatting>
  <conditionalFormatting sqref="F24:F25">
    <cfRule type="expression" dxfId="5" priority="24">
      <formula>#REF!&gt;0</formula>
    </cfRule>
  </conditionalFormatting>
  <conditionalFormatting sqref="F25:F31">
    <cfRule type="expression" dxfId="4" priority="4">
      <formula>$A21="VERDADERO"</formula>
    </cfRule>
  </conditionalFormatting>
  <conditionalFormatting sqref="F26:F31">
    <cfRule type="expression" dxfId="3" priority="5">
      <formula>#REF!&gt;0</formula>
    </cfRule>
  </conditionalFormatting>
  <conditionalFormatting sqref="F32:F33">
    <cfRule type="expression" dxfId="2" priority="9">
      <formula>#REF!&gt;0</formula>
    </cfRule>
  </conditionalFormatting>
  <conditionalFormatting sqref="F34">
    <cfRule type="expression" dxfId="1" priority="11">
      <formula>#REF!&gt;0</formula>
    </cfRule>
  </conditionalFormatting>
  <conditionalFormatting sqref="F35">
    <cfRule type="expression" dxfId="0" priority="15">
      <formula>#REF!&gt;0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FO-GA-005</vt:lpstr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COORDINACION CALIDAD</dc:creator>
  <cp:keywords/>
  <dc:description/>
  <cp:lastModifiedBy>Personal</cp:lastModifiedBy>
  <cp:revision/>
  <cp:lastPrinted>2023-04-18T01:34:38Z</cp:lastPrinted>
  <dcterms:created xsi:type="dcterms:W3CDTF">2023-03-22T19:44:19Z</dcterms:created>
  <dcterms:modified xsi:type="dcterms:W3CDTF">2023-04-18T01:35:23Z</dcterms:modified>
  <cp:category/>
  <cp:contentStatus/>
</cp:coreProperties>
</file>