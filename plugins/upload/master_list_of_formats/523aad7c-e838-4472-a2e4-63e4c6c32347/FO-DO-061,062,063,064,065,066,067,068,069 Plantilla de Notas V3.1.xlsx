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defaultThemeVersion="124226"/>
  <mc:AlternateContent xmlns:mc="http://schemas.openxmlformats.org/markup-compatibility/2006">
    <mc:Choice Requires="x15">
      <x15ac:absPath xmlns:x15ac="http://schemas.microsoft.com/office/spreadsheetml/2010/11/ac" url="C:\Users\asistente.calidad\OneDrive - Fundación Universitaria de Popayán\DOC-SGC-FUP\HERRAMIENTA  ISO CALIDAD 3\1. DOCENCIA\FO\"/>
    </mc:Choice>
  </mc:AlternateContent>
  <bookViews>
    <workbookView xWindow="0" yWindow="0" windowWidth="20490" windowHeight="7650" tabRatio="772" firstSheet="1" activeTab="9"/>
  </bookViews>
  <sheets>
    <sheet name="BASE DE DATOS DOCENTES" sheetId="72" r:id="rId1"/>
    <sheet name="OFERTA" sheetId="71" r:id="rId2"/>
    <sheet name="B.D. CONTRATACIONES" sheetId="81" state="hidden" r:id="rId3"/>
    <sheet name="CARGA DOCENTE" sheetId="34" r:id="rId4"/>
    <sheet name="RESUMEN DE LA CONTRATACION" sheetId="33" r:id="rId5"/>
    <sheet name="LABOR ACADÉMICA " sheetId="80" r:id="rId6"/>
    <sheet name="REGISTRO MATERIAS" sheetId="74" r:id="rId7"/>
    <sheet name="PROYECCION ESTUDIANTES" sheetId="84" r:id="rId8"/>
    <sheet name="MATRICULADOS " sheetId="85" r:id="rId9"/>
    <sheet name="SNIES" sheetId="77" r:id="rId10"/>
  </sheets>
  <definedNames>
    <definedName name="_xlnm._FilterDatabase" localSheetId="8" hidden="1">'MATRICULADOS '!$A$7:$M$7</definedName>
    <definedName name="_xlnm._FilterDatabase" localSheetId="4" hidden="1">'RESUMEN DE LA CONTRATACION'!$B$7:$O$38</definedName>
  </definedNames>
  <calcPr calcId="162913"/>
</workbook>
</file>

<file path=xl/calcChain.xml><?xml version="1.0" encoding="utf-8"?>
<calcChain xmlns="http://schemas.openxmlformats.org/spreadsheetml/2006/main">
  <c r="BE64" i="81" l="1"/>
  <c r="B66" i="81"/>
  <c r="E66" i="81" s="1"/>
  <c r="A66" i="81"/>
  <c r="AP10" i="81"/>
  <c r="AP90" i="81"/>
  <c r="AU90" i="81"/>
  <c r="AZ90" i="81"/>
  <c r="BE90" i="81"/>
  <c r="BJ90" i="81"/>
  <c r="BO90" i="81"/>
  <c r="BT90" i="81"/>
  <c r="AK29" i="81"/>
  <c r="AO29" i="81" s="1"/>
  <c r="F66" i="81" l="1"/>
  <c r="C66" i="81"/>
  <c r="BS90" i="81"/>
  <c r="BR90" i="81"/>
  <c r="BQ90" i="81"/>
  <c r="BP90" i="81"/>
  <c r="AX90" i="81"/>
  <c r="AW90" i="81"/>
  <c r="AV90" i="81"/>
  <c r="AY90" i="81"/>
  <c r="BM90" i="81"/>
  <c r="BL90" i="81"/>
  <c r="BK90" i="81"/>
  <c r="BN90" i="81"/>
  <c r="AT90" i="81"/>
  <c r="AS90" i="81"/>
  <c r="AR90" i="81"/>
  <c r="AQ90" i="81"/>
  <c r="AN29" i="81"/>
  <c r="AL29" i="81"/>
  <c r="BI90" i="81"/>
  <c r="BH90" i="81"/>
  <c r="BG90" i="81"/>
  <c r="BF90" i="81"/>
  <c r="BX90" i="81"/>
  <c r="BW90" i="81"/>
  <c r="BV90" i="81"/>
  <c r="BU90" i="81"/>
  <c r="BB90" i="81"/>
  <c r="BA90" i="81"/>
  <c r="BD90" i="81"/>
  <c r="BC90" i="81"/>
  <c r="AT10" i="81"/>
  <c r="AS10" i="81"/>
  <c r="AR10" i="81"/>
  <c r="AQ10" i="81"/>
  <c r="AM29" i="81"/>
  <c r="BI64" i="81"/>
  <c r="BH64" i="81"/>
  <c r="BG64" i="81"/>
  <c r="BF64" i="81"/>
  <c r="D66" i="81"/>
  <c r="AF88" i="81"/>
  <c r="AG88" i="81" l="1"/>
  <c r="AJ88" i="81"/>
  <c r="AI88" i="81"/>
  <c r="AH88" i="81"/>
  <c r="AA30" i="81" l="1"/>
  <c r="V34" i="81"/>
  <c r="Z34" i="81" s="1"/>
  <c r="BT89" i="81"/>
  <c r="W34" i="81" l="1"/>
  <c r="BX89" i="81"/>
  <c r="BW89" i="81"/>
  <c r="BV89" i="81"/>
  <c r="BU89" i="81"/>
  <c r="X34" i="81"/>
  <c r="Y34" i="81"/>
  <c r="AB30" i="81"/>
  <c r="AE30" i="81"/>
  <c r="AD30" i="81"/>
  <c r="AC30" i="81"/>
  <c r="L40" i="81" l="1"/>
  <c r="L25" i="81"/>
  <c r="BJ80" i="81"/>
  <c r="BM80" i="81" l="1"/>
  <c r="BL80" i="81"/>
  <c r="BK80" i="81"/>
  <c r="BN80" i="81"/>
  <c r="O25" i="81"/>
  <c r="N25" i="81"/>
  <c r="M25" i="81"/>
  <c r="P25" i="81"/>
  <c r="O40" i="81"/>
  <c r="N40" i="81"/>
  <c r="M40" i="81"/>
  <c r="P40" i="81"/>
  <c r="AK90" i="81"/>
  <c r="AF90" i="81"/>
  <c r="AA90" i="81"/>
  <c r="V90" i="81"/>
  <c r="Q90" i="81"/>
  <c r="L90" i="81"/>
  <c r="G90" i="81"/>
  <c r="B90" i="81"/>
  <c r="BO89" i="81"/>
  <c r="BJ89" i="81"/>
  <c r="BE89" i="81"/>
  <c r="AZ89" i="81"/>
  <c r="AU89" i="81"/>
  <c r="AP89" i="81"/>
  <c r="AK89" i="81"/>
  <c r="AF89" i="81"/>
  <c r="AA89" i="81"/>
  <c r="V89" i="81"/>
  <c r="Q89" i="81"/>
  <c r="L89" i="81"/>
  <c r="G89" i="81"/>
  <c r="B89" i="81"/>
  <c r="BT88" i="81"/>
  <c r="BO88" i="81"/>
  <c r="BJ88" i="81"/>
  <c r="BE88" i="81"/>
  <c r="AZ88" i="81"/>
  <c r="AU88" i="81"/>
  <c r="AP88" i="81"/>
  <c r="AK88" i="81"/>
  <c r="AA88" i="81"/>
  <c r="V88" i="81"/>
  <c r="Q88" i="81"/>
  <c r="L88" i="81"/>
  <c r="G88" i="81"/>
  <c r="B88" i="81"/>
  <c r="BT87" i="81"/>
  <c r="BO87" i="81"/>
  <c r="BJ87" i="81"/>
  <c r="BE87" i="81"/>
  <c r="AZ87" i="81"/>
  <c r="AU87" i="81"/>
  <c r="AP87" i="81"/>
  <c r="AK87" i="81"/>
  <c r="AF87" i="81"/>
  <c r="AA87" i="81"/>
  <c r="V87" i="81"/>
  <c r="Q87" i="81"/>
  <c r="L87" i="81"/>
  <c r="G87" i="81"/>
  <c r="B87" i="81"/>
  <c r="BT86" i="81"/>
  <c r="BO86" i="81"/>
  <c r="BJ86" i="81"/>
  <c r="BE86" i="81"/>
  <c r="AZ86" i="81"/>
  <c r="AU86" i="81"/>
  <c r="AP86" i="81"/>
  <c r="AK86" i="81"/>
  <c r="AF86" i="81"/>
  <c r="AA86" i="81"/>
  <c r="V86" i="81"/>
  <c r="Q86" i="81"/>
  <c r="L86" i="81"/>
  <c r="G86" i="81"/>
  <c r="B86" i="81"/>
  <c r="BT85" i="81"/>
  <c r="BO85" i="81"/>
  <c r="BJ85" i="81"/>
  <c r="BE85" i="81"/>
  <c r="AZ85" i="81"/>
  <c r="AU85" i="81"/>
  <c r="AP85" i="81"/>
  <c r="AK85" i="81"/>
  <c r="AF85" i="81"/>
  <c r="AA85" i="81"/>
  <c r="V85" i="81"/>
  <c r="Q85" i="81"/>
  <c r="L85" i="81"/>
  <c r="G85" i="81"/>
  <c r="B85" i="81"/>
  <c r="BT84" i="81"/>
  <c r="BO84" i="81"/>
  <c r="BJ84" i="81"/>
  <c r="BE84" i="81"/>
  <c r="AZ84" i="81"/>
  <c r="AU84" i="81"/>
  <c r="AP84" i="81"/>
  <c r="AK84" i="81"/>
  <c r="AF84" i="81"/>
  <c r="AA84" i="81"/>
  <c r="V84" i="81"/>
  <c r="Q84" i="81"/>
  <c r="L84" i="81"/>
  <c r="G84" i="81"/>
  <c r="B84" i="81"/>
  <c r="BT83" i="81"/>
  <c r="BO83" i="81"/>
  <c r="BJ83" i="81"/>
  <c r="BE83" i="81"/>
  <c r="AZ83" i="81"/>
  <c r="AU83" i="81"/>
  <c r="AP83" i="81"/>
  <c r="AK83" i="81"/>
  <c r="AF83" i="81"/>
  <c r="AA83" i="81"/>
  <c r="V83" i="81"/>
  <c r="Q83" i="81"/>
  <c r="L83" i="81"/>
  <c r="G83" i="81"/>
  <c r="B83" i="81"/>
  <c r="BT82" i="81"/>
  <c r="BO82" i="81"/>
  <c r="BJ82" i="81"/>
  <c r="BE82" i="81"/>
  <c r="AZ82" i="81"/>
  <c r="AU82" i="81"/>
  <c r="AP82" i="81"/>
  <c r="AK82" i="81"/>
  <c r="AF82" i="81"/>
  <c r="AA82" i="81"/>
  <c r="V82" i="81"/>
  <c r="Q82" i="81"/>
  <c r="L82" i="81"/>
  <c r="G82" i="81"/>
  <c r="B82" i="81"/>
  <c r="BT81" i="81"/>
  <c r="BO81" i="81"/>
  <c r="BJ81" i="81"/>
  <c r="BE81" i="81"/>
  <c r="AZ81" i="81"/>
  <c r="AU81" i="81"/>
  <c r="AP81" i="81"/>
  <c r="AK81" i="81"/>
  <c r="AF81" i="81"/>
  <c r="AA81" i="81"/>
  <c r="V81" i="81"/>
  <c r="Q81" i="81"/>
  <c r="L81" i="81"/>
  <c r="G81" i="81"/>
  <c r="B81" i="81"/>
  <c r="BT80" i="81"/>
  <c r="BO80" i="81"/>
  <c r="BE80" i="81"/>
  <c r="AZ80" i="81"/>
  <c r="AU80" i="81"/>
  <c r="AP80" i="81"/>
  <c r="AK80" i="81"/>
  <c r="AF80" i="81"/>
  <c r="AA80" i="81"/>
  <c r="V80" i="81"/>
  <c r="Q80" i="81"/>
  <c r="L80" i="81"/>
  <c r="G80" i="81"/>
  <c r="B80" i="81"/>
  <c r="BT79" i="81"/>
  <c r="BO79" i="81"/>
  <c r="BJ79" i="81"/>
  <c r="BE79" i="81"/>
  <c r="AZ79" i="81"/>
  <c r="AU79" i="81"/>
  <c r="AP79" i="81"/>
  <c r="AK79" i="81"/>
  <c r="AF79" i="81"/>
  <c r="AA79" i="81"/>
  <c r="V79" i="81"/>
  <c r="Q79" i="81"/>
  <c r="L79" i="81"/>
  <c r="G79" i="81"/>
  <c r="B79" i="81"/>
  <c r="BT78" i="81"/>
  <c r="BO78" i="81"/>
  <c r="BJ78" i="81"/>
  <c r="BE78" i="81"/>
  <c r="AZ78" i="81"/>
  <c r="AU78" i="81"/>
  <c r="AP78" i="81"/>
  <c r="AK78" i="81"/>
  <c r="AF78" i="81"/>
  <c r="AA78" i="81"/>
  <c r="V78" i="81"/>
  <c r="Q78" i="81"/>
  <c r="L78" i="81"/>
  <c r="G78" i="81"/>
  <c r="B78" i="81"/>
  <c r="BT77" i="81"/>
  <c r="BO77" i="81"/>
  <c r="BJ77" i="81"/>
  <c r="BE77" i="81"/>
  <c r="AZ77" i="81"/>
  <c r="AU77" i="81"/>
  <c r="AP77" i="81"/>
  <c r="AK77" i="81"/>
  <c r="AF77" i="81"/>
  <c r="AA77" i="81"/>
  <c r="V77" i="81"/>
  <c r="Q77" i="81"/>
  <c r="L77" i="81"/>
  <c r="G77" i="81"/>
  <c r="B77" i="81"/>
  <c r="BT76" i="81"/>
  <c r="BO76" i="81"/>
  <c r="BJ76" i="81"/>
  <c r="BE76" i="81"/>
  <c r="AZ76" i="81"/>
  <c r="AU76" i="81"/>
  <c r="AP76" i="81"/>
  <c r="AK76" i="81"/>
  <c r="AF76" i="81"/>
  <c r="AA76" i="81"/>
  <c r="V76" i="81"/>
  <c r="Q76" i="81"/>
  <c r="L76" i="81"/>
  <c r="G76" i="81"/>
  <c r="B76" i="81"/>
  <c r="BT75" i="81"/>
  <c r="BO75" i="81"/>
  <c r="BJ75" i="81"/>
  <c r="BE75" i="81"/>
  <c r="AZ75" i="81"/>
  <c r="AU75" i="81"/>
  <c r="AP75" i="81"/>
  <c r="AK75" i="81"/>
  <c r="AF75" i="81"/>
  <c r="AA75" i="81"/>
  <c r="V75" i="81"/>
  <c r="Q75" i="81"/>
  <c r="L75" i="81"/>
  <c r="G75" i="81"/>
  <c r="B75" i="81"/>
  <c r="BT74" i="81"/>
  <c r="BO74" i="81"/>
  <c r="BJ74" i="81"/>
  <c r="BE74" i="81"/>
  <c r="AZ74" i="81"/>
  <c r="AU74" i="81"/>
  <c r="AP74" i="81"/>
  <c r="AK74" i="81"/>
  <c r="AF74" i="81"/>
  <c r="AA74" i="81"/>
  <c r="V74" i="81"/>
  <c r="Q74" i="81"/>
  <c r="L74" i="81"/>
  <c r="G74" i="81"/>
  <c r="B74" i="81"/>
  <c r="BT73" i="81"/>
  <c r="BO73" i="81"/>
  <c r="BJ73" i="81"/>
  <c r="BE73" i="81"/>
  <c r="AZ73" i="81"/>
  <c r="AU73" i="81"/>
  <c r="AP73" i="81"/>
  <c r="AK73" i="81"/>
  <c r="AF73" i="81"/>
  <c r="AA73" i="81"/>
  <c r="V73" i="81"/>
  <c r="Q73" i="81"/>
  <c r="L73" i="81"/>
  <c r="G73" i="81"/>
  <c r="B73" i="81"/>
  <c r="BT72" i="81"/>
  <c r="BO72" i="81"/>
  <c r="BJ72" i="81"/>
  <c r="BE72" i="81"/>
  <c r="AZ72" i="81"/>
  <c r="AU72" i="81"/>
  <c r="AP72" i="81"/>
  <c r="AK72" i="81"/>
  <c r="AF72" i="81"/>
  <c r="AA72" i="81"/>
  <c r="V72" i="81"/>
  <c r="Q72" i="81"/>
  <c r="L72" i="81"/>
  <c r="G72" i="81"/>
  <c r="B72" i="81"/>
  <c r="BT71" i="81"/>
  <c r="BO71" i="81"/>
  <c r="BJ71" i="81"/>
  <c r="BE71" i="81"/>
  <c r="AZ71" i="81"/>
  <c r="AU71" i="81"/>
  <c r="AP71" i="81"/>
  <c r="AK71" i="81"/>
  <c r="AF71" i="81"/>
  <c r="AA71" i="81"/>
  <c r="V71" i="81"/>
  <c r="Q71" i="81"/>
  <c r="L71" i="81"/>
  <c r="G71" i="81"/>
  <c r="B71" i="81"/>
  <c r="BT70" i="81"/>
  <c r="BO70" i="81"/>
  <c r="BJ70" i="81"/>
  <c r="BE70" i="81"/>
  <c r="AZ70" i="81"/>
  <c r="AU70" i="81"/>
  <c r="AP70" i="81"/>
  <c r="AK70" i="81"/>
  <c r="AF70" i="81"/>
  <c r="AA70" i="81"/>
  <c r="V70" i="81"/>
  <c r="Q70" i="81"/>
  <c r="L70" i="81"/>
  <c r="G70" i="81"/>
  <c r="B70" i="81"/>
  <c r="BT69" i="81"/>
  <c r="BO69" i="81"/>
  <c r="BJ69" i="81"/>
  <c r="BE69" i="81"/>
  <c r="AZ69" i="81"/>
  <c r="AU69" i="81"/>
  <c r="AP69" i="81"/>
  <c r="AK69" i="81"/>
  <c r="AF69" i="81"/>
  <c r="AA69" i="81"/>
  <c r="V69" i="81"/>
  <c r="Q69" i="81"/>
  <c r="L69" i="81"/>
  <c r="G69" i="81"/>
  <c r="B69" i="81"/>
  <c r="BT68" i="81"/>
  <c r="BO68" i="81"/>
  <c r="BJ68" i="81"/>
  <c r="BE68" i="81"/>
  <c r="AZ68" i="81"/>
  <c r="AU68" i="81"/>
  <c r="AP68" i="81"/>
  <c r="AK68" i="81"/>
  <c r="AF68" i="81"/>
  <c r="AA68" i="81"/>
  <c r="V68" i="81"/>
  <c r="Q68" i="81"/>
  <c r="L68" i="81"/>
  <c r="G68" i="81"/>
  <c r="B68" i="81"/>
  <c r="BT67" i="81"/>
  <c r="BO67" i="81"/>
  <c r="BJ67" i="81"/>
  <c r="BE67" i="81"/>
  <c r="AZ67" i="81"/>
  <c r="AU67" i="81"/>
  <c r="AP67" i="81"/>
  <c r="AK67" i="81"/>
  <c r="AF67" i="81"/>
  <c r="AA67" i="81"/>
  <c r="V67" i="81"/>
  <c r="Q67" i="81"/>
  <c r="L67" i="81"/>
  <c r="G67" i="81"/>
  <c r="B67" i="81"/>
  <c r="BT66" i="81"/>
  <c r="BO66" i="81"/>
  <c r="BJ66" i="81"/>
  <c r="BE66" i="81"/>
  <c r="AZ66" i="81"/>
  <c r="AU66" i="81"/>
  <c r="AP66" i="81"/>
  <c r="AK66" i="81"/>
  <c r="AF66" i="81"/>
  <c r="AA66" i="81"/>
  <c r="V66" i="81"/>
  <c r="Q66" i="81"/>
  <c r="L66" i="81"/>
  <c r="G66" i="81"/>
  <c r="BT65" i="81"/>
  <c r="BO65" i="81"/>
  <c r="BJ65" i="81"/>
  <c r="BE65" i="81"/>
  <c r="AZ65" i="81"/>
  <c r="AU65" i="81"/>
  <c r="AP65" i="81"/>
  <c r="AK65" i="81"/>
  <c r="AF65" i="81"/>
  <c r="AA65" i="81"/>
  <c r="V65" i="81"/>
  <c r="Q65" i="81"/>
  <c r="L65" i="81"/>
  <c r="G65" i="81"/>
  <c r="B65" i="81"/>
  <c r="BT64" i="81"/>
  <c r="BO64" i="81"/>
  <c r="BJ64" i="81"/>
  <c r="AZ64" i="81"/>
  <c r="AU64" i="81"/>
  <c r="AP64" i="81"/>
  <c r="AK64" i="81"/>
  <c r="AF64" i="81"/>
  <c r="AA64" i="81"/>
  <c r="V64" i="81"/>
  <c r="Q64" i="81"/>
  <c r="L64" i="81"/>
  <c r="G64" i="81"/>
  <c r="B64" i="81"/>
  <c r="BT63" i="81"/>
  <c r="BO63" i="81"/>
  <c r="BJ63" i="81"/>
  <c r="BE63" i="81"/>
  <c r="AZ63" i="81"/>
  <c r="AU63" i="81"/>
  <c r="AP63" i="81"/>
  <c r="AK63" i="81"/>
  <c r="AF63" i="81"/>
  <c r="AA63" i="81"/>
  <c r="V63" i="81"/>
  <c r="Q63" i="81"/>
  <c r="L63" i="81"/>
  <c r="G63" i="81"/>
  <c r="B63" i="81"/>
  <c r="BT62" i="81"/>
  <c r="BO62" i="81"/>
  <c r="BJ62" i="81"/>
  <c r="BE62" i="81"/>
  <c r="AZ62" i="81"/>
  <c r="AU62" i="81"/>
  <c r="AP62" i="81"/>
  <c r="AK62" i="81"/>
  <c r="AF62" i="81"/>
  <c r="AA62" i="81"/>
  <c r="V62" i="81"/>
  <c r="Q62" i="81"/>
  <c r="L62" i="81"/>
  <c r="G62" i="81"/>
  <c r="B62" i="81"/>
  <c r="BT61" i="81"/>
  <c r="BO61" i="81"/>
  <c r="BJ61" i="81"/>
  <c r="BE61" i="81"/>
  <c r="AZ61" i="81"/>
  <c r="AU61" i="81"/>
  <c r="AP61" i="81"/>
  <c r="AK61" i="81"/>
  <c r="AF61" i="81"/>
  <c r="AA61" i="81"/>
  <c r="V61" i="81"/>
  <c r="Q61" i="81"/>
  <c r="L61" i="81"/>
  <c r="G61" i="81"/>
  <c r="B61" i="81"/>
  <c r="BT60" i="81"/>
  <c r="BO60" i="81"/>
  <c r="BJ60" i="81"/>
  <c r="BE60" i="81"/>
  <c r="AZ60" i="81"/>
  <c r="AU60" i="81"/>
  <c r="AP60" i="81"/>
  <c r="AK60" i="81"/>
  <c r="AF60" i="81"/>
  <c r="AA60" i="81"/>
  <c r="V60" i="81"/>
  <c r="Q60" i="81"/>
  <c r="L60" i="81"/>
  <c r="G60" i="81"/>
  <c r="B60" i="81"/>
  <c r="BT59" i="81"/>
  <c r="BO59" i="81"/>
  <c r="BJ59" i="81"/>
  <c r="BE59" i="81"/>
  <c r="AZ59" i="81"/>
  <c r="AU59" i="81"/>
  <c r="AP59" i="81"/>
  <c r="AK59" i="81"/>
  <c r="AF59" i="81"/>
  <c r="AA59" i="81"/>
  <c r="V59" i="81"/>
  <c r="Q59" i="81"/>
  <c r="L59" i="81"/>
  <c r="G59" i="81"/>
  <c r="B59" i="81"/>
  <c r="BT58" i="81"/>
  <c r="BO58" i="81"/>
  <c r="BJ58" i="81"/>
  <c r="BE58" i="81"/>
  <c r="AZ58" i="81"/>
  <c r="AU58" i="81"/>
  <c r="AP58" i="81"/>
  <c r="AK58" i="81"/>
  <c r="AF58" i="81"/>
  <c r="AA58" i="81"/>
  <c r="V58" i="81"/>
  <c r="Q58" i="81"/>
  <c r="L58" i="81"/>
  <c r="G58" i="81"/>
  <c r="B58" i="81"/>
  <c r="BT57" i="81"/>
  <c r="BO57" i="81"/>
  <c r="BJ57" i="81"/>
  <c r="BE57" i="81"/>
  <c r="AZ57" i="81"/>
  <c r="AU57" i="81"/>
  <c r="AP57" i="81"/>
  <c r="AK57" i="81"/>
  <c r="AF57" i="81"/>
  <c r="AA57" i="81"/>
  <c r="V57" i="81"/>
  <c r="Q57" i="81"/>
  <c r="L57" i="81"/>
  <c r="G57" i="81"/>
  <c r="B57" i="81"/>
  <c r="BT56" i="81"/>
  <c r="BO56" i="81"/>
  <c r="BJ56" i="81"/>
  <c r="BE56" i="81"/>
  <c r="AZ56" i="81"/>
  <c r="AU56" i="81"/>
  <c r="AP56" i="81"/>
  <c r="AK56" i="81"/>
  <c r="AF56" i="81"/>
  <c r="AA56" i="81"/>
  <c r="V56" i="81"/>
  <c r="Q56" i="81"/>
  <c r="L56" i="81"/>
  <c r="G56" i="81"/>
  <c r="B56" i="81"/>
  <c r="BT55" i="81"/>
  <c r="BO55" i="81"/>
  <c r="BJ55" i="81"/>
  <c r="BE55" i="81"/>
  <c r="AZ55" i="81"/>
  <c r="AU55" i="81"/>
  <c r="AP55" i="81"/>
  <c r="AK55" i="81"/>
  <c r="AF55" i="81"/>
  <c r="AA55" i="81"/>
  <c r="V55" i="81"/>
  <c r="Q55" i="81"/>
  <c r="L55" i="81"/>
  <c r="G55" i="81"/>
  <c r="B55" i="81"/>
  <c r="BT54" i="81"/>
  <c r="BO54" i="81"/>
  <c r="BJ54" i="81"/>
  <c r="BE54" i="81"/>
  <c r="AZ54" i="81"/>
  <c r="AU54" i="81"/>
  <c r="AP54" i="81"/>
  <c r="AK54" i="81"/>
  <c r="AF54" i="81"/>
  <c r="AA54" i="81"/>
  <c r="V54" i="81"/>
  <c r="Q54" i="81"/>
  <c r="L54" i="81"/>
  <c r="G54" i="81"/>
  <c r="B54" i="81"/>
  <c r="BT53" i="81"/>
  <c r="BO53" i="81"/>
  <c r="BJ53" i="81"/>
  <c r="BE53" i="81"/>
  <c r="AZ53" i="81"/>
  <c r="AU53" i="81"/>
  <c r="AP53" i="81"/>
  <c r="AK53" i="81"/>
  <c r="AF53" i="81"/>
  <c r="AA53" i="81"/>
  <c r="V53" i="81"/>
  <c r="Q53" i="81"/>
  <c r="L53" i="81"/>
  <c r="G53" i="81"/>
  <c r="B53" i="81"/>
  <c r="BT52" i="81"/>
  <c r="BO52" i="81"/>
  <c r="BJ52" i="81"/>
  <c r="BE52" i="81"/>
  <c r="AZ52" i="81"/>
  <c r="AU52" i="81"/>
  <c r="AP52" i="81"/>
  <c r="AK52" i="81"/>
  <c r="AF52" i="81"/>
  <c r="AA52" i="81"/>
  <c r="V52" i="81"/>
  <c r="Q52" i="81"/>
  <c r="L52" i="81"/>
  <c r="G52" i="81"/>
  <c r="B52" i="81"/>
  <c r="BT51" i="81"/>
  <c r="BO51" i="81"/>
  <c r="BJ51" i="81"/>
  <c r="BE51" i="81"/>
  <c r="AZ51" i="81"/>
  <c r="AU51" i="81"/>
  <c r="AP51" i="81"/>
  <c r="AK51" i="81"/>
  <c r="AF51" i="81"/>
  <c r="AA51" i="81"/>
  <c r="V51" i="81"/>
  <c r="Q51" i="81"/>
  <c r="L51" i="81"/>
  <c r="G51" i="81"/>
  <c r="B51" i="81"/>
  <c r="BT50" i="81"/>
  <c r="BO50" i="81"/>
  <c r="BJ50" i="81"/>
  <c r="BE50" i="81"/>
  <c r="AZ50" i="81"/>
  <c r="AU50" i="81"/>
  <c r="AP50" i="81"/>
  <c r="AK50" i="81"/>
  <c r="AF50" i="81"/>
  <c r="AA50" i="81"/>
  <c r="V50" i="81"/>
  <c r="Q50" i="81"/>
  <c r="L50" i="81"/>
  <c r="G50" i="81"/>
  <c r="B50" i="81"/>
  <c r="BT49" i="81"/>
  <c r="BO49" i="81"/>
  <c r="BJ49" i="81"/>
  <c r="BE49" i="81"/>
  <c r="AZ49" i="81"/>
  <c r="AU49" i="81"/>
  <c r="AP49" i="81"/>
  <c r="AK49" i="81"/>
  <c r="AF49" i="81"/>
  <c r="AA49" i="81"/>
  <c r="V49" i="81"/>
  <c r="Q49" i="81"/>
  <c r="L49" i="81"/>
  <c r="G49" i="81"/>
  <c r="B49" i="81"/>
  <c r="BT48" i="81"/>
  <c r="BO48" i="81"/>
  <c r="BJ48" i="81"/>
  <c r="BE48" i="81"/>
  <c r="AZ48" i="81"/>
  <c r="AU48" i="81"/>
  <c r="AP48" i="81"/>
  <c r="AK48" i="81"/>
  <c r="AF48" i="81"/>
  <c r="AA48" i="81"/>
  <c r="V48" i="81"/>
  <c r="Q48" i="81"/>
  <c r="L48" i="81"/>
  <c r="G48" i="81"/>
  <c r="B48" i="81"/>
  <c r="BT47" i="81"/>
  <c r="BO47" i="81"/>
  <c r="BJ47" i="81"/>
  <c r="BE47" i="81"/>
  <c r="AZ47" i="81"/>
  <c r="AU47" i="81"/>
  <c r="AP47" i="81"/>
  <c r="AK47" i="81"/>
  <c r="AF47" i="81"/>
  <c r="AA47" i="81"/>
  <c r="V47" i="81"/>
  <c r="Q47" i="81"/>
  <c r="L47" i="81"/>
  <c r="G47" i="81"/>
  <c r="B47" i="81"/>
  <c r="BT46" i="81"/>
  <c r="BO46" i="81"/>
  <c r="BJ46" i="81"/>
  <c r="BE46" i="81"/>
  <c r="AZ46" i="81"/>
  <c r="AU46" i="81"/>
  <c r="AP46" i="81"/>
  <c r="AK46" i="81"/>
  <c r="AF46" i="81"/>
  <c r="AA46" i="81"/>
  <c r="V46" i="81"/>
  <c r="Q46" i="81"/>
  <c r="L46" i="81"/>
  <c r="G46" i="81"/>
  <c r="B46" i="81"/>
  <c r="BT45" i="81"/>
  <c r="BO45" i="81"/>
  <c r="BJ45" i="81"/>
  <c r="BE45" i="81"/>
  <c r="AZ45" i="81"/>
  <c r="AU45" i="81"/>
  <c r="AP45" i="81"/>
  <c r="AK45" i="81"/>
  <c r="AF45" i="81"/>
  <c r="AA45" i="81"/>
  <c r="V45" i="81"/>
  <c r="Q45" i="81"/>
  <c r="L45" i="81"/>
  <c r="G45" i="81"/>
  <c r="B45" i="81"/>
  <c r="BT44" i="81"/>
  <c r="BO44" i="81"/>
  <c r="BJ44" i="81"/>
  <c r="BE44" i="81"/>
  <c r="AZ44" i="81"/>
  <c r="AU44" i="81"/>
  <c r="AP44" i="81"/>
  <c r="AK44" i="81"/>
  <c r="AF44" i="81"/>
  <c r="AA44" i="81"/>
  <c r="V44" i="81"/>
  <c r="Q44" i="81"/>
  <c r="L44" i="81"/>
  <c r="G44" i="81"/>
  <c r="B44" i="81"/>
  <c r="BT43" i="81"/>
  <c r="BO43" i="81"/>
  <c r="BJ43" i="81"/>
  <c r="BE43" i="81"/>
  <c r="AZ43" i="81"/>
  <c r="AU43" i="81"/>
  <c r="AP43" i="81"/>
  <c r="AK43" i="81"/>
  <c r="AF43" i="81"/>
  <c r="AA43" i="81"/>
  <c r="V43" i="81"/>
  <c r="Q43" i="81"/>
  <c r="L43" i="81"/>
  <c r="G43" i="81"/>
  <c r="B43" i="81"/>
  <c r="BT42" i="81"/>
  <c r="BO42" i="81"/>
  <c r="BJ42" i="81"/>
  <c r="BE42" i="81"/>
  <c r="AZ42" i="81"/>
  <c r="AU42" i="81"/>
  <c r="AP42" i="81"/>
  <c r="AK42" i="81"/>
  <c r="AF42" i="81"/>
  <c r="AA42" i="81"/>
  <c r="V42" i="81"/>
  <c r="Q42" i="81"/>
  <c r="L42" i="81"/>
  <c r="G42" i="81"/>
  <c r="B42" i="81"/>
  <c r="BT41" i="81"/>
  <c r="BO41" i="81"/>
  <c r="BJ41" i="81"/>
  <c r="BE41" i="81"/>
  <c r="AZ41" i="81"/>
  <c r="AU41" i="81"/>
  <c r="AP41" i="81"/>
  <c r="AK41" i="81"/>
  <c r="AF41" i="81"/>
  <c r="AA41" i="81"/>
  <c r="V41" i="81"/>
  <c r="Q41" i="81"/>
  <c r="L41" i="81"/>
  <c r="G41" i="81"/>
  <c r="B41" i="81"/>
  <c r="BT40" i="81"/>
  <c r="BO40" i="81"/>
  <c r="BJ40" i="81"/>
  <c r="BE40" i="81"/>
  <c r="AZ40" i="81"/>
  <c r="AU40" i="81"/>
  <c r="AP40" i="81"/>
  <c r="AK40" i="81"/>
  <c r="AF40" i="81"/>
  <c r="AA40" i="81"/>
  <c r="V40" i="81"/>
  <c r="Q40" i="81"/>
  <c r="G40" i="81"/>
  <c r="B40" i="81"/>
  <c r="BT39" i="81"/>
  <c r="BO39" i="81"/>
  <c r="BJ39" i="81"/>
  <c r="BE39" i="81"/>
  <c r="AZ39" i="81"/>
  <c r="AU39" i="81"/>
  <c r="AP39" i="81"/>
  <c r="AK39" i="81"/>
  <c r="AF39" i="81"/>
  <c r="AA39" i="81"/>
  <c r="V39" i="81"/>
  <c r="Q39" i="81"/>
  <c r="L39" i="81"/>
  <c r="G39" i="81"/>
  <c r="B39" i="81"/>
  <c r="BT38" i="81"/>
  <c r="BO38" i="81"/>
  <c r="BJ38" i="81"/>
  <c r="BE38" i="81"/>
  <c r="AZ38" i="81"/>
  <c r="AU38" i="81"/>
  <c r="AP38" i="81"/>
  <c r="AK38" i="81"/>
  <c r="AF38" i="81"/>
  <c r="AA38" i="81"/>
  <c r="V38" i="81"/>
  <c r="Q38" i="81"/>
  <c r="L38" i="81"/>
  <c r="G38" i="81"/>
  <c r="B38" i="81"/>
  <c r="BT37" i="81"/>
  <c r="BO37" i="81"/>
  <c r="BJ37" i="81"/>
  <c r="BE37" i="81"/>
  <c r="AZ37" i="81"/>
  <c r="AU37" i="81"/>
  <c r="AP37" i="81"/>
  <c r="AK37" i="81"/>
  <c r="AF37" i="81"/>
  <c r="AA37" i="81"/>
  <c r="V37" i="81"/>
  <c r="Q37" i="81"/>
  <c r="L37" i="81"/>
  <c r="G37" i="81"/>
  <c r="B37" i="81"/>
  <c r="BT36" i="81"/>
  <c r="BO36" i="81"/>
  <c r="BJ36" i="81"/>
  <c r="BE36" i="81"/>
  <c r="AZ36" i="81"/>
  <c r="AU36" i="81"/>
  <c r="AP36" i="81"/>
  <c r="AK36" i="81"/>
  <c r="AF36" i="81"/>
  <c r="AA36" i="81"/>
  <c r="V36" i="81"/>
  <c r="Q36" i="81"/>
  <c r="L36" i="81"/>
  <c r="G36" i="81"/>
  <c r="B36" i="81"/>
  <c r="BT35" i="81"/>
  <c r="BO35" i="81"/>
  <c r="BJ35" i="81"/>
  <c r="BE35" i="81"/>
  <c r="AZ35" i="81"/>
  <c r="AU35" i="81"/>
  <c r="AP35" i="81"/>
  <c r="AK35" i="81"/>
  <c r="AF35" i="81"/>
  <c r="AA35" i="81"/>
  <c r="V35" i="81"/>
  <c r="Q35" i="81"/>
  <c r="L35" i="81"/>
  <c r="G35" i="81"/>
  <c r="B35" i="81"/>
  <c r="BT34" i="81"/>
  <c r="BO34" i="81"/>
  <c r="BJ34" i="81"/>
  <c r="BE34" i="81"/>
  <c r="AZ34" i="81"/>
  <c r="AU34" i="81"/>
  <c r="AP34" i="81"/>
  <c r="AK34" i="81"/>
  <c r="AF34" i="81"/>
  <c r="AA34" i="81"/>
  <c r="Q34" i="81"/>
  <c r="L34" i="81"/>
  <c r="G34" i="81"/>
  <c r="B34" i="81"/>
  <c r="BT33" i="81"/>
  <c r="BO33" i="81"/>
  <c r="BJ33" i="81"/>
  <c r="BE33" i="81"/>
  <c r="AZ33" i="81"/>
  <c r="AU33" i="81"/>
  <c r="AP33" i="81"/>
  <c r="AK33" i="81"/>
  <c r="AF33" i="81"/>
  <c r="AA33" i="81"/>
  <c r="V33" i="81"/>
  <c r="Q33" i="81"/>
  <c r="L33" i="81"/>
  <c r="G33" i="81"/>
  <c r="B33" i="81"/>
  <c r="BT32" i="81"/>
  <c r="BO32" i="81"/>
  <c r="BJ32" i="81"/>
  <c r="BE32" i="81"/>
  <c r="AZ32" i="81"/>
  <c r="AU32" i="81"/>
  <c r="AP32" i="81"/>
  <c r="AK32" i="81"/>
  <c r="AF32" i="81"/>
  <c r="AA32" i="81"/>
  <c r="V32" i="81"/>
  <c r="Q32" i="81"/>
  <c r="L32" i="81"/>
  <c r="G32" i="81"/>
  <c r="B32" i="81"/>
  <c r="BT31" i="81"/>
  <c r="BO31" i="81"/>
  <c r="BJ31" i="81"/>
  <c r="BE31" i="81"/>
  <c r="AZ31" i="81"/>
  <c r="AU31" i="81"/>
  <c r="AP31" i="81"/>
  <c r="AK31" i="81"/>
  <c r="AF31" i="81"/>
  <c r="AA31" i="81"/>
  <c r="V31" i="81"/>
  <c r="Q31" i="81"/>
  <c r="L31" i="81"/>
  <c r="G31" i="81"/>
  <c r="B31" i="81"/>
  <c r="BT30" i="81"/>
  <c r="BO30" i="81"/>
  <c r="BJ30" i="81"/>
  <c r="BE30" i="81"/>
  <c r="AZ30" i="81"/>
  <c r="AU30" i="81"/>
  <c r="AP30" i="81"/>
  <c r="AK30" i="81"/>
  <c r="AF30" i="81"/>
  <c r="V30" i="81"/>
  <c r="Q30" i="81"/>
  <c r="L30" i="81"/>
  <c r="G30" i="81"/>
  <c r="B30" i="81"/>
  <c r="BT29" i="81"/>
  <c r="BO29" i="81"/>
  <c r="BJ29" i="81"/>
  <c r="BE29" i="81"/>
  <c r="AZ29" i="81"/>
  <c r="AU29" i="81"/>
  <c r="AP29" i="81"/>
  <c r="AF29" i="81"/>
  <c r="AA29" i="81"/>
  <c r="V29" i="81"/>
  <c r="Q29" i="81"/>
  <c r="L29" i="81"/>
  <c r="G29" i="81"/>
  <c r="B29" i="81"/>
  <c r="BT28" i="81"/>
  <c r="BO28" i="81"/>
  <c r="BJ28" i="81"/>
  <c r="BE28" i="81"/>
  <c r="AZ28" i="81"/>
  <c r="AU28" i="81"/>
  <c r="AP28" i="81"/>
  <c r="AK28" i="81"/>
  <c r="AF28" i="81"/>
  <c r="AA28" i="81"/>
  <c r="V28" i="81"/>
  <c r="Q28" i="81"/>
  <c r="L28" i="81"/>
  <c r="G28" i="81"/>
  <c r="B28" i="81"/>
  <c r="BT27" i="81"/>
  <c r="BO27" i="81"/>
  <c r="BJ27" i="81"/>
  <c r="BE27" i="81"/>
  <c r="AZ27" i="81"/>
  <c r="AU27" i="81"/>
  <c r="AP27" i="81"/>
  <c r="AK27" i="81"/>
  <c r="AF27" i="81"/>
  <c r="AA27" i="81"/>
  <c r="V27" i="81"/>
  <c r="Q27" i="81"/>
  <c r="L27" i="81"/>
  <c r="G27" i="81"/>
  <c r="B27" i="81"/>
  <c r="BT26" i="81"/>
  <c r="BO26" i="81"/>
  <c r="BJ26" i="81"/>
  <c r="BE26" i="81"/>
  <c r="AZ26" i="81"/>
  <c r="AU26" i="81"/>
  <c r="AP26" i="81"/>
  <c r="AK26" i="81"/>
  <c r="AF26" i="81"/>
  <c r="AA26" i="81"/>
  <c r="V26" i="81"/>
  <c r="Q26" i="81"/>
  <c r="L26" i="81"/>
  <c r="G26" i="81"/>
  <c r="B26" i="81"/>
  <c r="BT25" i="81"/>
  <c r="BO25" i="81"/>
  <c r="BJ25" i="81"/>
  <c r="BE25" i="81"/>
  <c r="AZ25" i="81"/>
  <c r="AU25" i="81"/>
  <c r="AP25" i="81"/>
  <c r="AK25" i="81"/>
  <c r="AF25" i="81"/>
  <c r="AA25" i="81"/>
  <c r="V25" i="81"/>
  <c r="Q25" i="81"/>
  <c r="G25" i="81"/>
  <c r="G24" i="81"/>
  <c r="BT5" i="81"/>
  <c r="BO5" i="81"/>
  <c r="BJ5" i="81"/>
  <c r="BE5" i="81"/>
  <c r="AZ5" i="81"/>
  <c r="AU5" i="81"/>
  <c r="AP5" i="81"/>
  <c r="AK5" i="81"/>
  <c r="AF5" i="81"/>
  <c r="AA5" i="81"/>
  <c r="V5" i="81"/>
  <c r="Q5" i="81"/>
  <c r="L5" i="81"/>
  <c r="G5" i="81"/>
  <c r="BT4" i="81"/>
  <c r="BO4" i="81"/>
  <c r="BJ4" i="81"/>
  <c r="BE4" i="81"/>
  <c r="AZ4" i="81"/>
  <c r="AU4" i="81"/>
  <c r="AP4" i="81"/>
  <c r="AK4" i="81"/>
  <c r="AF4" i="81"/>
  <c r="AA4" i="81"/>
  <c r="V4" i="81"/>
  <c r="Q4" i="81"/>
  <c r="L4" i="81"/>
  <c r="G4" i="81"/>
  <c r="BT3" i="81"/>
  <c r="BO3" i="81"/>
  <c r="BJ3" i="81"/>
  <c r="BE3" i="81"/>
  <c r="AZ3" i="81"/>
  <c r="AU3" i="81"/>
  <c r="AP3" i="81"/>
  <c r="AK3" i="81"/>
  <c r="AF3" i="81"/>
  <c r="AA3" i="81"/>
  <c r="V3" i="81"/>
  <c r="Q3" i="81"/>
  <c r="L3" i="81"/>
  <c r="G3" i="81"/>
  <c r="BT2" i="81"/>
  <c r="BO2" i="81"/>
  <c r="BJ2" i="81"/>
  <c r="BE2" i="81"/>
  <c r="AZ2" i="81"/>
  <c r="AU2" i="81"/>
  <c r="AP2" i="81"/>
  <c r="AK2" i="81"/>
  <c r="AF2" i="81"/>
  <c r="AA2" i="81"/>
  <c r="V2" i="81"/>
  <c r="Q2" i="81"/>
  <c r="L2" i="81"/>
  <c r="G2" i="81"/>
  <c r="A2" i="81"/>
  <c r="A3" i="81"/>
  <c r="A4" i="81"/>
  <c r="B25" i="81"/>
  <c r="BT24" i="81"/>
  <c r="BO24" i="81"/>
  <c r="BJ24" i="81"/>
  <c r="BE24" i="81"/>
  <c r="AZ24" i="81"/>
  <c r="AU24" i="81"/>
  <c r="AP24" i="81"/>
  <c r="AK24" i="81"/>
  <c r="AF24" i="81"/>
  <c r="AA24" i="81"/>
  <c r="V24" i="81"/>
  <c r="Q24" i="81"/>
  <c r="L24" i="81"/>
  <c r="B24" i="81"/>
  <c r="BT23" i="81"/>
  <c r="BO23" i="81"/>
  <c r="BJ23" i="81"/>
  <c r="BE23" i="81"/>
  <c r="AZ23" i="81"/>
  <c r="AU23" i="81"/>
  <c r="AP23" i="81"/>
  <c r="AK23" i="81"/>
  <c r="AF23" i="81"/>
  <c r="AA23" i="81"/>
  <c r="V23" i="81"/>
  <c r="Q23" i="81"/>
  <c r="L23" i="81"/>
  <c r="G23" i="81"/>
  <c r="B23" i="81"/>
  <c r="BT22" i="81"/>
  <c r="BO22" i="81"/>
  <c r="BJ22" i="81"/>
  <c r="BE22" i="81"/>
  <c r="AZ22" i="81"/>
  <c r="AU22" i="81"/>
  <c r="AP22" i="81"/>
  <c r="AK22" i="81"/>
  <c r="AF22" i="81"/>
  <c r="AA22" i="81"/>
  <c r="V22" i="81"/>
  <c r="Q22" i="81"/>
  <c r="L22" i="81"/>
  <c r="G22" i="81"/>
  <c r="B22" i="81"/>
  <c r="E22" i="81" l="1"/>
  <c r="D22" i="81"/>
  <c r="C22" i="81"/>
  <c r="F22" i="81"/>
  <c r="W22" i="81"/>
  <c r="Z22" i="81"/>
  <c r="Y22" i="81"/>
  <c r="X22" i="81"/>
  <c r="AT22" i="81"/>
  <c r="AS22" i="81"/>
  <c r="AR22" i="81"/>
  <c r="AQ22" i="81"/>
  <c r="BM22" i="81"/>
  <c r="BL22" i="81"/>
  <c r="BK22" i="81"/>
  <c r="BN22" i="81"/>
  <c r="J23" i="81"/>
  <c r="I23" i="81"/>
  <c r="H23" i="81"/>
  <c r="K23" i="81"/>
  <c r="AB23" i="81"/>
  <c r="AE23" i="81"/>
  <c r="AD23" i="81"/>
  <c r="AC23" i="81"/>
  <c r="AX23" i="81"/>
  <c r="AW23" i="81"/>
  <c r="AV23" i="81"/>
  <c r="AY23" i="81"/>
  <c r="BS23" i="81"/>
  <c r="BR23" i="81"/>
  <c r="BQ23" i="81"/>
  <c r="BP23" i="81"/>
  <c r="T24" i="81"/>
  <c r="S24" i="81"/>
  <c r="R24" i="81"/>
  <c r="U24" i="81"/>
  <c r="AN24" i="81"/>
  <c r="AL24" i="81"/>
  <c r="AO24" i="81"/>
  <c r="AM24" i="81"/>
  <c r="BI24" i="81"/>
  <c r="BH24" i="81"/>
  <c r="BG24" i="81"/>
  <c r="BF24" i="81"/>
  <c r="E25" i="81"/>
  <c r="D25" i="81"/>
  <c r="C25" i="81"/>
  <c r="F25" i="81"/>
  <c r="AE2" i="81"/>
  <c r="AD2" i="81"/>
  <c r="AC2" i="81"/>
  <c r="AB2" i="81"/>
  <c r="AY2" i="81"/>
  <c r="AX2" i="81"/>
  <c r="AW2" i="81"/>
  <c r="AV2" i="81"/>
  <c r="BR2" i="81"/>
  <c r="BQ2" i="81"/>
  <c r="BP2" i="81"/>
  <c r="BS2" i="81"/>
  <c r="T3" i="81"/>
  <c r="S3" i="81"/>
  <c r="R3" i="81"/>
  <c r="U3" i="81"/>
  <c r="AL3" i="81"/>
  <c r="AO3" i="81"/>
  <c r="AN3" i="81"/>
  <c r="AM3" i="81"/>
  <c r="BG3" i="81"/>
  <c r="BF3" i="81"/>
  <c r="BI3" i="81"/>
  <c r="BH3" i="81"/>
  <c r="J4" i="81"/>
  <c r="I4" i="81"/>
  <c r="H4" i="81"/>
  <c r="K4" i="81"/>
  <c r="AB4" i="81"/>
  <c r="AE4" i="81"/>
  <c r="AD4" i="81"/>
  <c r="AC4" i="81"/>
  <c r="AY4" i="81"/>
  <c r="AX4" i="81"/>
  <c r="AW4" i="81"/>
  <c r="AV4" i="81"/>
  <c r="BR4" i="81"/>
  <c r="BQ4" i="81"/>
  <c r="BP4" i="81"/>
  <c r="BS4" i="81"/>
  <c r="T5" i="81"/>
  <c r="S5" i="81"/>
  <c r="R5" i="81"/>
  <c r="U5" i="81"/>
  <c r="AL5" i="81"/>
  <c r="AO5" i="81"/>
  <c r="AN5" i="81"/>
  <c r="AM5" i="81"/>
  <c r="BG5" i="81"/>
  <c r="BF5" i="81"/>
  <c r="BI5" i="81"/>
  <c r="BH5" i="81"/>
  <c r="J24" i="81"/>
  <c r="I24" i="81"/>
  <c r="H24" i="81"/>
  <c r="K24" i="81"/>
  <c r="AB25" i="81"/>
  <c r="AE25" i="81"/>
  <c r="AD25" i="81"/>
  <c r="AC25" i="81"/>
  <c r="AX25" i="81"/>
  <c r="AW25" i="81"/>
  <c r="AV25" i="81"/>
  <c r="AY25" i="81"/>
  <c r="BS25" i="81"/>
  <c r="BR25" i="81"/>
  <c r="BQ25" i="81"/>
  <c r="BP25" i="81"/>
  <c r="O26" i="81"/>
  <c r="N26" i="81"/>
  <c r="M26" i="81"/>
  <c r="P26" i="81"/>
  <c r="AH26" i="81"/>
  <c r="AG26" i="81"/>
  <c r="AJ26" i="81"/>
  <c r="AI26" i="81"/>
  <c r="BC26" i="81"/>
  <c r="BB26" i="81"/>
  <c r="BA26" i="81"/>
  <c r="BD26" i="81"/>
  <c r="BX26" i="81"/>
  <c r="BW26" i="81"/>
  <c r="BV26" i="81"/>
  <c r="BU26" i="81"/>
  <c r="T27" i="81"/>
  <c r="S27" i="81"/>
  <c r="R27" i="81"/>
  <c r="U27" i="81"/>
  <c r="AN27" i="81"/>
  <c r="AL27" i="81"/>
  <c r="AM27" i="81"/>
  <c r="AO27" i="81"/>
  <c r="BI27" i="81"/>
  <c r="BH27" i="81"/>
  <c r="BG27" i="81"/>
  <c r="BF27" i="81"/>
  <c r="E28" i="81"/>
  <c r="D28" i="81"/>
  <c r="C28" i="81"/>
  <c r="F28" i="81"/>
  <c r="W28" i="81"/>
  <c r="Z28" i="81"/>
  <c r="Y28" i="81"/>
  <c r="X28" i="81"/>
  <c r="AT28" i="81"/>
  <c r="AS28" i="81"/>
  <c r="AR28" i="81"/>
  <c r="AQ28" i="81"/>
  <c r="BL28" i="81"/>
  <c r="BK28" i="81"/>
  <c r="BN28" i="81"/>
  <c r="BM28" i="81"/>
  <c r="H29" i="81"/>
  <c r="K29" i="81"/>
  <c r="J29" i="81"/>
  <c r="I29" i="81"/>
  <c r="AB29" i="81"/>
  <c r="AE29" i="81"/>
  <c r="AD29" i="81"/>
  <c r="AC29" i="81"/>
  <c r="BC29" i="81"/>
  <c r="BB29" i="81"/>
  <c r="BA29" i="81"/>
  <c r="BD29" i="81"/>
  <c r="BX29" i="81"/>
  <c r="BW29" i="81"/>
  <c r="BV29" i="81"/>
  <c r="BU29" i="81"/>
  <c r="T30" i="81"/>
  <c r="S30" i="81"/>
  <c r="R30" i="81"/>
  <c r="U30" i="81"/>
  <c r="AT30" i="81"/>
  <c r="AS30" i="81"/>
  <c r="AR30" i="81"/>
  <c r="AQ30" i="81"/>
  <c r="BL30" i="81"/>
  <c r="BK30" i="81"/>
  <c r="BN30" i="81"/>
  <c r="BM30" i="81"/>
  <c r="H31" i="81"/>
  <c r="K31" i="81"/>
  <c r="J31" i="81"/>
  <c r="I31" i="81"/>
  <c r="AB31" i="81"/>
  <c r="AE31" i="81"/>
  <c r="AD31" i="81"/>
  <c r="AC31" i="81"/>
  <c r="AX31" i="81"/>
  <c r="AW31" i="81"/>
  <c r="AV31" i="81"/>
  <c r="AY31" i="81"/>
  <c r="BS31" i="81"/>
  <c r="BR31" i="81"/>
  <c r="BQ31" i="81"/>
  <c r="BP31" i="81"/>
  <c r="O32" i="81"/>
  <c r="N32" i="81"/>
  <c r="M32" i="81"/>
  <c r="P32" i="81"/>
  <c r="AG32" i="81"/>
  <c r="AJ32" i="81"/>
  <c r="AI32" i="81"/>
  <c r="AH32" i="81"/>
  <c r="BC32" i="81"/>
  <c r="BB32" i="81"/>
  <c r="BA32" i="81"/>
  <c r="BD32" i="81"/>
  <c r="BX32" i="81"/>
  <c r="BW32" i="81"/>
  <c r="BV32" i="81"/>
  <c r="BU32" i="81"/>
  <c r="T33" i="81"/>
  <c r="S33" i="81"/>
  <c r="R33" i="81"/>
  <c r="U33" i="81"/>
  <c r="AN33" i="81"/>
  <c r="AL33" i="81"/>
  <c r="AM33" i="81"/>
  <c r="AO33" i="81"/>
  <c r="BI33" i="81"/>
  <c r="BH33" i="81"/>
  <c r="BG33" i="81"/>
  <c r="BF33" i="81"/>
  <c r="E34" i="81"/>
  <c r="D34" i="81"/>
  <c r="C34" i="81"/>
  <c r="F34" i="81"/>
  <c r="AB34" i="81"/>
  <c r="AE34" i="81"/>
  <c r="AD34" i="81"/>
  <c r="AC34" i="81"/>
  <c r="AX34" i="81"/>
  <c r="AW34" i="81"/>
  <c r="AV34" i="81"/>
  <c r="AY34" i="81"/>
  <c r="BS34" i="81"/>
  <c r="BR34" i="81"/>
  <c r="BQ34" i="81"/>
  <c r="BP34" i="81"/>
  <c r="O35" i="81"/>
  <c r="N35" i="81"/>
  <c r="M35" i="81"/>
  <c r="P35" i="81"/>
  <c r="AG35" i="81"/>
  <c r="AJ35" i="81"/>
  <c r="AI35" i="81"/>
  <c r="AH35" i="81"/>
  <c r="BC35" i="81"/>
  <c r="BB35" i="81"/>
  <c r="BA35" i="81"/>
  <c r="BD35" i="81"/>
  <c r="BX35" i="81"/>
  <c r="BW35" i="81"/>
  <c r="BV35" i="81"/>
  <c r="BU35" i="81"/>
  <c r="R36" i="81"/>
  <c r="U36" i="81"/>
  <c r="T36" i="81"/>
  <c r="S36" i="81"/>
  <c r="AN36" i="81"/>
  <c r="AL36" i="81"/>
  <c r="AO36" i="81"/>
  <c r="AM36" i="81"/>
  <c r="BI36" i="81"/>
  <c r="BH36" i="81"/>
  <c r="BG36" i="81"/>
  <c r="BF36" i="81"/>
  <c r="E37" i="81"/>
  <c r="D37" i="81"/>
  <c r="C37" i="81"/>
  <c r="F37" i="81"/>
  <c r="Z37" i="81"/>
  <c r="Y37" i="81"/>
  <c r="X37" i="81"/>
  <c r="W37" i="81"/>
  <c r="AT37" i="81"/>
  <c r="AS37" i="81"/>
  <c r="AR37" i="81"/>
  <c r="AQ37" i="81"/>
  <c r="BM37" i="81"/>
  <c r="BL37" i="81"/>
  <c r="BK37" i="81"/>
  <c r="BN37" i="81"/>
  <c r="H38" i="81"/>
  <c r="K38" i="81"/>
  <c r="J38" i="81"/>
  <c r="I38" i="81"/>
  <c r="AB38" i="81"/>
  <c r="AE38" i="81"/>
  <c r="AD38" i="81"/>
  <c r="AC38" i="81"/>
  <c r="AX38" i="81"/>
  <c r="AW38" i="81"/>
  <c r="AV38" i="81"/>
  <c r="AY38" i="81"/>
  <c r="BS38" i="81"/>
  <c r="BR38" i="81"/>
  <c r="BQ38" i="81"/>
  <c r="BP38" i="81"/>
  <c r="O39" i="81"/>
  <c r="N39" i="81"/>
  <c r="M39" i="81"/>
  <c r="P39" i="81"/>
  <c r="AG39" i="81"/>
  <c r="AJ39" i="81"/>
  <c r="AI39" i="81"/>
  <c r="AH39" i="81"/>
  <c r="BC39" i="81"/>
  <c r="BB39" i="81"/>
  <c r="BA39" i="81"/>
  <c r="BD39" i="81"/>
  <c r="BX39" i="81"/>
  <c r="BW39" i="81"/>
  <c r="BV39" i="81"/>
  <c r="BU39" i="81"/>
  <c r="Z40" i="81"/>
  <c r="Y40" i="81"/>
  <c r="X40" i="81"/>
  <c r="W40" i="81"/>
  <c r="AT40" i="81"/>
  <c r="AS40" i="81"/>
  <c r="AR40" i="81"/>
  <c r="AQ40" i="81"/>
  <c r="BM40" i="81"/>
  <c r="BL40" i="81"/>
  <c r="BK40" i="81"/>
  <c r="BN40" i="81"/>
  <c r="K41" i="81"/>
  <c r="J41" i="81"/>
  <c r="I41" i="81"/>
  <c r="H41" i="81"/>
  <c r="AB41" i="81"/>
  <c r="AE41" i="81"/>
  <c r="AD41" i="81"/>
  <c r="AC41" i="81"/>
  <c r="AX41" i="81"/>
  <c r="AW41" i="81"/>
  <c r="AV41" i="81"/>
  <c r="AY41" i="81"/>
  <c r="BS41" i="81"/>
  <c r="BR41" i="81"/>
  <c r="BQ41" i="81"/>
  <c r="BP41" i="81"/>
  <c r="O42" i="81"/>
  <c r="N42" i="81"/>
  <c r="M42" i="81"/>
  <c r="P42" i="81"/>
  <c r="AG42" i="81"/>
  <c r="AJ42" i="81"/>
  <c r="AI42" i="81"/>
  <c r="AH42" i="81"/>
  <c r="BC42" i="81"/>
  <c r="BB42" i="81"/>
  <c r="BA42" i="81"/>
  <c r="BD42" i="81"/>
  <c r="BX42" i="81"/>
  <c r="BW42" i="81"/>
  <c r="BV42" i="81"/>
  <c r="BU42" i="81"/>
  <c r="R43" i="81"/>
  <c r="U43" i="81"/>
  <c r="T43" i="81"/>
  <c r="S43" i="81"/>
  <c r="AN43" i="81"/>
  <c r="AL43" i="81"/>
  <c r="AM43" i="81"/>
  <c r="AO43" i="81"/>
  <c r="BI43" i="81"/>
  <c r="BH43" i="81"/>
  <c r="BG43" i="81"/>
  <c r="BF43" i="81"/>
  <c r="E44" i="81"/>
  <c r="D44" i="81"/>
  <c r="C44" i="81"/>
  <c r="F44" i="81"/>
  <c r="Z44" i="81"/>
  <c r="Y44" i="81"/>
  <c r="X44" i="81"/>
  <c r="W44" i="81"/>
  <c r="AT44" i="81"/>
  <c r="AS44" i="81"/>
  <c r="AR44" i="81"/>
  <c r="AQ44" i="81"/>
  <c r="BM44" i="81"/>
  <c r="BL44" i="81"/>
  <c r="BK44" i="81"/>
  <c r="BN44" i="81"/>
  <c r="K45" i="81"/>
  <c r="J45" i="81"/>
  <c r="I45" i="81"/>
  <c r="H45" i="81"/>
  <c r="AB45" i="81"/>
  <c r="AE45" i="81"/>
  <c r="AD45" i="81"/>
  <c r="AC45" i="81"/>
  <c r="AX45" i="81"/>
  <c r="AW45" i="81"/>
  <c r="AV45" i="81"/>
  <c r="AY45" i="81"/>
  <c r="BS45" i="81"/>
  <c r="BR45" i="81"/>
  <c r="BQ45" i="81"/>
  <c r="BP45" i="81"/>
  <c r="O46" i="81"/>
  <c r="N46" i="81"/>
  <c r="M46" i="81"/>
  <c r="P46" i="81"/>
  <c r="AG46" i="81"/>
  <c r="AJ46" i="81"/>
  <c r="AI46" i="81"/>
  <c r="AH46" i="81"/>
  <c r="BC46" i="81"/>
  <c r="BB46" i="81"/>
  <c r="BA46" i="81"/>
  <c r="BD46" i="81"/>
  <c r="BX46" i="81"/>
  <c r="BW46" i="81"/>
  <c r="BV46" i="81"/>
  <c r="BU46" i="81"/>
  <c r="R47" i="81"/>
  <c r="U47" i="81"/>
  <c r="T47" i="81"/>
  <c r="S47" i="81"/>
  <c r="AN47" i="81"/>
  <c r="AL47" i="81"/>
  <c r="AM47" i="81"/>
  <c r="AO47" i="81"/>
  <c r="BI47" i="81"/>
  <c r="BH47" i="81"/>
  <c r="BG47" i="81"/>
  <c r="BF47" i="81"/>
  <c r="E48" i="81"/>
  <c r="D48" i="81"/>
  <c r="C48" i="81"/>
  <c r="F48" i="81"/>
  <c r="Z48" i="81"/>
  <c r="Y48" i="81"/>
  <c r="X48" i="81"/>
  <c r="W48" i="81"/>
  <c r="AT48" i="81"/>
  <c r="AS48" i="81"/>
  <c r="AR48" i="81"/>
  <c r="AQ48" i="81"/>
  <c r="BM48" i="81"/>
  <c r="BL48" i="81"/>
  <c r="BK48" i="81"/>
  <c r="BN48" i="81"/>
  <c r="K49" i="81"/>
  <c r="J49" i="81"/>
  <c r="I49" i="81"/>
  <c r="H49" i="81"/>
  <c r="AB49" i="81"/>
  <c r="AE49" i="81"/>
  <c r="AD49" i="81"/>
  <c r="AC49" i="81"/>
  <c r="AX49" i="81"/>
  <c r="AW49" i="81"/>
  <c r="AV49" i="81"/>
  <c r="AY49" i="81"/>
  <c r="BS49" i="81"/>
  <c r="BR49" i="81"/>
  <c r="BQ49" i="81"/>
  <c r="BP49" i="81"/>
  <c r="O50" i="81"/>
  <c r="N50" i="81"/>
  <c r="M50" i="81"/>
  <c r="P50" i="81"/>
  <c r="AG50" i="81"/>
  <c r="AJ50" i="81"/>
  <c r="AI50" i="81"/>
  <c r="AH50" i="81"/>
  <c r="BC50" i="81"/>
  <c r="BB50" i="81"/>
  <c r="BA50" i="81"/>
  <c r="BD50" i="81"/>
  <c r="BX50" i="81"/>
  <c r="BW50" i="81"/>
  <c r="BV50" i="81"/>
  <c r="BU50" i="81"/>
  <c r="R51" i="81"/>
  <c r="U51" i="81"/>
  <c r="T51" i="81"/>
  <c r="S51" i="81"/>
  <c r="AO51" i="81"/>
  <c r="AN51" i="81"/>
  <c r="AM51" i="81"/>
  <c r="AL51" i="81"/>
  <c r="BI51" i="81"/>
  <c r="BH51" i="81"/>
  <c r="BG51" i="81"/>
  <c r="BF51" i="81"/>
  <c r="E52" i="81"/>
  <c r="D52" i="81"/>
  <c r="C52" i="81"/>
  <c r="F52" i="81"/>
  <c r="Z52" i="81"/>
  <c r="Y52" i="81"/>
  <c r="X52" i="81"/>
  <c r="W52" i="81"/>
  <c r="AT52" i="81"/>
  <c r="AS52" i="81"/>
  <c r="AR52" i="81"/>
  <c r="AQ52" i="81"/>
  <c r="BM52" i="81"/>
  <c r="BL52" i="81"/>
  <c r="BK52" i="81"/>
  <c r="BN52" i="81"/>
  <c r="K53" i="81"/>
  <c r="J53" i="81"/>
  <c r="I53" i="81"/>
  <c r="H53" i="81"/>
  <c r="AB53" i="81"/>
  <c r="AE53" i="81"/>
  <c r="AD53" i="81"/>
  <c r="AC53" i="81"/>
  <c r="AX53" i="81"/>
  <c r="AW53" i="81"/>
  <c r="AV53" i="81"/>
  <c r="AY53" i="81"/>
  <c r="BS53" i="81"/>
  <c r="BR53" i="81"/>
  <c r="BQ53" i="81"/>
  <c r="BP53" i="81"/>
  <c r="O54" i="81"/>
  <c r="N54" i="81"/>
  <c r="M54" i="81"/>
  <c r="P54" i="81"/>
  <c r="AG54" i="81"/>
  <c r="AJ54" i="81"/>
  <c r="AI54" i="81"/>
  <c r="AH54" i="81"/>
  <c r="BC54" i="81"/>
  <c r="BB54" i="81"/>
  <c r="BA54" i="81"/>
  <c r="BD54" i="81"/>
  <c r="BX54" i="81"/>
  <c r="BW54" i="81"/>
  <c r="BV54" i="81"/>
  <c r="BU54" i="81"/>
  <c r="R55" i="81"/>
  <c r="U55" i="81"/>
  <c r="T55" i="81"/>
  <c r="S55" i="81"/>
  <c r="AO55" i="81"/>
  <c r="AN55" i="81"/>
  <c r="AM55" i="81"/>
  <c r="AL55" i="81"/>
  <c r="BI55" i="81"/>
  <c r="BH55" i="81"/>
  <c r="BG55" i="81"/>
  <c r="BF55" i="81"/>
  <c r="E56" i="81"/>
  <c r="D56" i="81"/>
  <c r="C56" i="81"/>
  <c r="F56" i="81"/>
  <c r="Z56" i="81"/>
  <c r="Y56" i="81"/>
  <c r="X56" i="81"/>
  <c r="W56" i="81"/>
  <c r="AT56" i="81"/>
  <c r="AS56" i="81"/>
  <c r="AR56" i="81"/>
  <c r="AQ56" i="81"/>
  <c r="BM56" i="81"/>
  <c r="BL56" i="81"/>
  <c r="BK56" i="81"/>
  <c r="BN56" i="81"/>
  <c r="K57" i="81"/>
  <c r="J57" i="81"/>
  <c r="I57" i="81"/>
  <c r="H57" i="81"/>
  <c r="AB57" i="81"/>
  <c r="AE57" i="81"/>
  <c r="AD57" i="81"/>
  <c r="AC57" i="81"/>
  <c r="AX57" i="81"/>
  <c r="AW57" i="81"/>
  <c r="AV57" i="81"/>
  <c r="AY57" i="81"/>
  <c r="BS57" i="81"/>
  <c r="BR57" i="81"/>
  <c r="BQ57" i="81"/>
  <c r="BP57" i="81"/>
  <c r="O58" i="81"/>
  <c r="N58" i="81"/>
  <c r="M58" i="81"/>
  <c r="P58" i="81"/>
  <c r="AG58" i="81"/>
  <c r="AJ58" i="81"/>
  <c r="AI58" i="81"/>
  <c r="AH58" i="81"/>
  <c r="BC58" i="81"/>
  <c r="BB58" i="81"/>
  <c r="BA58" i="81"/>
  <c r="BD58" i="81"/>
  <c r="BX58" i="81"/>
  <c r="BW58" i="81"/>
  <c r="BV58" i="81"/>
  <c r="BU58" i="81"/>
  <c r="R59" i="81"/>
  <c r="U59" i="81"/>
  <c r="T59" i="81"/>
  <c r="S59" i="81"/>
  <c r="AO59" i="81"/>
  <c r="AN59" i="81"/>
  <c r="AM59" i="81"/>
  <c r="AL59" i="81"/>
  <c r="BI59" i="81"/>
  <c r="BH59" i="81"/>
  <c r="BG59" i="81"/>
  <c r="BF59" i="81"/>
  <c r="E60" i="81"/>
  <c r="D60" i="81"/>
  <c r="C60" i="81"/>
  <c r="F60" i="81"/>
  <c r="Z60" i="81"/>
  <c r="Y60" i="81"/>
  <c r="X60" i="81"/>
  <c r="W60" i="81"/>
  <c r="AT60" i="81"/>
  <c r="AS60" i="81"/>
  <c r="AR60" i="81"/>
  <c r="AQ60" i="81"/>
  <c r="BM60" i="81"/>
  <c r="BL60" i="81"/>
  <c r="BK60" i="81"/>
  <c r="BN60" i="81"/>
  <c r="K61" i="81"/>
  <c r="J61" i="81"/>
  <c r="I61" i="81"/>
  <c r="H61" i="81"/>
  <c r="AB61" i="81"/>
  <c r="AE61" i="81"/>
  <c r="AD61" i="81"/>
  <c r="AC61" i="81"/>
  <c r="AX61" i="81"/>
  <c r="AW61" i="81"/>
  <c r="AV61" i="81"/>
  <c r="AY61" i="81"/>
  <c r="BS61" i="81"/>
  <c r="BR61" i="81"/>
  <c r="BQ61" i="81"/>
  <c r="BP61" i="81"/>
  <c r="O62" i="81"/>
  <c r="N62" i="81"/>
  <c r="M62" i="81"/>
  <c r="P62" i="81"/>
  <c r="AG62" i="81"/>
  <c r="AJ62" i="81"/>
  <c r="AI62" i="81"/>
  <c r="AH62" i="81"/>
  <c r="BC62" i="81"/>
  <c r="BB62" i="81"/>
  <c r="BA62" i="81"/>
  <c r="BD62" i="81"/>
  <c r="BX62" i="81"/>
  <c r="BW62" i="81"/>
  <c r="BV62" i="81"/>
  <c r="BU62" i="81"/>
  <c r="R63" i="81"/>
  <c r="U63" i="81"/>
  <c r="T63" i="81"/>
  <c r="S63" i="81"/>
  <c r="AO63" i="81"/>
  <c r="AN63" i="81"/>
  <c r="AM63" i="81"/>
  <c r="AL63" i="81"/>
  <c r="BI63" i="81"/>
  <c r="BH63" i="81"/>
  <c r="BG63" i="81"/>
  <c r="BF63" i="81"/>
  <c r="E64" i="81"/>
  <c r="D64" i="81"/>
  <c r="C64" i="81"/>
  <c r="F64" i="81"/>
  <c r="Z64" i="81"/>
  <c r="Y64" i="81"/>
  <c r="X64" i="81"/>
  <c r="W64" i="81"/>
  <c r="AT64" i="81"/>
  <c r="AS64" i="81"/>
  <c r="AR64" i="81"/>
  <c r="AQ64" i="81"/>
  <c r="BS64" i="81"/>
  <c r="BR64" i="81"/>
  <c r="BQ64" i="81"/>
  <c r="BP64" i="81"/>
  <c r="O65" i="81"/>
  <c r="N65" i="81"/>
  <c r="M65" i="81"/>
  <c r="P65" i="81"/>
  <c r="AG65" i="81"/>
  <c r="AJ65" i="81"/>
  <c r="AI65" i="81"/>
  <c r="AH65" i="81"/>
  <c r="BB65" i="81"/>
  <c r="BA65" i="81"/>
  <c r="BD65" i="81"/>
  <c r="BC65" i="81"/>
  <c r="BX65" i="81"/>
  <c r="BW65" i="81"/>
  <c r="BV65" i="81"/>
  <c r="BU65" i="81"/>
  <c r="Z66" i="81"/>
  <c r="Y66" i="81"/>
  <c r="X66" i="81"/>
  <c r="W66" i="81"/>
  <c r="AT66" i="81"/>
  <c r="AS66" i="81"/>
  <c r="AR66" i="81"/>
  <c r="AQ66" i="81"/>
  <c r="BM66" i="81"/>
  <c r="BL66" i="81"/>
  <c r="BK66" i="81"/>
  <c r="BN66" i="81"/>
  <c r="K67" i="81"/>
  <c r="J67" i="81"/>
  <c r="I67" i="81"/>
  <c r="H67" i="81"/>
  <c r="AB67" i="81"/>
  <c r="AE67" i="81"/>
  <c r="AD67" i="81"/>
  <c r="AC67" i="81"/>
  <c r="AX67" i="81"/>
  <c r="AW67" i="81"/>
  <c r="AV67" i="81"/>
  <c r="AY67" i="81"/>
  <c r="BS67" i="81"/>
  <c r="BR67" i="81"/>
  <c r="BQ67" i="81"/>
  <c r="BP67" i="81"/>
  <c r="O68" i="81"/>
  <c r="N68" i="81"/>
  <c r="M68" i="81"/>
  <c r="P68" i="81"/>
  <c r="AG68" i="81"/>
  <c r="AJ68" i="81"/>
  <c r="AI68" i="81"/>
  <c r="AH68" i="81"/>
  <c r="BB68" i="81"/>
  <c r="BA68" i="81"/>
  <c r="BD68" i="81"/>
  <c r="BC68" i="81"/>
  <c r="BX68" i="81"/>
  <c r="BW68" i="81"/>
  <c r="BV68" i="81"/>
  <c r="BU68" i="81"/>
  <c r="R69" i="81"/>
  <c r="U69" i="81"/>
  <c r="T69" i="81"/>
  <c r="S69" i="81"/>
  <c r="AO69" i="81"/>
  <c r="AN69" i="81"/>
  <c r="AM69" i="81"/>
  <c r="AL69" i="81"/>
  <c r="BI69" i="81"/>
  <c r="BH69" i="81"/>
  <c r="BG69" i="81"/>
  <c r="BF69" i="81"/>
  <c r="E70" i="81"/>
  <c r="D70" i="81"/>
  <c r="C70" i="81"/>
  <c r="F70" i="81"/>
  <c r="Z70" i="81"/>
  <c r="Y70" i="81"/>
  <c r="X70" i="81"/>
  <c r="W70" i="81"/>
  <c r="AT70" i="81"/>
  <c r="AS70" i="81"/>
  <c r="AR70" i="81"/>
  <c r="AQ70" i="81"/>
  <c r="BM70" i="81"/>
  <c r="BL70" i="81"/>
  <c r="BK70" i="81"/>
  <c r="BN70" i="81"/>
  <c r="K71" i="81"/>
  <c r="J71" i="81"/>
  <c r="I71" i="81"/>
  <c r="H71" i="81"/>
  <c r="AB71" i="81"/>
  <c r="AE71" i="81"/>
  <c r="AD71" i="81"/>
  <c r="AC71" i="81"/>
  <c r="AX71" i="81"/>
  <c r="AW71" i="81"/>
  <c r="AV71" i="81"/>
  <c r="AY71" i="81"/>
  <c r="BS71" i="81"/>
  <c r="BR71" i="81"/>
  <c r="BQ71" i="81"/>
  <c r="BP71" i="81"/>
  <c r="O72" i="81"/>
  <c r="N72" i="81"/>
  <c r="M72" i="81"/>
  <c r="P72" i="81"/>
  <c r="AG72" i="81"/>
  <c r="AJ72" i="81"/>
  <c r="AI72" i="81"/>
  <c r="AH72" i="81"/>
  <c r="BB72" i="81"/>
  <c r="BA72" i="81"/>
  <c r="BD72" i="81"/>
  <c r="BC72" i="81"/>
  <c r="BX72" i="81"/>
  <c r="BW72" i="81"/>
  <c r="BV72" i="81"/>
  <c r="BU72" i="81"/>
  <c r="R73" i="81"/>
  <c r="U73" i="81"/>
  <c r="T73" i="81"/>
  <c r="S73" i="81"/>
  <c r="AO73" i="81"/>
  <c r="AN73" i="81"/>
  <c r="AM73" i="81"/>
  <c r="AL73" i="81"/>
  <c r="BI73" i="81"/>
  <c r="BH73" i="81"/>
  <c r="BG73" i="81"/>
  <c r="BF73" i="81"/>
  <c r="E74" i="81"/>
  <c r="D74" i="81"/>
  <c r="C74" i="81"/>
  <c r="F74" i="81"/>
  <c r="Z74" i="81"/>
  <c r="Y74" i="81"/>
  <c r="X74" i="81"/>
  <c r="W74" i="81"/>
  <c r="AT74" i="81"/>
  <c r="AS74" i="81"/>
  <c r="AR74" i="81"/>
  <c r="AQ74" i="81"/>
  <c r="BM74" i="81"/>
  <c r="BL74" i="81"/>
  <c r="BK74" i="81"/>
  <c r="BN74" i="81"/>
  <c r="K75" i="81"/>
  <c r="J75" i="81"/>
  <c r="I75" i="81"/>
  <c r="H75" i="81"/>
  <c r="AB75" i="81"/>
  <c r="AE75" i="81"/>
  <c r="AD75" i="81"/>
  <c r="AC75" i="81"/>
  <c r="AX75" i="81"/>
  <c r="AW75" i="81"/>
  <c r="AV75" i="81"/>
  <c r="AY75" i="81"/>
  <c r="BS75" i="81"/>
  <c r="BR75" i="81"/>
  <c r="BQ75" i="81"/>
  <c r="BP75" i="81"/>
  <c r="O76" i="81"/>
  <c r="N76" i="81"/>
  <c r="M76" i="81"/>
  <c r="P76" i="81"/>
  <c r="AG76" i="81"/>
  <c r="AJ76" i="81"/>
  <c r="AI76" i="81"/>
  <c r="AH76" i="81"/>
  <c r="BB76" i="81"/>
  <c r="BA76" i="81"/>
  <c r="BD76" i="81"/>
  <c r="BC76" i="81"/>
  <c r="BX76" i="81"/>
  <c r="BW76" i="81"/>
  <c r="BV76" i="81"/>
  <c r="BU76" i="81"/>
  <c r="R77" i="81"/>
  <c r="U77" i="81"/>
  <c r="T77" i="81"/>
  <c r="S77" i="81"/>
  <c r="AO77" i="81"/>
  <c r="AN77" i="81"/>
  <c r="AM77" i="81"/>
  <c r="AL77" i="81"/>
  <c r="BI77" i="81"/>
  <c r="BH77" i="81"/>
  <c r="BG77" i="81"/>
  <c r="BF77" i="81"/>
  <c r="E78" i="81"/>
  <c r="D78" i="81"/>
  <c r="C78" i="81"/>
  <c r="F78" i="81"/>
  <c r="Z78" i="81"/>
  <c r="Y78" i="81"/>
  <c r="X78" i="81"/>
  <c r="W78" i="81"/>
  <c r="AT78" i="81"/>
  <c r="AS78" i="81"/>
  <c r="AR78" i="81"/>
  <c r="AQ78" i="81"/>
  <c r="BM78" i="81"/>
  <c r="BL78" i="81"/>
  <c r="BK78" i="81"/>
  <c r="BN78" i="81"/>
  <c r="K79" i="81"/>
  <c r="J79" i="81"/>
  <c r="I79" i="81"/>
  <c r="H79" i="81"/>
  <c r="AB79" i="81"/>
  <c r="AE79" i="81"/>
  <c r="AD79" i="81"/>
  <c r="AC79" i="81"/>
  <c r="AX79" i="81"/>
  <c r="AW79" i="81"/>
  <c r="AV79" i="81"/>
  <c r="AY79" i="81"/>
  <c r="BS79" i="81"/>
  <c r="BR79" i="81"/>
  <c r="BQ79" i="81"/>
  <c r="BP79" i="81"/>
  <c r="O80" i="81"/>
  <c r="N80" i="81"/>
  <c r="M80" i="81"/>
  <c r="P80" i="81"/>
  <c r="AG80" i="81"/>
  <c r="AJ80" i="81"/>
  <c r="AI80" i="81"/>
  <c r="AH80" i="81"/>
  <c r="BB80" i="81"/>
  <c r="BA80" i="81"/>
  <c r="BD80" i="81"/>
  <c r="BC80" i="81"/>
  <c r="E81" i="81"/>
  <c r="D81" i="81"/>
  <c r="C81" i="81"/>
  <c r="F81" i="81"/>
  <c r="Z81" i="81"/>
  <c r="Y81" i="81"/>
  <c r="X81" i="81"/>
  <c r="W81" i="81"/>
  <c r="AT81" i="81"/>
  <c r="AS81" i="81"/>
  <c r="AR81" i="81"/>
  <c r="AQ81" i="81"/>
  <c r="BM81" i="81"/>
  <c r="BL81" i="81"/>
  <c r="BK81" i="81"/>
  <c r="BN81" i="81"/>
  <c r="K82" i="81"/>
  <c r="J82" i="81"/>
  <c r="I82" i="81"/>
  <c r="H82" i="81"/>
  <c r="AB82" i="81"/>
  <c r="AE82" i="81"/>
  <c r="AD82" i="81"/>
  <c r="AC82" i="81"/>
  <c r="AX82" i="81"/>
  <c r="AW82" i="81"/>
  <c r="AV82" i="81"/>
  <c r="AY82" i="81"/>
  <c r="BS82" i="81"/>
  <c r="BR82" i="81"/>
  <c r="BQ82" i="81"/>
  <c r="BP82" i="81"/>
  <c r="O83" i="81"/>
  <c r="N83" i="81"/>
  <c r="M83" i="81"/>
  <c r="P83" i="81"/>
  <c r="AG83" i="81"/>
  <c r="AJ83" i="81"/>
  <c r="AI83" i="81"/>
  <c r="AH83" i="81"/>
  <c r="BB83" i="81"/>
  <c r="BA83" i="81"/>
  <c r="BD83" i="81"/>
  <c r="BC83" i="81"/>
  <c r="BX83" i="81"/>
  <c r="BW83" i="81"/>
  <c r="BV83" i="81"/>
  <c r="BU83" i="81"/>
  <c r="R84" i="81"/>
  <c r="U84" i="81"/>
  <c r="T84" i="81"/>
  <c r="S84" i="81"/>
  <c r="AO84" i="81"/>
  <c r="AN84" i="81"/>
  <c r="AM84" i="81"/>
  <c r="AL84" i="81"/>
  <c r="BI84" i="81"/>
  <c r="BH84" i="81"/>
  <c r="BG84" i="81"/>
  <c r="BF84" i="81"/>
  <c r="E85" i="81"/>
  <c r="D85" i="81"/>
  <c r="C85" i="81"/>
  <c r="F85" i="81"/>
  <c r="Z85" i="81"/>
  <c r="Y85" i="81"/>
  <c r="X85" i="81"/>
  <c r="W85" i="81"/>
  <c r="AT85" i="81"/>
  <c r="AS85" i="81"/>
  <c r="AR85" i="81"/>
  <c r="AQ85" i="81"/>
  <c r="BM85" i="81"/>
  <c r="BL85" i="81"/>
  <c r="BK85" i="81"/>
  <c r="BN85" i="81"/>
  <c r="K86" i="81"/>
  <c r="J86" i="81"/>
  <c r="I86" i="81"/>
  <c r="H86" i="81"/>
  <c r="AB86" i="81"/>
  <c r="AE86" i="81"/>
  <c r="AD86" i="81"/>
  <c r="AC86" i="81"/>
  <c r="AX86" i="81"/>
  <c r="AW86" i="81"/>
  <c r="AV86" i="81"/>
  <c r="AY86" i="81"/>
  <c r="BS86" i="81"/>
  <c r="BR86" i="81"/>
  <c r="BQ86" i="81"/>
  <c r="BP86" i="81"/>
  <c r="O87" i="81"/>
  <c r="N87" i="81"/>
  <c r="M87" i="81"/>
  <c r="P87" i="81"/>
  <c r="AG87" i="81"/>
  <c r="AJ87" i="81"/>
  <c r="AI87" i="81"/>
  <c r="AH87" i="81"/>
  <c r="BB87" i="81"/>
  <c r="BA87" i="81"/>
  <c r="BD87" i="81"/>
  <c r="BC87" i="81"/>
  <c r="BX87" i="81"/>
  <c r="BW87" i="81"/>
  <c r="BV87" i="81"/>
  <c r="BU87" i="81"/>
  <c r="R88" i="81"/>
  <c r="U88" i="81"/>
  <c r="T88" i="81"/>
  <c r="S88" i="81"/>
  <c r="AT88" i="81"/>
  <c r="AS88" i="81"/>
  <c r="AR88" i="81"/>
  <c r="AQ88" i="81"/>
  <c r="BM88" i="81"/>
  <c r="BL88" i="81"/>
  <c r="BK88" i="81"/>
  <c r="BN88" i="81"/>
  <c r="K89" i="81"/>
  <c r="J89" i="81"/>
  <c r="I89" i="81"/>
  <c r="H89" i="81"/>
  <c r="AE89" i="81"/>
  <c r="AD89" i="81"/>
  <c r="AC89" i="81"/>
  <c r="AB89" i="81"/>
  <c r="AX89" i="81"/>
  <c r="AW89" i="81"/>
  <c r="AV89" i="81"/>
  <c r="AY89" i="81"/>
  <c r="BS89" i="81"/>
  <c r="BR89" i="81"/>
  <c r="BQ89" i="81"/>
  <c r="BP89" i="81"/>
  <c r="R90" i="81"/>
  <c r="U90" i="81"/>
  <c r="T90" i="81"/>
  <c r="S90" i="81"/>
  <c r="AO90" i="81"/>
  <c r="AN90" i="81"/>
  <c r="AM90" i="81"/>
  <c r="AL90" i="81"/>
  <c r="J22" i="81"/>
  <c r="I22" i="81"/>
  <c r="H22" i="81"/>
  <c r="K22" i="81"/>
  <c r="AB22" i="81"/>
  <c r="AE22" i="81"/>
  <c r="AD22" i="81"/>
  <c r="AC22" i="81"/>
  <c r="AX22" i="81"/>
  <c r="AW22" i="81"/>
  <c r="AV22" i="81"/>
  <c r="AY22" i="81"/>
  <c r="BS22" i="81"/>
  <c r="BR22" i="81"/>
  <c r="BQ22" i="81"/>
  <c r="BP22" i="81"/>
  <c r="O23" i="81"/>
  <c r="N23" i="81"/>
  <c r="M23" i="81"/>
  <c r="P23" i="81"/>
  <c r="AH23" i="81"/>
  <c r="AG23" i="81"/>
  <c r="AJ23" i="81"/>
  <c r="AI23" i="81"/>
  <c r="BC23" i="81"/>
  <c r="BB23" i="81"/>
  <c r="BA23" i="81"/>
  <c r="BD23" i="81"/>
  <c r="BX23" i="81"/>
  <c r="BW23" i="81"/>
  <c r="BV23" i="81"/>
  <c r="BU23" i="81"/>
  <c r="W24" i="81"/>
  <c r="Z24" i="81"/>
  <c r="Y24" i="81"/>
  <c r="X24" i="81"/>
  <c r="AT24" i="81"/>
  <c r="AS24" i="81"/>
  <c r="AR24" i="81"/>
  <c r="AQ24" i="81"/>
  <c r="BL24" i="81"/>
  <c r="BK24" i="81"/>
  <c r="BN24" i="81"/>
  <c r="BM24" i="81"/>
  <c r="AG2" i="81"/>
  <c r="AJ2" i="81"/>
  <c r="AH2" i="81"/>
  <c r="AI2" i="81"/>
  <c r="BC2" i="81"/>
  <c r="BB2" i="81"/>
  <c r="BA2" i="81"/>
  <c r="BD2" i="81"/>
  <c r="BV2" i="81"/>
  <c r="BU2" i="81"/>
  <c r="BX2" i="81"/>
  <c r="BW2" i="81"/>
  <c r="W3" i="81"/>
  <c r="Z3" i="81"/>
  <c r="Y3" i="81"/>
  <c r="X3" i="81"/>
  <c r="AT3" i="81"/>
  <c r="AS3" i="81"/>
  <c r="AR3" i="81"/>
  <c r="AQ3" i="81"/>
  <c r="BM3" i="81"/>
  <c r="BL3" i="81"/>
  <c r="BK3" i="81"/>
  <c r="BN3" i="81"/>
  <c r="O4" i="81"/>
  <c r="N4" i="81"/>
  <c r="M4" i="81"/>
  <c r="P4" i="81"/>
  <c r="AH4" i="81"/>
  <c r="AJ4" i="81"/>
  <c r="AG4" i="81"/>
  <c r="AI4" i="81"/>
  <c r="BC4" i="81"/>
  <c r="BB4" i="81"/>
  <c r="BA4" i="81"/>
  <c r="BD4" i="81"/>
  <c r="BV4" i="81"/>
  <c r="BU4" i="81"/>
  <c r="BX4" i="81"/>
  <c r="BW4" i="81"/>
  <c r="W5" i="81"/>
  <c r="Z5" i="81"/>
  <c r="Y5" i="81"/>
  <c r="X5" i="81"/>
  <c r="AT5" i="81"/>
  <c r="AS5" i="81"/>
  <c r="AR5" i="81"/>
  <c r="AQ5" i="81"/>
  <c r="BM5" i="81"/>
  <c r="BL5" i="81"/>
  <c r="BK5" i="81"/>
  <c r="BN5" i="81"/>
  <c r="J25" i="81"/>
  <c r="I25" i="81"/>
  <c r="H25" i="81"/>
  <c r="K25" i="81"/>
  <c r="AH25" i="81"/>
  <c r="AG25" i="81"/>
  <c r="AJ25" i="81"/>
  <c r="AI25" i="81"/>
  <c r="BC25" i="81"/>
  <c r="BB25" i="81"/>
  <c r="BA25" i="81"/>
  <c r="BD25" i="81"/>
  <c r="BX25" i="81"/>
  <c r="BW25" i="81"/>
  <c r="BV25" i="81"/>
  <c r="BU25" i="81"/>
  <c r="T26" i="81"/>
  <c r="S26" i="81"/>
  <c r="R26" i="81"/>
  <c r="U26" i="81"/>
  <c r="AN26" i="81"/>
  <c r="AL26" i="81"/>
  <c r="AO26" i="81"/>
  <c r="AM26" i="81"/>
  <c r="BI26" i="81"/>
  <c r="BH26" i="81"/>
  <c r="BG26" i="81"/>
  <c r="BF26" i="81"/>
  <c r="E27" i="81"/>
  <c r="D27" i="81"/>
  <c r="C27" i="81"/>
  <c r="F27" i="81"/>
  <c r="W27" i="81"/>
  <c r="Z27" i="81"/>
  <c r="Y27" i="81"/>
  <c r="X27" i="81"/>
  <c r="AT27" i="81"/>
  <c r="AS27" i="81"/>
  <c r="AR27" i="81"/>
  <c r="AQ27" i="81"/>
  <c r="BM27" i="81"/>
  <c r="BL27" i="81"/>
  <c r="BK27" i="81"/>
  <c r="BN27" i="81"/>
  <c r="H28" i="81"/>
  <c r="K28" i="81"/>
  <c r="J28" i="81"/>
  <c r="I28" i="81"/>
  <c r="AB28" i="81"/>
  <c r="AE28" i="81"/>
  <c r="AD28" i="81"/>
  <c r="AC28" i="81"/>
  <c r="AX28" i="81"/>
  <c r="AW28" i="81"/>
  <c r="AV28" i="81"/>
  <c r="AY28" i="81"/>
  <c r="BS28" i="81"/>
  <c r="BR28" i="81"/>
  <c r="BQ28" i="81"/>
  <c r="BP28" i="81"/>
  <c r="O29" i="81"/>
  <c r="N29" i="81"/>
  <c r="M29" i="81"/>
  <c r="P29" i="81"/>
  <c r="AG29" i="81"/>
  <c r="AJ29" i="81"/>
  <c r="AI29" i="81"/>
  <c r="AH29" i="81"/>
  <c r="BI29" i="81"/>
  <c r="BH29" i="81"/>
  <c r="BG29" i="81"/>
  <c r="BF29" i="81"/>
  <c r="E30" i="81"/>
  <c r="D30" i="81"/>
  <c r="C30" i="81"/>
  <c r="F30" i="81"/>
  <c r="W30" i="81"/>
  <c r="Z30" i="81"/>
  <c r="Y30" i="81"/>
  <c r="X30" i="81"/>
  <c r="AX30" i="81"/>
  <c r="AW30" i="81"/>
  <c r="AV30" i="81"/>
  <c r="AY30" i="81"/>
  <c r="BS30" i="81"/>
  <c r="BR30" i="81"/>
  <c r="BQ30" i="81"/>
  <c r="BP30" i="81"/>
  <c r="O31" i="81"/>
  <c r="N31" i="81"/>
  <c r="M31" i="81"/>
  <c r="P31" i="81"/>
  <c r="AG31" i="81"/>
  <c r="AJ31" i="81"/>
  <c r="AI31" i="81"/>
  <c r="AH31" i="81"/>
  <c r="BC31" i="81"/>
  <c r="BB31" i="81"/>
  <c r="BA31" i="81"/>
  <c r="BD31" i="81"/>
  <c r="BX31" i="81"/>
  <c r="BW31" i="81"/>
  <c r="BV31" i="81"/>
  <c r="BU31" i="81"/>
  <c r="T32" i="81"/>
  <c r="S32" i="81"/>
  <c r="R32" i="81"/>
  <c r="U32" i="81"/>
  <c r="AN32" i="81"/>
  <c r="AL32" i="81"/>
  <c r="AO32" i="81"/>
  <c r="AM32" i="81"/>
  <c r="BI32" i="81"/>
  <c r="BH32" i="81"/>
  <c r="BG32" i="81"/>
  <c r="BF32" i="81"/>
  <c r="E33" i="81"/>
  <c r="D33" i="81"/>
  <c r="C33" i="81"/>
  <c r="F33" i="81"/>
  <c r="Z33" i="81"/>
  <c r="Y33" i="81"/>
  <c r="X33" i="81"/>
  <c r="W33" i="81"/>
  <c r="AT33" i="81"/>
  <c r="AS33" i="81"/>
  <c r="AR33" i="81"/>
  <c r="AQ33" i="81"/>
  <c r="BM33" i="81"/>
  <c r="BL33" i="81"/>
  <c r="BK33" i="81"/>
  <c r="BN33" i="81"/>
  <c r="H34" i="81"/>
  <c r="K34" i="81"/>
  <c r="J34" i="81"/>
  <c r="I34" i="81"/>
  <c r="AG34" i="81"/>
  <c r="AJ34" i="81"/>
  <c r="AI34" i="81"/>
  <c r="AH34" i="81"/>
  <c r="BC34" i="81"/>
  <c r="BB34" i="81"/>
  <c r="BA34" i="81"/>
  <c r="BD34" i="81"/>
  <c r="BX34" i="81"/>
  <c r="BW34" i="81"/>
  <c r="BV34" i="81"/>
  <c r="BU34" i="81"/>
  <c r="R35" i="81"/>
  <c r="U35" i="81"/>
  <c r="T35" i="81"/>
  <c r="S35" i="81"/>
  <c r="AN35" i="81"/>
  <c r="AL35" i="81"/>
  <c r="AM35" i="81"/>
  <c r="AO35" i="81"/>
  <c r="BI35" i="81"/>
  <c r="BH35" i="81"/>
  <c r="BG35" i="81"/>
  <c r="BF35" i="81"/>
  <c r="E36" i="81"/>
  <c r="D36" i="81"/>
  <c r="C36" i="81"/>
  <c r="F36" i="81"/>
  <c r="Z36" i="81"/>
  <c r="Y36" i="81"/>
  <c r="X36" i="81"/>
  <c r="W36" i="81"/>
  <c r="AT36" i="81"/>
  <c r="AS36" i="81"/>
  <c r="AR36" i="81"/>
  <c r="AQ36" i="81"/>
  <c r="BL36" i="81"/>
  <c r="BK36" i="81"/>
  <c r="BN36" i="81"/>
  <c r="BM36" i="81"/>
  <c r="H37" i="81"/>
  <c r="K37" i="81"/>
  <c r="J37" i="81"/>
  <c r="I37" i="81"/>
  <c r="AB37" i="81"/>
  <c r="AE37" i="81"/>
  <c r="AD37" i="81"/>
  <c r="AC37" i="81"/>
  <c r="AX37" i="81"/>
  <c r="AW37" i="81"/>
  <c r="AV37" i="81"/>
  <c r="AY37" i="81"/>
  <c r="BS37" i="81"/>
  <c r="BR37" i="81"/>
  <c r="BQ37" i="81"/>
  <c r="BP37" i="81"/>
  <c r="O38" i="81"/>
  <c r="N38" i="81"/>
  <c r="M38" i="81"/>
  <c r="P38" i="81"/>
  <c r="AG38" i="81"/>
  <c r="AJ38" i="81"/>
  <c r="AI38" i="81"/>
  <c r="AH38" i="81"/>
  <c r="BC38" i="81"/>
  <c r="BB38" i="81"/>
  <c r="BA38" i="81"/>
  <c r="BD38" i="81"/>
  <c r="BX38" i="81"/>
  <c r="BW38" i="81"/>
  <c r="BV38" i="81"/>
  <c r="BU38" i="81"/>
  <c r="R39" i="81"/>
  <c r="U39" i="81"/>
  <c r="T39" i="81"/>
  <c r="S39" i="81"/>
  <c r="AN39" i="81"/>
  <c r="AL39" i="81"/>
  <c r="AM39" i="81"/>
  <c r="AO39" i="81"/>
  <c r="BI39" i="81"/>
  <c r="BH39" i="81"/>
  <c r="BG39" i="81"/>
  <c r="BF39" i="81"/>
  <c r="E40" i="81"/>
  <c r="D40" i="81"/>
  <c r="C40" i="81"/>
  <c r="F40" i="81"/>
  <c r="AB40" i="81"/>
  <c r="AE40" i="81"/>
  <c r="AD40" i="81"/>
  <c r="AC40" i="81"/>
  <c r="AX40" i="81"/>
  <c r="AW40" i="81"/>
  <c r="AV40" i="81"/>
  <c r="AY40" i="81"/>
  <c r="BS40" i="81"/>
  <c r="BR40" i="81"/>
  <c r="BQ40" i="81"/>
  <c r="BP40" i="81"/>
  <c r="O41" i="81"/>
  <c r="N41" i="81"/>
  <c r="M41" i="81"/>
  <c r="P41" i="81"/>
  <c r="AG41" i="81"/>
  <c r="AJ41" i="81"/>
  <c r="AI41" i="81"/>
  <c r="AH41" i="81"/>
  <c r="BC41" i="81"/>
  <c r="BB41" i="81"/>
  <c r="BA41" i="81"/>
  <c r="BD41" i="81"/>
  <c r="BX41" i="81"/>
  <c r="BW41" i="81"/>
  <c r="BV41" i="81"/>
  <c r="BU41" i="81"/>
  <c r="R42" i="81"/>
  <c r="U42" i="81"/>
  <c r="T42" i="81"/>
  <c r="S42" i="81"/>
  <c r="AN42" i="81"/>
  <c r="AL42" i="81"/>
  <c r="AO42" i="81"/>
  <c r="AM42" i="81"/>
  <c r="BI42" i="81"/>
  <c r="BH42" i="81"/>
  <c r="BG42" i="81"/>
  <c r="BF42" i="81"/>
  <c r="E43" i="81"/>
  <c r="D43" i="81"/>
  <c r="C43" i="81"/>
  <c r="F43" i="81"/>
  <c r="Z43" i="81"/>
  <c r="Y43" i="81"/>
  <c r="X43" i="81"/>
  <c r="W43" i="81"/>
  <c r="AT43" i="81"/>
  <c r="AS43" i="81"/>
  <c r="AR43" i="81"/>
  <c r="AQ43" i="81"/>
  <c r="BM43" i="81"/>
  <c r="BL43" i="81"/>
  <c r="BK43" i="81"/>
  <c r="BN43" i="81"/>
  <c r="K44" i="81"/>
  <c r="J44" i="81"/>
  <c r="I44" i="81"/>
  <c r="H44" i="81"/>
  <c r="AB44" i="81"/>
  <c r="AE44" i="81"/>
  <c r="AD44" i="81"/>
  <c r="AC44" i="81"/>
  <c r="AX44" i="81"/>
  <c r="AW44" i="81"/>
  <c r="AV44" i="81"/>
  <c r="AY44" i="81"/>
  <c r="BS44" i="81"/>
  <c r="BR44" i="81"/>
  <c r="BQ44" i="81"/>
  <c r="BP44" i="81"/>
  <c r="O45" i="81"/>
  <c r="N45" i="81"/>
  <c r="M45" i="81"/>
  <c r="P45" i="81"/>
  <c r="AG45" i="81"/>
  <c r="AJ45" i="81"/>
  <c r="AI45" i="81"/>
  <c r="AH45" i="81"/>
  <c r="BC45" i="81"/>
  <c r="BB45" i="81"/>
  <c r="BA45" i="81"/>
  <c r="BD45" i="81"/>
  <c r="BX45" i="81"/>
  <c r="BW45" i="81"/>
  <c r="BV45" i="81"/>
  <c r="BU45" i="81"/>
  <c r="R46" i="81"/>
  <c r="U46" i="81"/>
  <c r="T46" i="81"/>
  <c r="S46" i="81"/>
  <c r="AN46" i="81"/>
  <c r="AL46" i="81"/>
  <c r="AO46" i="81"/>
  <c r="AM46" i="81"/>
  <c r="BI46" i="81"/>
  <c r="BH46" i="81"/>
  <c r="BG46" i="81"/>
  <c r="BF46" i="81"/>
  <c r="E47" i="81"/>
  <c r="D47" i="81"/>
  <c r="C47" i="81"/>
  <c r="F47" i="81"/>
  <c r="Z47" i="81"/>
  <c r="Y47" i="81"/>
  <c r="X47" i="81"/>
  <c r="W47" i="81"/>
  <c r="AT47" i="81"/>
  <c r="AS47" i="81"/>
  <c r="AR47" i="81"/>
  <c r="AQ47" i="81"/>
  <c r="BM47" i="81"/>
  <c r="BL47" i="81"/>
  <c r="BK47" i="81"/>
  <c r="BN47" i="81"/>
  <c r="K48" i="81"/>
  <c r="J48" i="81"/>
  <c r="I48" i="81"/>
  <c r="H48" i="81"/>
  <c r="AB48" i="81"/>
  <c r="AE48" i="81"/>
  <c r="AD48" i="81"/>
  <c r="AC48" i="81"/>
  <c r="AX48" i="81"/>
  <c r="AW48" i="81"/>
  <c r="AV48" i="81"/>
  <c r="AY48" i="81"/>
  <c r="BS48" i="81"/>
  <c r="BR48" i="81"/>
  <c r="BQ48" i="81"/>
  <c r="BP48" i="81"/>
  <c r="O49" i="81"/>
  <c r="N49" i="81"/>
  <c r="M49" i="81"/>
  <c r="P49" i="81"/>
  <c r="AG49" i="81"/>
  <c r="AJ49" i="81"/>
  <c r="AI49" i="81"/>
  <c r="AH49" i="81"/>
  <c r="BC49" i="81"/>
  <c r="BB49" i="81"/>
  <c r="BA49" i="81"/>
  <c r="BD49" i="81"/>
  <c r="BX49" i="81"/>
  <c r="BW49" i="81"/>
  <c r="BV49" i="81"/>
  <c r="BU49" i="81"/>
  <c r="R50" i="81"/>
  <c r="U50" i="81"/>
  <c r="T50" i="81"/>
  <c r="S50" i="81"/>
  <c r="AN50" i="81"/>
  <c r="AL50" i="81"/>
  <c r="AO50" i="81"/>
  <c r="AM50" i="81"/>
  <c r="BI50" i="81"/>
  <c r="BH50" i="81"/>
  <c r="BG50" i="81"/>
  <c r="BF50" i="81"/>
  <c r="E51" i="81"/>
  <c r="D51" i="81"/>
  <c r="C51" i="81"/>
  <c r="F51" i="81"/>
  <c r="Z51" i="81"/>
  <c r="Y51" i="81"/>
  <c r="X51" i="81"/>
  <c r="W51" i="81"/>
  <c r="AT51" i="81"/>
  <c r="AS51" i="81"/>
  <c r="AR51" i="81"/>
  <c r="AQ51" i="81"/>
  <c r="BM51" i="81"/>
  <c r="BL51" i="81"/>
  <c r="BK51" i="81"/>
  <c r="BN51" i="81"/>
  <c r="K52" i="81"/>
  <c r="J52" i="81"/>
  <c r="I52" i="81"/>
  <c r="H52" i="81"/>
  <c r="AB52" i="81"/>
  <c r="AE52" i="81"/>
  <c r="AD52" i="81"/>
  <c r="AC52" i="81"/>
  <c r="AX52" i="81"/>
  <c r="AW52" i="81"/>
  <c r="AV52" i="81"/>
  <c r="AY52" i="81"/>
  <c r="BS52" i="81"/>
  <c r="BR52" i="81"/>
  <c r="BQ52" i="81"/>
  <c r="BP52" i="81"/>
  <c r="O53" i="81"/>
  <c r="N53" i="81"/>
  <c r="M53" i="81"/>
  <c r="P53" i="81"/>
  <c r="AG53" i="81"/>
  <c r="AJ53" i="81"/>
  <c r="AI53" i="81"/>
  <c r="AH53" i="81"/>
  <c r="BC53" i="81"/>
  <c r="BB53" i="81"/>
  <c r="BA53" i="81"/>
  <c r="BD53" i="81"/>
  <c r="BX53" i="81"/>
  <c r="BW53" i="81"/>
  <c r="BV53" i="81"/>
  <c r="BU53" i="81"/>
  <c r="R54" i="81"/>
  <c r="U54" i="81"/>
  <c r="T54" i="81"/>
  <c r="S54" i="81"/>
  <c r="AO54" i="81"/>
  <c r="AN54" i="81"/>
  <c r="AM54" i="81"/>
  <c r="AL54" i="81"/>
  <c r="BI54" i="81"/>
  <c r="BH54" i="81"/>
  <c r="BG54" i="81"/>
  <c r="BF54" i="81"/>
  <c r="E55" i="81"/>
  <c r="D55" i="81"/>
  <c r="C55" i="81"/>
  <c r="F55" i="81"/>
  <c r="Z55" i="81"/>
  <c r="Y55" i="81"/>
  <c r="X55" i="81"/>
  <c r="W55" i="81"/>
  <c r="AT55" i="81"/>
  <c r="AS55" i="81"/>
  <c r="AR55" i="81"/>
  <c r="AQ55" i="81"/>
  <c r="BM55" i="81"/>
  <c r="BL55" i="81"/>
  <c r="BK55" i="81"/>
  <c r="BN55" i="81"/>
  <c r="K56" i="81"/>
  <c r="J56" i="81"/>
  <c r="I56" i="81"/>
  <c r="H56" i="81"/>
  <c r="AB56" i="81"/>
  <c r="AE56" i="81"/>
  <c r="AD56" i="81"/>
  <c r="AC56" i="81"/>
  <c r="AX56" i="81"/>
  <c r="AW56" i="81"/>
  <c r="AV56" i="81"/>
  <c r="AY56" i="81"/>
  <c r="BS56" i="81"/>
  <c r="BR56" i="81"/>
  <c r="BQ56" i="81"/>
  <c r="BP56" i="81"/>
  <c r="O57" i="81"/>
  <c r="N57" i="81"/>
  <c r="M57" i="81"/>
  <c r="P57" i="81"/>
  <c r="AG57" i="81"/>
  <c r="AJ57" i="81"/>
  <c r="AI57" i="81"/>
  <c r="AH57" i="81"/>
  <c r="BC57" i="81"/>
  <c r="BB57" i="81"/>
  <c r="BA57" i="81"/>
  <c r="BD57" i="81"/>
  <c r="BX57" i="81"/>
  <c r="BW57" i="81"/>
  <c r="BV57" i="81"/>
  <c r="BU57" i="81"/>
  <c r="R58" i="81"/>
  <c r="U58" i="81"/>
  <c r="T58" i="81"/>
  <c r="S58" i="81"/>
  <c r="AO58" i="81"/>
  <c r="AN58" i="81"/>
  <c r="AM58" i="81"/>
  <c r="AL58" i="81"/>
  <c r="BI58" i="81"/>
  <c r="BH58" i="81"/>
  <c r="BG58" i="81"/>
  <c r="BF58" i="81"/>
  <c r="E59" i="81"/>
  <c r="D59" i="81"/>
  <c r="C59" i="81"/>
  <c r="F59" i="81"/>
  <c r="Z59" i="81"/>
  <c r="Y59" i="81"/>
  <c r="X59" i="81"/>
  <c r="W59" i="81"/>
  <c r="AT59" i="81"/>
  <c r="AS59" i="81"/>
  <c r="AR59" i="81"/>
  <c r="AQ59" i="81"/>
  <c r="BM59" i="81"/>
  <c r="BL59" i="81"/>
  <c r="BK59" i="81"/>
  <c r="BN59" i="81"/>
  <c r="K60" i="81"/>
  <c r="J60" i="81"/>
  <c r="I60" i="81"/>
  <c r="H60" i="81"/>
  <c r="AB60" i="81"/>
  <c r="AE60" i="81"/>
  <c r="AD60" i="81"/>
  <c r="AC60" i="81"/>
  <c r="AX60" i="81"/>
  <c r="AW60" i="81"/>
  <c r="AV60" i="81"/>
  <c r="AY60" i="81"/>
  <c r="BS60" i="81"/>
  <c r="BR60" i="81"/>
  <c r="BQ60" i="81"/>
  <c r="BP60" i="81"/>
  <c r="O61" i="81"/>
  <c r="N61" i="81"/>
  <c r="M61" i="81"/>
  <c r="P61" i="81"/>
  <c r="AG61" i="81"/>
  <c r="AJ61" i="81"/>
  <c r="AI61" i="81"/>
  <c r="AH61" i="81"/>
  <c r="BC61" i="81"/>
  <c r="BB61" i="81"/>
  <c r="BA61" i="81"/>
  <c r="BD61" i="81"/>
  <c r="BX61" i="81"/>
  <c r="BW61" i="81"/>
  <c r="BV61" i="81"/>
  <c r="BU61" i="81"/>
  <c r="R62" i="81"/>
  <c r="U62" i="81"/>
  <c r="T62" i="81"/>
  <c r="S62" i="81"/>
  <c r="AO62" i="81"/>
  <c r="AN62" i="81"/>
  <c r="AM62" i="81"/>
  <c r="AL62" i="81"/>
  <c r="BI62" i="81"/>
  <c r="BH62" i="81"/>
  <c r="BG62" i="81"/>
  <c r="BF62" i="81"/>
  <c r="E63" i="81"/>
  <c r="D63" i="81"/>
  <c r="C63" i="81"/>
  <c r="F63" i="81"/>
  <c r="Z63" i="81"/>
  <c r="Y63" i="81"/>
  <c r="X63" i="81"/>
  <c r="W63" i="81"/>
  <c r="AT63" i="81"/>
  <c r="AS63" i="81"/>
  <c r="AR63" i="81"/>
  <c r="AQ63" i="81"/>
  <c r="BM63" i="81"/>
  <c r="BL63" i="81"/>
  <c r="BK63" i="81"/>
  <c r="BN63" i="81"/>
  <c r="K64" i="81"/>
  <c r="J64" i="81"/>
  <c r="I64" i="81"/>
  <c r="H64" i="81"/>
  <c r="AB64" i="81"/>
  <c r="AE64" i="81"/>
  <c r="AD64" i="81"/>
  <c r="AC64" i="81"/>
  <c r="AX64" i="81"/>
  <c r="AW64" i="81"/>
  <c r="AV64" i="81"/>
  <c r="AY64" i="81"/>
  <c r="BX64" i="81"/>
  <c r="BW64" i="81"/>
  <c r="BV64" i="81"/>
  <c r="BU64" i="81"/>
  <c r="R65" i="81"/>
  <c r="U65" i="81"/>
  <c r="T65" i="81"/>
  <c r="S65" i="81"/>
  <c r="AO65" i="81"/>
  <c r="AN65" i="81"/>
  <c r="AM65" i="81"/>
  <c r="AL65" i="81"/>
  <c r="BI65" i="81"/>
  <c r="BH65" i="81"/>
  <c r="BG65" i="81"/>
  <c r="BF65" i="81"/>
  <c r="K66" i="81"/>
  <c r="J66" i="81"/>
  <c r="I66" i="81"/>
  <c r="H66" i="81"/>
  <c r="AB66" i="81"/>
  <c r="AE66" i="81"/>
  <c r="AD66" i="81"/>
  <c r="AC66" i="81"/>
  <c r="AX66" i="81"/>
  <c r="AW66" i="81"/>
  <c r="AV66" i="81"/>
  <c r="AY66" i="81"/>
  <c r="BS66" i="81"/>
  <c r="BR66" i="81"/>
  <c r="BQ66" i="81"/>
  <c r="BP66" i="81"/>
  <c r="O67" i="81"/>
  <c r="N67" i="81"/>
  <c r="M67" i="81"/>
  <c r="P67" i="81"/>
  <c r="AG67" i="81"/>
  <c r="AJ67" i="81"/>
  <c r="AI67" i="81"/>
  <c r="AH67" i="81"/>
  <c r="BB67" i="81"/>
  <c r="BA67" i="81"/>
  <c r="BD67" i="81"/>
  <c r="BC67" i="81"/>
  <c r="BX67" i="81"/>
  <c r="BW67" i="81"/>
  <c r="BV67" i="81"/>
  <c r="BU67" i="81"/>
  <c r="R68" i="81"/>
  <c r="U68" i="81"/>
  <c r="T68" i="81"/>
  <c r="S68" i="81"/>
  <c r="AO68" i="81"/>
  <c r="AN68" i="81"/>
  <c r="AM68" i="81"/>
  <c r="AL68" i="81"/>
  <c r="BI68" i="81"/>
  <c r="BH68" i="81"/>
  <c r="BG68" i="81"/>
  <c r="BF68" i="81"/>
  <c r="E69" i="81"/>
  <c r="D69" i="81"/>
  <c r="C69" i="81"/>
  <c r="F69" i="81"/>
  <c r="Z69" i="81"/>
  <c r="Y69" i="81"/>
  <c r="X69" i="81"/>
  <c r="W69" i="81"/>
  <c r="AT69" i="81"/>
  <c r="AS69" i="81"/>
  <c r="AR69" i="81"/>
  <c r="AQ69" i="81"/>
  <c r="BM69" i="81"/>
  <c r="BL69" i="81"/>
  <c r="BK69" i="81"/>
  <c r="BN69" i="81"/>
  <c r="K70" i="81"/>
  <c r="J70" i="81"/>
  <c r="I70" i="81"/>
  <c r="H70" i="81"/>
  <c r="AB70" i="81"/>
  <c r="AE70" i="81"/>
  <c r="AD70" i="81"/>
  <c r="AC70" i="81"/>
  <c r="AX70" i="81"/>
  <c r="AW70" i="81"/>
  <c r="AV70" i="81"/>
  <c r="AY70" i="81"/>
  <c r="BS70" i="81"/>
  <c r="BR70" i="81"/>
  <c r="BQ70" i="81"/>
  <c r="BP70" i="81"/>
  <c r="O71" i="81"/>
  <c r="N71" i="81"/>
  <c r="M71" i="81"/>
  <c r="P71" i="81"/>
  <c r="AG71" i="81"/>
  <c r="AJ71" i="81"/>
  <c r="AI71" i="81"/>
  <c r="AH71" i="81"/>
  <c r="BB71" i="81"/>
  <c r="BA71" i="81"/>
  <c r="BD71" i="81"/>
  <c r="BC71" i="81"/>
  <c r="BX71" i="81"/>
  <c r="BW71" i="81"/>
  <c r="BV71" i="81"/>
  <c r="BU71" i="81"/>
  <c r="R72" i="81"/>
  <c r="U72" i="81"/>
  <c r="T72" i="81"/>
  <c r="S72" i="81"/>
  <c r="AO72" i="81"/>
  <c r="AN72" i="81"/>
  <c r="AM72" i="81"/>
  <c r="AL72" i="81"/>
  <c r="BI72" i="81"/>
  <c r="BH72" i="81"/>
  <c r="BG72" i="81"/>
  <c r="BF72" i="81"/>
  <c r="E73" i="81"/>
  <c r="D73" i="81"/>
  <c r="C73" i="81"/>
  <c r="F73" i="81"/>
  <c r="Z73" i="81"/>
  <c r="Y73" i="81"/>
  <c r="X73" i="81"/>
  <c r="W73" i="81"/>
  <c r="AT73" i="81"/>
  <c r="AS73" i="81"/>
  <c r="AR73" i="81"/>
  <c r="AQ73" i="81"/>
  <c r="BM73" i="81"/>
  <c r="BL73" i="81"/>
  <c r="BK73" i="81"/>
  <c r="BN73" i="81"/>
  <c r="K74" i="81"/>
  <c r="J74" i="81"/>
  <c r="I74" i="81"/>
  <c r="H74" i="81"/>
  <c r="AB74" i="81"/>
  <c r="AE74" i="81"/>
  <c r="AD74" i="81"/>
  <c r="AC74" i="81"/>
  <c r="AX74" i="81"/>
  <c r="AW74" i="81"/>
  <c r="AV74" i="81"/>
  <c r="AY74" i="81"/>
  <c r="BS74" i="81"/>
  <c r="BR74" i="81"/>
  <c r="BQ74" i="81"/>
  <c r="BP74" i="81"/>
  <c r="O75" i="81"/>
  <c r="N75" i="81"/>
  <c r="M75" i="81"/>
  <c r="P75" i="81"/>
  <c r="AG75" i="81"/>
  <c r="AJ75" i="81"/>
  <c r="AI75" i="81"/>
  <c r="AH75" i="81"/>
  <c r="BB75" i="81"/>
  <c r="BA75" i="81"/>
  <c r="BD75" i="81"/>
  <c r="BC75" i="81"/>
  <c r="BX75" i="81"/>
  <c r="BW75" i="81"/>
  <c r="BV75" i="81"/>
  <c r="BU75" i="81"/>
  <c r="R76" i="81"/>
  <c r="U76" i="81"/>
  <c r="T76" i="81"/>
  <c r="S76" i="81"/>
  <c r="AO76" i="81"/>
  <c r="AN76" i="81"/>
  <c r="AM76" i="81"/>
  <c r="AL76" i="81"/>
  <c r="BI76" i="81"/>
  <c r="BH76" i="81"/>
  <c r="BG76" i="81"/>
  <c r="BF76" i="81"/>
  <c r="E77" i="81"/>
  <c r="D77" i="81"/>
  <c r="C77" i="81"/>
  <c r="F77" i="81"/>
  <c r="Z77" i="81"/>
  <c r="Y77" i="81"/>
  <c r="X77" i="81"/>
  <c r="W77" i="81"/>
  <c r="AT77" i="81"/>
  <c r="AS77" i="81"/>
  <c r="AR77" i="81"/>
  <c r="AQ77" i="81"/>
  <c r="BM77" i="81"/>
  <c r="BL77" i="81"/>
  <c r="BK77" i="81"/>
  <c r="BN77" i="81"/>
  <c r="K78" i="81"/>
  <c r="J78" i="81"/>
  <c r="I78" i="81"/>
  <c r="H78" i="81"/>
  <c r="AB78" i="81"/>
  <c r="AE78" i="81"/>
  <c r="AD78" i="81"/>
  <c r="AC78" i="81"/>
  <c r="AX78" i="81"/>
  <c r="AW78" i="81"/>
  <c r="AV78" i="81"/>
  <c r="AY78" i="81"/>
  <c r="BS78" i="81"/>
  <c r="BR78" i="81"/>
  <c r="BQ78" i="81"/>
  <c r="BP78" i="81"/>
  <c r="O79" i="81"/>
  <c r="N79" i="81"/>
  <c r="M79" i="81"/>
  <c r="P79" i="81"/>
  <c r="AG79" i="81"/>
  <c r="AJ79" i="81"/>
  <c r="AI79" i="81"/>
  <c r="AH79" i="81"/>
  <c r="BB79" i="81"/>
  <c r="BA79" i="81"/>
  <c r="BD79" i="81"/>
  <c r="BC79" i="81"/>
  <c r="BX79" i="81"/>
  <c r="BW79" i="81"/>
  <c r="BV79" i="81"/>
  <c r="BU79" i="81"/>
  <c r="R80" i="81"/>
  <c r="U80" i="81"/>
  <c r="T80" i="81"/>
  <c r="S80" i="81"/>
  <c r="AO80" i="81"/>
  <c r="AN80" i="81"/>
  <c r="AM80" i="81"/>
  <c r="AL80" i="81"/>
  <c r="BI80" i="81"/>
  <c r="BH80" i="81"/>
  <c r="BG80" i="81"/>
  <c r="BF80" i="81"/>
  <c r="K81" i="81"/>
  <c r="J81" i="81"/>
  <c r="I81" i="81"/>
  <c r="H81" i="81"/>
  <c r="AB81" i="81"/>
  <c r="AE81" i="81"/>
  <c r="AD81" i="81"/>
  <c r="AC81" i="81"/>
  <c r="AX81" i="81"/>
  <c r="AW81" i="81"/>
  <c r="AV81" i="81"/>
  <c r="AY81" i="81"/>
  <c r="BS81" i="81"/>
  <c r="BR81" i="81"/>
  <c r="BQ81" i="81"/>
  <c r="BP81" i="81"/>
  <c r="O82" i="81"/>
  <c r="N82" i="81"/>
  <c r="M82" i="81"/>
  <c r="P82" i="81"/>
  <c r="AG82" i="81"/>
  <c r="AJ82" i="81"/>
  <c r="AI82" i="81"/>
  <c r="AH82" i="81"/>
  <c r="BB82" i="81"/>
  <c r="BA82" i="81"/>
  <c r="BD82" i="81"/>
  <c r="BC82" i="81"/>
  <c r="BX82" i="81"/>
  <c r="BW82" i="81"/>
  <c r="BV82" i="81"/>
  <c r="BU82" i="81"/>
  <c r="R83" i="81"/>
  <c r="U83" i="81"/>
  <c r="T83" i="81"/>
  <c r="S83" i="81"/>
  <c r="AO83" i="81"/>
  <c r="AN83" i="81"/>
  <c r="AM83" i="81"/>
  <c r="AL83" i="81"/>
  <c r="BI83" i="81"/>
  <c r="BH83" i="81"/>
  <c r="BG83" i="81"/>
  <c r="BF83" i="81"/>
  <c r="E84" i="81"/>
  <c r="D84" i="81"/>
  <c r="C84" i="81"/>
  <c r="F84" i="81"/>
  <c r="Z84" i="81"/>
  <c r="Y84" i="81"/>
  <c r="X84" i="81"/>
  <c r="W84" i="81"/>
  <c r="AT84" i="81"/>
  <c r="AS84" i="81"/>
  <c r="AR84" i="81"/>
  <c r="AQ84" i="81"/>
  <c r="BM84" i="81"/>
  <c r="BL84" i="81"/>
  <c r="BK84" i="81"/>
  <c r="BN84" i="81"/>
  <c r="K85" i="81"/>
  <c r="J85" i="81"/>
  <c r="I85" i="81"/>
  <c r="H85" i="81"/>
  <c r="AB85" i="81"/>
  <c r="AE85" i="81"/>
  <c r="AD85" i="81"/>
  <c r="AC85" i="81"/>
  <c r="AX85" i="81"/>
  <c r="AW85" i="81"/>
  <c r="AV85" i="81"/>
  <c r="AY85" i="81"/>
  <c r="BS85" i="81"/>
  <c r="BR85" i="81"/>
  <c r="BQ85" i="81"/>
  <c r="BP85" i="81"/>
  <c r="O86" i="81"/>
  <c r="N86" i="81"/>
  <c r="M86" i="81"/>
  <c r="P86" i="81"/>
  <c r="AG86" i="81"/>
  <c r="AJ86" i="81"/>
  <c r="AI86" i="81"/>
  <c r="AH86" i="81"/>
  <c r="BB86" i="81"/>
  <c r="BA86" i="81"/>
  <c r="BD86" i="81"/>
  <c r="BC86" i="81"/>
  <c r="BX86" i="81"/>
  <c r="BW86" i="81"/>
  <c r="BV86" i="81"/>
  <c r="BU86" i="81"/>
  <c r="R87" i="81"/>
  <c r="U87" i="81"/>
  <c r="T87" i="81"/>
  <c r="S87" i="81"/>
  <c r="AO87" i="81"/>
  <c r="AN87" i="81"/>
  <c r="AM87" i="81"/>
  <c r="AL87" i="81"/>
  <c r="BI87" i="81"/>
  <c r="BH87" i="81"/>
  <c r="BG87" i="81"/>
  <c r="BF87" i="81"/>
  <c r="E88" i="81"/>
  <c r="D88" i="81"/>
  <c r="C88" i="81"/>
  <c r="F88" i="81"/>
  <c r="Z88" i="81"/>
  <c r="Y88" i="81"/>
  <c r="X88" i="81"/>
  <c r="W88" i="81"/>
  <c r="AX88" i="81"/>
  <c r="AW88" i="81"/>
  <c r="AV88" i="81"/>
  <c r="AY88" i="81"/>
  <c r="BS88" i="81"/>
  <c r="BR88" i="81"/>
  <c r="BQ88" i="81"/>
  <c r="BP88" i="81"/>
  <c r="O89" i="81"/>
  <c r="N89" i="81"/>
  <c r="M89" i="81"/>
  <c r="P89" i="81"/>
  <c r="AG89" i="81"/>
  <c r="AJ89" i="81"/>
  <c r="AI89" i="81"/>
  <c r="AH89" i="81"/>
  <c r="BB89" i="81"/>
  <c r="BA89" i="81"/>
  <c r="BD89" i="81"/>
  <c r="BC89" i="81"/>
  <c r="X90" i="81"/>
  <c r="W90" i="81"/>
  <c r="Z90" i="81"/>
  <c r="Y90" i="81"/>
  <c r="O22" i="81"/>
  <c r="N22" i="81"/>
  <c r="M22" i="81"/>
  <c r="P22" i="81"/>
  <c r="AH22" i="81"/>
  <c r="AG22" i="81"/>
  <c r="AJ22" i="81"/>
  <c r="AI22" i="81"/>
  <c r="BC22" i="81"/>
  <c r="BB22" i="81"/>
  <c r="BA22" i="81"/>
  <c r="BD22" i="81"/>
  <c r="BX22" i="81"/>
  <c r="BW22" i="81"/>
  <c r="BV22" i="81"/>
  <c r="BU22" i="81"/>
  <c r="T23" i="81"/>
  <c r="S23" i="81"/>
  <c r="R23" i="81"/>
  <c r="U23" i="81"/>
  <c r="AN23" i="81"/>
  <c r="AL23" i="81"/>
  <c r="AM23" i="81"/>
  <c r="AO23" i="81"/>
  <c r="BI23" i="81"/>
  <c r="BH23" i="81"/>
  <c r="BG23" i="81"/>
  <c r="BF23" i="81"/>
  <c r="E24" i="81"/>
  <c r="D24" i="81"/>
  <c r="C24" i="81"/>
  <c r="F24" i="81"/>
  <c r="AB24" i="81"/>
  <c r="AE24" i="81"/>
  <c r="AD24" i="81"/>
  <c r="AC24" i="81"/>
  <c r="AX24" i="81"/>
  <c r="AW24" i="81"/>
  <c r="AV24" i="81"/>
  <c r="AY24" i="81"/>
  <c r="BS24" i="81"/>
  <c r="BR24" i="81"/>
  <c r="BQ24" i="81"/>
  <c r="BP24" i="81"/>
  <c r="AL2" i="81"/>
  <c r="AO2" i="81"/>
  <c r="AN2" i="81"/>
  <c r="AM2" i="81"/>
  <c r="BG2" i="81"/>
  <c r="BF2" i="81"/>
  <c r="BI2" i="81"/>
  <c r="BH2" i="81"/>
  <c r="J3" i="81"/>
  <c r="I3" i="81"/>
  <c r="H3" i="81"/>
  <c r="K3" i="81"/>
  <c r="AB3" i="81"/>
  <c r="AE3" i="81"/>
  <c r="AD3" i="81"/>
  <c r="AC3" i="81"/>
  <c r="AY3" i="81"/>
  <c r="AX3" i="81"/>
  <c r="AW3" i="81"/>
  <c r="AV3" i="81"/>
  <c r="BR3" i="81"/>
  <c r="BQ3" i="81"/>
  <c r="BP3" i="81"/>
  <c r="BS3" i="81"/>
  <c r="T4" i="81"/>
  <c r="S4" i="81"/>
  <c r="R4" i="81"/>
  <c r="U4" i="81"/>
  <c r="AL4" i="81"/>
  <c r="AO4" i="81"/>
  <c r="AN4" i="81"/>
  <c r="AM4" i="81"/>
  <c r="BG4" i="81"/>
  <c r="BF4" i="81"/>
  <c r="BI4" i="81"/>
  <c r="BH4" i="81"/>
  <c r="J5" i="81"/>
  <c r="I5" i="81"/>
  <c r="H5" i="81"/>
  <c r="K5" i="81"/>
  <c r="AB5" i="81"/>
  <c r="AE5" i="81"/>
  <c r="AD5" i="81"/>
  <c r="AC5" i="81"/>
  <c r="AY5" i="81"/>
  <c r="AX5" i="81"/>
  <c r="AW5" i="81"/>
  <c r="AV5" i="81"/>
  <c r="BS5" i="81"/>
  <c r="BR5" i="81"/>
  <c r="BQ5" i="81"/>
  <c r="BP5" i="81"/>
  <c r="T25" i="81"/>
  <c r="S25" i="81"/>
  <c r="R25" i="81"/>
  <c r="U25" i="81"/>
  <c r="AN25" i="81"/>
  <c r="AL25" i="81"/>
  <c r="AM25" i="81"/>
  <c r="AO25" i="81"/>
  <c r="BI25" i="81"/>
  <c r="BH25" i="81"/>
  <c r="BG25" i="81"/>
  <c r="BF25" i="81"/>
  <c r="E26" i="81"/>
  <c r="D26" i="81"/>
  <c r="C26" i="81"/>
  <c r="F26" i="81"/>
  <c r="W26" i="81"/>
  <c r="Z26" i="81"/>
  <c r="Y26" i="81"/>
  <c r="X26" i="81"/>
  <c r="AT26" i="81"/>
  <c r="AS26" i="81"/>
  <c r="AR26" i="81"/>
  <c r="AQ26" i="81"/>
  <c r="BL26" i="81"/>
  <c r="BK26" i="81"/>
  <c r="BN26" i="81"/>
  <c r="BM26" i="81"/>
  <c r="H27" i="81"/>
  <c r="K27" i="81"/>
  <c r="J27" i="81"/>
  <c r="I27" i="81"/>
  <c r="AB27" i="81"/>
  <c r="AE27" i="81"/>
  <c r="AD27" i="81"/>
  <c r="AC27" i="81"/>
  <c r="AX27" i="81"/>
  <c r="AW27" i="81"/>
  <c r="AV27" i="81"/>
  <c r="AY27" i="81"/>
  <c r="BS27" i="81"/>
  <c r="BR27" i="81"/>
  <c r="BQ27" i="81"/>
  <c r="BP27" i="81"/>
  <c r="O28" i="81"/>
  <c r="N28" i="81"/>
  <c r="M28" i="81"/>
  <c r="P28" i="81"/>
  <c r="AH28" i="81"/>
  <c r="AG28" i="81"/>
  <c r="AJ28" i="81"/>
  <c r="AI28" i="81"/>
  <c r="BC28" i="81"/>
  <c r="BB28" i="81"/>
  <c r="BA28" i="81"/>
  <c r="BD28" i="81"/>
  <c r="BX28" i="81"/>
  <c r="BW28" i="81"/>
  <c r="BV28" i="81"/>
  <c r="BU28" i="81"/>
  <c r="T29" i="81"/>
  <c r="S29" i="81"/>
  <c r="R29" i="81"/>
  <c r="U29" i="81"/>
  <c r="AT29" i="81"/>
  <c r="AS29" i="81"/>
  <c r="AR29" i="81"/>
  <c r="AQ29" i="81"/>
  <c r="BM29" i="81"/>
  <c r="BL29" i="81"/>
  <c r="BK29" i="81"/>
  <c r="BN29" i="81"/>
  <c r="H30" i="81"/>
  <c r="K30" i="81"/>
  <c r="J30" i="81"/>
  <c r="I30" i="81"/>
  <c r="AG30" i="81"/>
  <c r="AJ30" i="81"/>
  <c r="AI30" i="81"/>
  <c r="AH30" i="81"/>
  <c r="BC30" i="81"/>
  <c r="BB30" i="81"/>
  <c r="BA30" i="81"/>
  <c r="BD30" i="81"/>
  <c r="BX30" i="81"/>
  <c r="BW30" i="81"/>
  <c r="BV30" i="81"/>
  <c r="BU30" i="81"/>
  <c r="T31" i="81"/>
  <c r="S31" i="81"/>
  <c r="R31" i="81"/>
  <c r="U31" i="81"/>
  <c r="AN31" i="81"/>
  <c r="AL31" i="81"/>
  <c r="AM31" i="81"/>
  <c r="AO31" i="81"/>
  <c r="BI31" i="81"/>
  <c r="BH31" i="81"/>
  <c r="BG31" i="81"/>
  <c r="BF31" i="81"/>
  <c r="E32" i="81"/>
  <c r="D32" i="81"/>
  <c r="C32" i="81"/>
  <c r="F32" i="81"/>
  <c r="Z32" i="81"/>
  <c r="Y32" i="81"/>
  <c r="X32" i="81"/>
  <c r="W32" i="81"/>
  <c r="AT32" i="81"/>
  <c r="AS32" i="81"/>
  <c r="AR32" i="81"/>
  <c r="AQ32" i="81"/>
  <c r="BL32" i="81"/>
  <c r="BK32" i="81"/>
  <c r="BN32" i="81"/>
  <c r="BM32" i="81"/>
  <c r="H33" i="81"/>
  <c r="K33" i="81"/>
  <c r="J33" i="81"/>
  <c r="I33" i="81"/>
  <c r="AB33" i="81"/>
  <c r="AE33" i="81"/>
  <c r="AD33" i="81"/>
  <c r="AC33" i="81"/>
  <c r="AX33" i="81"/>
  <c r="AW33" i="81"/>
  <c r="AV33" i="81"/>
  <c r="AY33" i="81"/>
  <c r="BS33" i="81"/>
  <c r="BR33" i="81"/>
  <c r="BQ33" i="81"/>
  <c r="BP33" i="81"/>
  <c r="O34" i="81"/>
  <c r="N34" i="81"/>
  <c r="M34" i="81"/>
  <c r="P34" i="81"/>
  <c r="AN34" i="81"/>
  <c r="AL34" i="81"/>
  <c r="AO34" i="81"/>
  <c r="AM34" i="81"/>
  <c r="BI34" i="81"/>
  <c r="BH34" i="81"/>
  <c r="BG34" i="81"/>
  <c r="BF34" i="81"/>
  <c r="E35" i="81"/>
  <c r="D35" i="81"/>
  <c r="C35" i="81"/>
  <c r="F35" i="81"/>
  <c r="Z35" i="81"/>
  <c r="Y35" i="81"/>
  <c r="X35" i="81"/>
  <c r="W35" i="81"/>
  <c r="AT35" i="81"/>
  <c r="AS35" i="81"/>
  <c r="AR35" i="81"/>
  <c r="AQ35" i="81"/>
  <c r="BM35" i="81"/>
  <c r="BL35" i="81"/>
  <c r="BK35" i="81"/>
  <c r="BN35" i="81"/>
  <c r="H36" i="81"/>
  <c r="K36" i="81"/>
  <c r="J36" i="81"/>
  <c r="I36" i="81"/>
  <c r="AB36" i="81"/>
  <c r="AE36" i="81"/>
  <c r="AD36" i="81"/>
  <c r="AC36" i="81"/>
  <c r="AX36" i="81"/>
  <c r="AW36" i="81"/>
  <c r="AV36" i="81"/>
  <c r="AY36" i="81"/>
  <c r="BS36" i="81"/>
  <c r="BR36" i="81"/>
  <c r="BQ36" i="81"/>
  <c r="BP36" i="81"/>
  <c r="O37" i="81"/>
  <c r="N37" i="81"/>
  <c r="M37" i="81"/>
  <c r="P37" i="81"/>
  <c r="AG37" i="81"/>
  <c r="AJ37" i="81"/>
  <c r="AI37" i="81"/>
  <c r="AH37" i="81"/>
  <c r="BC37" i="81"/>
  <c r="BB37" i="81"/>
  <c r="BA37" i="81"/>
  <c r="BD37" i="81"/>
  <c r="BX37" i="81"/>
  <c r="BW37" i="81"/>
  <c r="BV37" i="81"/>
  <c r="BU37" i="81"/>
  <c r="R38" i="81"/>
  <c r="U38" i="81"/>
  <c r="T38" i="81"/>
  <c r="S38" i="81"/>
  <c r="AN38" i="81"/>
  <c r="AL38" i="81"/>
  <c r="AO38" i="81"/>
  <c r="AM38" i="81"/>
  <c r="BI38" i="81"/>
  <c r="BH38" i="81"/>
  <c r="BG38" i="81"/>
  <c r="BF38" i="81"/>
  <c r="E39" i="81"/>
  <c r="D39" i="81"/>
  <c r="C39" i="81"/>
  <c r="F39" i="81"/>
  <c r="Z39" i="81"/>
  <c r="Y39" i="81"/>
  <c r="X39" i="81"/>
  <c r="W39" i="81"/>
  <c r="AT39" i="81"/>
  <c r="AS39" i="81"/>
  <c r="AR39" i="81"/>
  <c r="AQ39" i="81"/>
  <c r="BM39" i="81"/>
  <c r="BL39" i="81"/>
  <c r="BK39" i="81"/>
  <c r="BN39" i="81"/>
  <c r="H40" i="81"/>
  <c r="K40" i="81"/>
  <c r="J40" i="81"/>
  <c r="I40" i="81"/>
  <c r="AG40" i="81"/>
  <c r="AJ40" i="81"/>
  <c r="AI40" i="81"/>
  <c r="AH40" i="81"/>
  <c r="BC40" i="81"/>
  <c r="BB40" i="81"/>
  <c r="BA40" i="81"/>
  <c r="BD40" i="81"/>
  <c r="BX40" i="81"/>
  <c r="BW40" i="81"/>
  <c r="BV40" i="81"/>
  <c r="BU40" i="81"/>
  <c r="R41" i="81"/>
  <c r="U41" i="81"/>
  <c r="T41" i="81"/>
  <c r="S41" i="81"/>
  <c r="AN41" i="81"/>
  <c r="AL41" i="81"/>
  <c r="AM41" i="81"/>
  <c r="AO41" i="81"/>
  <c r="BI41" i="81"/>
  <c r="BH41" i="81"/>
  <c r="BG41" i="81"/>
  <c r="BF41" i="81"/>
  <c r="E42" i="81"/>
  <c r="D42" i="81"/>
  <c r="C42" i="81"/>
  <c r="F42" i="81"/>
  <c r="Z42" i="81"/>
  <c r="Y42" i="81"/>
  <c r="X42" i="81"/>
  <c r="W42" i="81"/>
  <c r="AT42" i="81"/>
  <c r="AS42" i="81"/>
  <c r="AR42" i="81"/>
  <c r="AQ42" i="81"/>
  <c r="BM42" i="81"/>
  <c r="BL42" i="81"/>
  <c r="BK42" i="81"/>
  <c r="BN42" i="81"/>
  <c r="K43" i="81"/>
  <c r="J43" i="81"/>
  <c r="I43" i="81"/>
  <c r="H43" i="81"/>
  <c r="AB43" i="81"/>
  <c r="AE43" i="81"/>
  <c r="AD43" i="81"/>
  <c r="AC43" i="81"/>
  <c r="AX43" i="81"/>
  <c r="AW43" i="81"/>
  <c r="AV43" i="81"/>
  <c r="AY43" i="81"/>
  <c r="BS43" i="81"/>
  <c r="BR43" i="81"/>
  <c r="BQ43" i="81"/>
  <c r="BP43" i="81"/>
  <c r="O44" i="81"/>
  <c r="N44" i="81"/>
  <c r="M44" i="81"/>
  <c r="P44" i="81"/>
  <c r="AG44" i="81"/>
  <c r="AJ44" i="81"/>
  <c r="AI44" i="81"/>
  <c r="AH44" i="81"/>
  <c r="BC44" i="81"/>
  <c r="BB44" i="81"/>
  <c r="BA44" i="81"/>
  <c r="BD44" i="81"/>
  <c r="BX44" i="81"/>
  <c r="BW44" i="81"/>
  <c r="BV44" i="81"/>
  <c r="BU44" i="81"/>
  <c r="R45" i="81"/>
  <c r="U45" i="81"/>
  <c r="T45" i="81"/>
  <c r="S45" i="81"/>
  <c r="AN45" i="81"/>
  <c r="AL45" i="81"/>
  <c r="AM45" i="81"/>
  <c r="AO45" i="81"/>
  <c r="BI45" i="81"/>
  <c r="BH45" i="81"/>
  <c r="BG45" i="81"/>
  <c r="BF45" i="81"/>
  <c r="E46" i="81"/>
  <c r="D46" i="81"/>
  <c r="C46" i="81"/>
  <c r="F46" i="81"/>
  <c r="Z46" i="81"/>
  <c r="Y46" i="81"/>
  <c r="X46" i="81"/>
  <c r="W46" i="81"/>
  <c r="AT46" i="81"/>
  <c r="AS46" i="81"/>
  <c r="AR46" i="81"/>
  <c r="AQ46" i="81"/>
  <c r="BM46" i="81"/>
  <c r="BL46" i="81"/>
  <c r="BK46" i="81"/>
  <c r="BN46" i="81"/>
  <c r="K47" i="81"/>
  <c r="J47" i="81"/>
  <c r="I47" i="81"/>
  <c r="H47" i="81"/>
  <c r="AB47" i="81"/>
  <c r="AE47" i="81"/>
  <c r="AD47" i="81"/>
  <c r="AC47" i="81"/>
  <c r="AX47" i="81"/>
  <c r="AW47" i="81"/>
  <c r="AV47" i="81"/>
  <c r="AY47" i="81"/>
  <c r="BS47" i="81"/>
  <c r="BR47" i="81"/>
  <c r="BQ47" i="81"/>
  <c r="BP47" i="81"/>
  <c r="O48" i="81"/>
  <c r="N48" i="81"/>
  <c r="M48" i="81"/>
  <c r="P48" i="81"/>
  <c r="AG48" i="81"/>
  <c r="AJ48" i="81"/>
  <c r="AI48" i="81"/>
  <c r="AH48" i="81"/>
  <c r="BC48" i="81"/>
  <c r="BB48" i="81"/>
  <c r="BA48" i="81"/>
  <c r="BD48" i="81"/>
  <c r="BX48" i="81"/>
  <c r="BW48" i="81"/>
  <c r="BV48" i="81"/>
  <c r="BU48" i="81"/>
  <c r="R49" i="81"/>
  <c r="U49" i="81"/>
  <c r="T49" i="81"/>
  <c r="S49" i="81"/>
  <c r="AN49" i="81"/>
  <c r="AL49" i="81"/>
  <c r="AM49" i="81"/>
  <c r="AO49" i="81"/>
  <c r="BI49" i="81"/>
  <c r="BH49" i="81"/>
  <c r="BG49" i="81"/>
  <c r="BF49" i="81"/>
  <c r="E50" i="81"/>
  <c r="D50" i="81"/>
  <c r="C50" i="81"/>
  <c r="F50" i="81"/>
  <c r="Z50" i="81"/>
  <c r="Y50" i="81"/>
  <c r="X50" i="81"/>
  <c r="W50" i="81"/>
  <c r="AT50" i="81"/>
  <c r="AS50" i="81"/>
  <c r="AR50" i="81"/>
  <c r="AQ50" i="81"/>
  <c r="BM50" i="81"/>
  <c r="BL50" i="81"/>
  <c r="BK50" i="81"/>
  <c r="BN50" i="81"/>
  <c r="K51" i="81"/>
  <c r="J51" i="81"/>
  <c r="I51" i="81"/>
  <c r="H51" i="81"/>
  <c r="AB51" i="81"/>
  <c r="AE51" i="81"/>
  <c r="AD51" i="81"/>
  <c r="AC51" i="81"/>
  <c r="AX51" i="81"/>
  <c r="AW51" i="81"/>
  <c r="AV51" i="81"/>
  <c r="AY51" i="81"/>
  <c r="BS51" i="81"/>
  <c r="BR51" i="81"/>
  <c r="BQ51" i="81"/>
  <c r="BP51" i="81"/>
  <c r="O52" i="81"/>
  <c r="N52" i="81"/>
  <c r="M52" i="81"/>
  <c r="P52" i="81"/>
  <c r="AG52" i="81"/>
  <c r="AJ52" i="81"/>
  <c r="AI52" i="81"/>
  <c r="AH52" i="81"/>
  <c r="BC52" i="81"/>
  <c r="BB52" i="81"/>
  <c r="BA52" i="81"/>
  <c r="BD52" i="81"/>
  <c r="BX52" i="81"/>
  <c r="BW52" i="81"/>
  <c r="BV52" i="81"/>
  <c r="BU52" i="81"/>
  <c r="R53" i="81"/>
  <c r="U53" i="81"/>
  <c r="T53" i="81"/>
  <c r="S53" i="81"/>
  <c r="AO53" i="81"/>
  <c r="AN53" i="81"/>
  <c r="AM53" i="81"/>
  <c r="AL53" i="81"/>
  <c r="BI53" i="81"/>
  <c r="BH53" i="81"/>
  <c r="BG53" i="81"/>
  <c r="BF53" i="81"/>
  <c r="E54" i="81"/>
  <c r="D54" i="81"/>
  <c r="C54" i="81"/>
  <c r="F54" i="81"/>
  <c r="Z54" i="81"/>
  <c r="Y54" i="81"/>
  <c r="X54" i="81"/>
  <c r="W54" i="81"/>
  <c r="AT54" i="81"/>
  <c r="AS54" i="81"/>
  <c r="AR54" i="81"/>
  <c r="AQ54" i="81"/>
  <c r="BM54" i="81"/>
  <c r="BL54" i="81"/>
  <c r="BK54" i="81"/>
  <c r="BN54" i="81"/>
  <c r="K55" i="81"/>
  <c r="J55" i="81"/>
  <c r="I55" i="81"/>
  <c r="H55" i="81"/>
  <c r="AB55" i="81"/>
  <c r="AE55" i="81"/>
  <c r="AD55" i="81"/>
  <c r="AC55" i="81"/>
  <c r="AX55" i="81"/>
  <c r="AW55" i="81"/>
  <c r="AV55" i="81"/>
  <c r="AY55" i="81"/>
  <c r="BS55" i="81"/>
  <c r="BR55" i="81"/>
  <c r="BQ55" i="81"/>
  <c r="BP55" i="81"/>
  <c r="O56" i="81"/>
  <c r="N56" i="81"/>
  <c r="M56" i="81"/>
  <c r="P56" i="81"/>
  <c r="AG56" i="81"/>
  <c r="AJ56" i="81"/>
  <c r="AI56" i="81"/>
  <c r="AH56" i="81"/>
  <c r="BC56" i="81"/>
  <c r="BB56" i="81"/>
  <c r="BA56" i="81"/>
  <c r="BD56" i="81"/>
  <c r="BX56" i="81"/>
  <c r="BW56" i="81"/>
  <c r="BV56" i="81"/>
  <c r="BU56" i="81"/>
  <c r="R57" i="81"/>
  <c r="U57" i="81"/>
  <c r="T57" i="81"/>
  <c r="S57" i="81"/>
  <c r="AO57" i="81"/>
  <c r="AN57" i="81"/>
  <c r="AM57" i="81"/>
  <c r="AL57" i="81"/>
  <c r="BI57" i="81"/>
  <c r="BH57" i="81"/>
  <c r="BG57" i="81"/>
  <c r="BF57" i="81"/>
  <c r="E58" i="81"/>
  <c r="D58" i="81"/>
  <c r="C58" i="81"/>
  <c r="F58" i="81"/>
  <c r="Z58" i="81"/>
  <c r="Y58" i="81"/>
  <c r="X58" i="81"/>
  <c r="W58" i="81"/>
  <c r="AT58" i="81"/>
  <c r="AS58" i="81"/>
  <c r="AR58" i="81"/>
  <c r="AQ58" i="81"/>
  <c r="BM58" i="81"/>
  <c r="BL58" i="81"/>
  <c r="BK58" i="81"/>
  <c r="BN58" i="81"/>
  <c r="K59" i="81"/>
  <c r="J59" i="81"/>
  <c r="I59" i="81"/>
  <c r="H59" i="81"/>
  <c r="AB59" i="81"/>
  <c r="AE59" i="81"/>
  <c r="AD59" i="81"/>
  <c r="AC59" i="81"/>
  <c r="AX59" i="81"/>
  <c r="AW59" i="81"/>
  <c r="AV59" i="81"/>
  <c r="AY59" i="81"/>
  <c r="BS59" i="81"/>
  <c r="BR59" i="81"/>
  <c r="BQ59" i="81"/>
  <c r="BP59" i="81"/>
  <c r="O60" i="81"/>
  <c r="N60" i="81"/>
  <c r="M60" i="81"/>
  <c r="P60" i="81"/>
  <c r="AG60" i="81"/>
  <c r="AJ60" i="81"/>
  <c r="AI60" i="81"/>
  <c r="AH60" i="81"/>
  <c r="BC60" i="81"/>
  <c r="BB60" i="81"/>
  <c r="BA60" i="81"/>
  <c r="BD60" i="81"/>
  <c r="BX60" i="81"/>
  <c r="BW60" i="81"/>
  <c r="BV60" i="81"/>
  <c r="BU60" i="81"/>
  <c r="R61" i="81"/>
  <c r="U61" i="81"/>
  <c r="T61" i="81"/>
  <c r="S61" i="81"/>
  <c r="AO61" i="81"/>
  <c r="AN61" i="81"/>
  <c r="AM61" i="81"/>
  <c r="AL61" i="81"/>
  <c r="BI61" i="81"/>
  <c r="BH61" i="81"/>
  <c r="BG61" i="81"/>
  <c r="BF61" i="81"/>
  <c r="E62" i="81"/>
  <c r="D62" i="81"/>
  <c r="C62" i="81"/>
  <c r="F62" i="81"/>
  <c r="Z62" i="81"/>
  <c r="Y62" i="81"/>
  <c r="X62" i="81"/>
  <c r="W62" i="81"/>
  <c r="AT62" i="81"/>
  <c r="AS62" i="81"/>
  <c r="AR62" i="81"/>
  <c r="AQ62" i="81"/>
  <c r="BM62" i="81"/>
  <c r="BL62" i="81"/>
  <c r="BK62" i="81"/>
  <c r="BN62" i="81"/>
  <c r="K63" i="81"/>
  <c r="J63" i="81"/>
  <c r="I63" i="81"/>
  <c r="H63" i="81"/>
  <c r="AB63" i="81"/>
  <c r="AE63" i="81"/>
  <c r="AD63" i="81"/>
  <c r="AC63" i="81"/>
  <c r="AX63" i="81"/>
  <c r="AW63" i="81"/>
  <c r="AV63" i="81"/>
  <c r="AY63" i="81"/>
  <c r="BS63" i="81"/>
  <c r="BR63" i="81"/>
  <c r="BQ63" i="81"/>
  <c r="BP63" i="81"/>
  <c r="O64" i="81"/>
  <c r="N64" i="81"/>
  <c r="M64" i="81"/>
  <c r="P64" i="81"/>
  <c r="AG64" i="81"/>
  <c r="AJ64" i="81"/>
  <c r="AI64" i="81"/>
  <c r="AH64" i="81"/>
  <c r="BB64" i="81"/>
  <c r="BA64" i="81"/>
  <c r="BD64" i="81"/>
  <c r="BC64" i="81"/>
  <c r="E65" i="81"/>
  <c r="D65" i="81"/>
  <c r="C65" i="81"/>
  <c r="F65" i="81"/>
  <c r="Z65" i="81"/>
  <c r="Y65" i="81"/>
  <c r="X65" i="81"/>
  <c r="W65" i="81"/>
  <c r="AT65" i="81"/>
  <c r="AS65" i="81"/>
  <c r="AR65" i="81"/>
  <c r="AQ65" i="81"/>
  <c r="BM65" i="81"/>
  <c r="BL65" i="81"/>
  <c r="BK65" i="81"/>
  <c r="BN65" i="81"/>
  <c r="O66" i="81"/>
  <c r="N66" i="81"/>
  <c r="M66" i="81"/>
  <c r="P66" i="81"/>
  <c r="AG66" i="81"/>
  <c r="AJ66" i="81"/>
  <c r="AI66" i="81"/>
  <c r="AH66" i="81"/>
  <c r="BB66" i="81"/>
  <c r="BA66" i="81"/>
  <c r="BD66" i="81"/>
  <c r="BC66" i="81"/>
  <c r="BX66" i="81"/>
  <c r="BW66" i="81"/>
  <c r="BV66" i="81"/>
  <c r="BU66" i="81"/>
  <c r="R67" i="81"/>
  <c r="U67" i="81"/>
  <c r="T67" i="81"/>
  <c r="S67" i="81"/>
  <c r="AO67" i="81"/>
  <c r="AN67" i="81"/>
  <c r="AM67" i="81"/>
  <c r="AL67" i="81"/>
  <c r="BI67" i="81"/>
  <c r="BH67" i="81"/>
  <c r="BG67" i="81"/>
  <c r="BF67" i="81"/>
  <c r="E68" i="81"/>
  <c r="D68" i="81"/>
  <c r="C68" i="81"/>
  <c r="F68" i="81"/>
  <c r="Z68" i="81"/>
  <c r="Y68" i="81"/>
  <c r="X68" i="81"/>
  <c r="W68" i="81"/>
  <c r="AT68" i="81"/>
  <c r="AS68" i="81"/>
  <c r="AR68" i="81"/>
  <c r="AQ68" i="81"/>
  <c r="BM68" i="81"/>
  <c r="BL68" i="81"/>
  <c r="BK68" i="81"/>
  <c r="BN68" i="81"/>
  <c r="K69" i="81"/>
  <c r="J69" i="81"/>
  <c r="I69" i="81"/>
  <c r="H69" i="81"/>
  <c r="AB69" i="81"/>
  <c r="AE69" i="81"/>
  <c r="AD69" i="81"/>
  <c r="AC69" i="81"/>
  <c r="AX69" i="81"/>
  <c r="AW69" i="81"/>
  <c r="AV69" i="81"/>
  <c r="AY69" i="81"/>
  <c r="BS69" i="81"/>
  <c r="BR69" i="81"/>
  <c r="BQ69" i="81"/>
  <c r="BP69" i="81"/>
  <c r="O70" i="81"/>
  <c r="N70" i="81"/>
  <c r="M70" i="81"/>
  <c r="P70" i="81"/>
  <c r="AG70" i="81"/>
  <c r="AJ70" i="81"/>
  <c r="AI70" i="81"/>
  <c r="AH70" i="81"/>
  <c r="BB70" i="81"/>
  <c r="BA70" i="81"/>
  <c r="BD70" i="81"/>
  <c r="BC70" i="81"/>
  <c r="BX70" i="81"/>
  <c r="BW70" i="81"/>
  <c r="BV70" i="81"/>
  <c r="BU70" i="81"/>
  <c r="R71" i="81"/>
  <c r="U71" i="81"/>
  <c r="T71" i="81"/>
  <c r="S71" i="81"/>
  <c r="AO71" i="81"/>
  <c r="AN71" i="81"/>
  <c r="AM71" i="81"/>
  <c r="AL71" i="81"/>
  <c r="BI71" i="81"/>
  <c r="BH71" i="81"/>
  <c r="BG71" i="81"/>
  <c r="BF71" i="81"/>
  <c r="E72" i="81"/>
  <c r="D72" i="81"/>
  <c r="C72" i="81"/>
  <c r="F72" i="81"/>
  <c r="Z72" i="81"/>
  <c r="Y72" i="81"/>
  <c r="X72" i="81"/>
  <c r="W72" i="81"/>
  <c r="AT72" i="81"/>
  <c r="AS72" i="81"/>
  <c r="AR72" i="81"/>
  <c r="AQ72" i="81"/>
  <c r="BM72" i="81"/>
  <c r="BL72" i="81"/>
  <c r="BK72" i="81"/>
  <c r="BN72" i="81"/>
  <c r="K73" i="81"/>
  <c r="J73" i="81"/>
  <c r="I73" i="81"/>
  <c r="H73" i="81"/>
  <c r="AB73" i="81"/>
  <c r="AE73" i="81"/>
  <c r="AD73" i="81"/>
  <c r="AC73" i="81"/>
  <c r="AX73" i="81"/>
  <c r="AW73" i="81"/>
  <c r="AV73" i="81"/>
  <c r="AY73" i="81"/>
  <c r="BS73" i="81"/>
  <c r="BR73" i="81"/>
  <c r="BQ73" i="81"/>
  <c r="BP73" i="81"/>
  <c r="O74" i="81"/>
  <c r="N74" i="81"/>
  <c r="M74" i="81"/>
  <c r="P74" i="81"/>
  <c r="AG74" i="81"/>
  <c r="AJ74" i="81"/>
  <c r="AI74" i="81"/>
  <c r="AH74" i="81"/>
  <c r="BB74" i="81"/>
  <c r="BA74" i="81"/>
  <c r="BD74" i="81"/>
  <c r="BC74" i="81"/>
  <c r="BX74" i="81"/>
  <c r="BW74" i="81"/>
  <c r="BV74" i="81"/>
  <c r="BU74" i="81"/>
  <c r="R75" i="81"/>
  <c r="U75" i="81"/>
  <c r="T75" i="81"/>
  <c r="S75" i="81"/>
  <c r="AO75" i="81"/>
  <c r="AN75" i="81"/>
  <c r="AM75" i="81"/>
  <c r="AL75" i="81"/>
  <c r="BI75" i="81"/>
  <c r="BH75" i="81"/>
  <c r="BG75" i="81"/>
  <c r="BF75" i="81"/>
  <c r="E76" i="81"/>
  <c r="D76" i="81"/>
  <c r="C76" i="81"/>
  <c r="F76" i="81"/>
  <c r="Z76" i="81"/>
  <c r="Y76" i="81"/>
  <c r="X76" i="81"/>
  <c r="W76" i="81"/>
  <c r="AT76" i="81"/>
  <c r="AS76" i="81"/>
  <c r="AR76" i="81"/>
  <c r="AQ76" i="81"/>
  <c r="BM76" i="81"/>
  <c r="BL76" i="81"/>
  <c r="BK76" i="81"/>
  <c r="BN76" i="81"/>
  <c r="K77" i="81"/>
  <c r="J77" i="81"/>
  <c r="I77" i="81"/>
  <c r="H77" i="81"/>
  <c r="AB77" i="81"/>
  <c r="AE77" i="81"/>
  <c r="AD77" i="81"/>
  <c r="AC77" i="81"/>
  <c r="AX77" i="81"/>
  <c r="AW77" i="81"/>
  <c r="AV77" i="81"/>
  <c r="AY77" i="81"/>
  <c r="BS77" i="81"/>
  <c r="BR77" i="81"/>
  <c r="BQ77" i="81"/>
  <c r="BP77" i="81"/>
  <c r="O78" i="81"/>
  <c r="N78" i="81"/>
  <c r="M78" i="81"/>
  <c r="P78" i="81"/>
  <c r="AG78" i="81"/>
  <c r="AJ78" i="81"/>
  <c r="AI78" i="81"/>
  <c r="AH78" i="81"/>
  <c r="BB78" i="81"/>
  <c r="BA78" i="81"/>
  <c r="BD78" i="81"/>
  <c r="BC78" i="81"/>
  <c r="BX78" i="81"/>
  <c r="BW78" i="81"/>
  <c r="BV78" i="81"/>
  <c r="BU78" i="81"/>
  <c r="R79" i="81"/>
  <c r="U79" i="81"/>
  <c r="T79" i="81"/>
  <c r="S79" i="81"/>
  <c r="AO79" i="81"/>
  <c r="AN79" i="81"/>
  <c r="AM79" i="81"/>
  <c r="AL79" i="81"/>
  <c r="BI79" i="81"/>
  <c r="BH79" i="81"/>
  <c r="BG79" i="81"/>
  <c r="BF79" i="81"/>
  <c r="E80" i="81"/>
  <c r="D80" i="81"/>
  <c r="C80" i="81"/>
  <c r="F80" i="81"/>
  <c r="Z80" i="81"/>
  <c r="Y80" i="81"/>
  <c r="X80" i="81"/>
  <c r="W80" i="81"/>
  <c r="AT80" i="81"/>
  <c r="AS80" i="81"/>
  <c r="AR80" i="81"/>
  <c r="AQ80" i="81"/>
  <c r="BS80" i="81"/>
  <c r="BR80" i="81"/>
  <c r="BQ80" i="81"/>
  <c r="BP80" i="81"/>
  <c r="O81" i="81"/>
  <c r="N81" i="81"/>
  <c r="M81" i="81"/>
  <c r="P81" i="81"/>
  <c r="AG81" i="81"/>
  <c r="AJ81" i="81"/>
  <c r="AI81" i="81"/>
  <c r="AH81" i="81"/>
  <c r="BB81" i="81"/>
  <c r="BA81" i="81"/>
  <c r="BD81" i="81"/>
  <c r="BC81" i="81"/>
  <c r="BX81" i="81"/>
  <c r="BW81" i="81"/>
  <c r="BV81" i="81"/>
  <c r="BU81" i="81"/>
  <c r="R82" i="81"/>
  <c r="U82" i="81"/>
  <c r="T82" i="81"/>
  <c r="S82" i="81"/>
  <c r="AO82" i="81"/>
  <c r="AN82" i="81"/>
  <c r="AM82" i="81"/>
  <c r="AL82" i="81"/>
  <c r="BI82" i="81"/>
  <c r="BH82" i="81"/>
  <c r="BG82" i="81"/>
  <c r="BF82" i="81"/>
  <c r="E83" i="81"/>
  <c r="D83" i="81"/>
  <c r="C83" i="81"/>
  <c r="F83" i="81"/>
  <c r="Z83" i="81"/>
  <c r="Y83" i="81"/>
  <c r="X83" i="81"/>
  <c r="W83" i="81"/>
  <c r="AT83" i="81"/>
  <c r="AS83" i="81"/>
  <c r="AR83" i="81"/>
  <c r="AQ83" i="81"/>
  <c r="BM83" i="81"/>
  <c r="BL83" i="81"/>
  <c r="BK83" i="81"/>
  <c r="BN83" i="81"/>
  <c r="K84" i="81"/>
  <c r="J84" i="81"/>
  <c r="I84" i="81"/>
  <c r="H84" i="81"/>
  <c r="AB84" i="81"/>
  <c r="AE84" i="81"/>
  <c r="AD84" i="81"/>
  <c r="AC84" i="81"/>
  <c r="AX84" i="81"/>
  <c r="AW84" i="81"/>
  <c r="AV84" i="81"/>
  <c r="AY84" i="81"/>
  <c r="BS84" i="81"/>
  <c r="BR84" i="81"/>
  <c r="BQ84" i="81"/>
  <c r="BP84" i="81"/>
  <c r="O85" i="81"/>
  <c r="N85" i="81"/>
  <c r="M85" i="81"/>
  <c r="P85" i="81"/>
  <c r="AG85" i="81"/>
  <c r="AJ85" i="81"/>
  <c r="AI85" i="81"/>
  <c r="AH85" i="81"/>
  <c r="BB85" i="81"/>
  <c r="BA85" i="81"/>
  <c r="BD85" i="81"/>
  <c r="BC85" i="81"/>
  <c r="BX85" i="81"/>
  <c r="BW85" i="81"/>
  <c r="BV85" i="81"/>
  <c r="BU85" i="81"/>
  <c r="R86" i="81"/>
  <c r="U86" i="81"/>
  <c r="T86" i="81"/>
  <c r="S86" i="81"/>
  <c r="AO86" i="81"/>
  <c r="AN86" i="81"/>
  <c r="AM86" i="81"/>
  <c r="AL86" i="81"/>
  <c r="BI86" i="81"/>
  <c r="BH86" i="81"/>
  <c r="BG86" i="81"/>
  <c r="BF86" i="81"/>
  <c r="E87" i="81"/>
  <c r="D87" i="81"/>
  <c r="C87" i="81"/>
  <c r="F87" i="81"/>
  <c r="Z87" i="81"/>
  <c r="Y87" i="81"/>
  <c r="X87" i="81"/>
  <c r="W87" i="81"/>
  <c r="AT87" i="81"/>
  <c r="AS87" i="81"/>
  <c r="AR87" i="81"/>
  <c r="AQ87" i="81"/>
  <c r="BM87" i="81"/>
  <c r="BL87" i="81"/>
  <c r="BK87" i="81"/>
  <c r="BN87" i="81"/>
  <c r="K88" i="81"/>
  <c r="J88" i="81"/>
  <c r="I88" i="81"/>
  <c r="H88" i="81"/>
  <c r="AE88" i="81"/>
  <c r="AD88" i="81"/>
  <c r="AC88" i="81"/>
  <c r="AB88" i="81"/>
  <c r="BB88" i="81"/>
  <c r="BA88" i="81"/>
  <c r="BD88" i="81"/>
  <c r="BC88" i="81"/>
  <c r="BX88" i="81"/>
  <c r="BW88" i="81"/>
  <c r="BV88" i="81"/>
  <c r="BU88" i="81"/>
  <c r="R89" i="81"/>
  <c r="U89" i="81"/>
  <c r="T89" i="81"/>
  <c r="S89" i="81"/>
  <c r="AO89" i="81"/>
  <c r="AN89" i="81"/>
  <c r="AM89" i="81"/>
  <c r="AL89" i="81"/>
  <c r="BI89" i="81"/>
  <c r="BH89" i="81"/>
  <c r="BG89" i="81"/>
  <c r="BF89" i="81"/>
  <c r="K90" i="81"/>
  <c r="J90" i="81"/>
  <c r="I90" i="81"/>
  <c r="H90" i="81"/>
  <c r="AE90" i="81"/>
  <c r="AD90" i="81"/>
  <c r="AC90" i="81"/>
  <c r="AB90" i="81"/>
  <c r="T22" i="81"/>
  <c r="S22" i="81"/>
  <c r="R22" i="81"/>
  <c r="U22" i="81"/>
  <c r="AL22" i="81"/>
  <c r="AO22" i="81"/>
  <c r="AN22" i="81"/>
  <c r="AM22" i="81"/>
  <c r="BI22" i="81"/>
  <c r="BH22" i="81"/>
  <c r="BG22" i="81"/>
  <c r="BF22" i="81"/>
  <c r="E23" i="81"/>
  <c r="D23" i="81"/>
  <c r="C23" i="81"/>
  <c r="F23" i="81"/>
  <c r="W23" i="81"/>
  <c r="Z23" i="81"/>
  <c r="Y23" i="81"/>
  <c r="X23" i="81"/>
  <c r="AT23" i="81"/>
  <c r="AS23" i="81"/>
  <c r="AR23" i="81"/>
  <c r="AQ23" i="81"/>
  <c r="BL23" i="81"/>
  <c r="BK23" i="81"/>
  <c r="BN23" i="81"/>
  <c r="BM23" i="81"/>
  <c r="O24" i="81"/>
  <c r="N24" i="81"/>
  <c r="M24" i="81"/>
  <c r="P24" i="81"/>
  <c r="AH24" i="81"/>
  <c r="AG24" i="81"/>
  <c r="AJ24" i="81"/>
  <c r="AI24" i="81"/>
  <c r="BC24" i="81"/>
  <c r="BB24" i="81"/>
  <c r="BA24" i="81"/>
  <c r="BD24" i="81"/>
  <c r="BX24" i="81"/>
  <c r="BW24" i="81"/>
  <c r="BV24" i="81"/>
  <c r="BU24" i="81"/>
  <c r="W2" i="81"/>
  <c r="Z2" i="81"/>
  <c r="Y2" i="81"/>
  <c r="X2" i="81"/>
  <c r="AT2" i="81"/>
  <c r="AS2" i="81"/>
  <c r="AR2" i="81"/>
  <c r="AQ2" i="81"/>
  <c r="BN2" i="81"/>
  <c r="BM2" i="81"/>
  <c r="BL2" i="81"/>
  <c r="BK2" i="81"/>
  <c r="O3" i="81"/>
  <c r="N3" i="81"/>
  <c r="M3" i="81"/>
  <c r="P3" i="81"/>
  <c r="AJ3" i="81"/>
  <c r="AI3" i="81"/>
  <c r="AH3" i="81"/>
  <c r="AG3" i="81"/>
  <c r="BC3" i="81"/>
  <c r="BB3" i="81"/>
  <c r="BA3" i="81"/>
  <c r="BD3" i="81"/>
  <c r="BV3" i="81"/>
  <c r="BX3" i="81"/>
  <c r="BW3" i="81"/>
  <c r="BU3" i="81"/>
  <c r="W4" i="81"/>
  <c r="Z4" i="81"/>
  <c r="Y4" i="81"/>
  <c r="X4" i="81"/>
  <c r="AT4" i="81"/>
  <c r="AS4" i="81"/>
  <c r="AR4" i="81"/>
  <c r="AQ4" i="81"/>
  <c r="BL4" i="81"/>
  <c r="BK4" i="81"/>
  <c r="BN4" i="81"/>
  <c r="BM4" i="81"/>
  <c r="O5" i="81"/>
  <c r="N5" i="81"/>
  <c r="M5" i="81"/>
  <c r="P5" i="81"/>
  <c r="AG5" i="81"/>
  <c r="AJ5" i="81"/>
  <c r="AH5" i="81"/>
  <c r="AI5" i="81"/>
  <c r="BC5" i="81"/>
  <c r="BB5" i="81"/>
  <c r="BA5" i="81"/>
  <c r="BD5" i="81"/>
  <c r="BV5" i="81"/>
  <c r="BX5" i="81"/>
  <c r="BW5" i="81"/>
  <c r="BU5" i="81"/>
  <c r="W25" i="81"/>
  <c r="Z25" i="81"/>
  <c r="Y25" i="81"/>
  <c r="X25" i="81"/>
  <c r="AT25" i="81"/>
  <c r="AS25" i="81"/>
  <c r="AR25" i="81"/>
  <c r="AQ25" i="81"/>
  <c r="BM25" i="81"/>
  <c r="BL25" i="81"/>
  <c r="BK25" i="81"/>
  <c r="BN25" i="81"/>
  <c r="H26" i="81"/>
  <c r="K26" i="81"/>
  <c r="J26" i="81"/>
  <c r="I26" i="81"/>
  <c r="AB26" i="81"/>
  <c r="AE26" i="81"/>
  <c r="AD26" i="81"/>
  <c r="AC26" i="81"/>
  <c r="AX26" i="81"/>
  <c r="AW26" i="81"/>
  <c r="AV26" i="81"/>
  <c r="AY26" i="81"/>
  <c r="BS26" i="81"/>
  <c r="BR26" i="81"/>
  <c r="BQ26" i="81"/>
  <c r="BP26" i="81"/>
  <c r="O27" i="81"/>
  <c r="N27" i="81"/>
  <c r="M27" i="81"/>
  <c r="P27" i="81"/>
  <c r="AH27" i="81"/>
  <c r="AG27" i="81"/>
  <c r="AJ27" i="81"/>
  <c r="AI27" i="81"/>
  <c r="BC27" i="81"/>
  <c r="BB27" i="81"/>
  <c r="BA27" i="81"/>
  <c r="BD27" i="81"/>
  <c r="BX27" i="81"/>
  <c r="BW27" i="81"/>
  <c r="BV27" i="81"/>
  <c r="BU27" i="81"/>
  <c r="T28" i="81"/>
  <c r="S28" i="81"/>
  <c r="R28" i="81"/>
  <c r="U28" i="81"/>
  <c r="AN28" i="81"/>
  <c r="AL28" i="81"/>
  <c r="AO28" i="81"/>
  <c r="AM28" i="81"/>
  <c r="BI28" i="81"/>
  <c r="BH28" i="81"/>
  <c r="BG28" i="81"/>
  <c r="BF28" i="81"/>
  <c r="E29" i="81"/>
  <c r="D29" i="81"/>
  <c r="C29" i="81"/>
  <c r="F29" i="81"/>
  <c r="W29" i="81"/>
  <c r="Z29" i="81"/>
  <c r="Y29" i="81"/>
  <c r="X29" i="81"/>
  <c r="AX29" i="81"/>
  <c r="AW29" i="81"/>
  <c r="AV29" i="81"/>
  <c r="AY29" i="81"/>
  <c r="BS29" i="81"/>
  <c r="BR29" i="81"/>
  <c r="BQ29" i="81"/>
  <c r="BP29" i="81"/>
  <c r="O30" i="81"/>
  <c r="N30" i="81"/>
  <c r="M30" i="81"/>
  <c r="P30" i="81"/>
  <c r="AN30" i="81"/>
  <c r="AL30" i="81"/>
  <c r="AO30" i="81"/>
  <c r="AM30" i="81"/>
  <c r="BI30" i="81"/>
  <c r="BH30" i="81"/>
  <c r="BG30" i="81"/>
  <c r="BF30" i="81"/>
  <c r="E31" i="81"/>
  <c r="D31" i="81"/>
  <c r="C31" i="81"/>
  <c r="F31" i="81"/>
  <c r="Z31" i="81"/>
  <c r="Y31" i="81"/>
  <c r="X31" i="81"/>
  <c r="W31" i="81"/>
  <c r="AT31" i="81"/>
  <c r="AS31" i="81"/>
  <c r="AR31" i="81"/>
  <c r="AQ31" i="81"/>
  <c r="BM31" i="81"/>
  <c r="BL31" i="81"/>
  <c r="BK31" i="81"/>
  <c r="BN31" i="81"/>
  <c r="H32" i="81"/>
  <c r="K32" i="81"/>
  <c r="J32" i="81"/>
  <c r="I32" i="81"/>
  <c r="AB32" i="81"/>
  <c r="AE32" i="81"/>
  <c r="AD32" i="81"/>
  <c r="AC32" i="81"/>
  <c r="AX32" i="81"/>
  <c r="AW32" i="81"/>
  <c r="AV32" i="81"/>
  <c r="AY32" i="81"/>
  <c r="BS32" i="81"/>
  <c r="BR32" i="81"/>
  <c r="BQ32" i="81"/>
  <c r="BP32" i="81"/>
  <c r="O33" i="81"/>
  <c r="N33" i="81"/>
  <c r="M33" i="81"/>
  <c r="P33" i="81"/>
  <c r="AG33" i="81"/>
  <c r="AJ33" i="81"/>
  <c r="AI33" i="81"/>
  <c r="AH33" i="81"/>
  <c r="BC33" i="81"/>
  <c r="BB33" i="81"/>
  <c r="BA33" i="81"/>
  <c r="BD33" i="81"/>
  <c r="BX33" i="81"/>
  <c r="BW33" i="81"/>
  <c r="BV33" i="81"/>
  <c r="BU33" i="81"/>
  <c r="T34" i="81"/>
  <c r="S34" i="81"/>
  <c r="R34" i="81"/>
  <c r="U34" i="81"/>
  <c r="AT34" i="81"/>
  <c r="AS34" i="81"/>
  <c r="AR34" i="81"/>
  <c r="AQ34" i="81"/>
  <c r="BM34" i="81"/>
  <c r="BL34" i="81"/>
  <c r="BK34" i="81"/>
  <c r="BN34" i="81"/>
  <c r="H35" i="81"/>
  <c r="K35" i="81"/>
  <c r="J35" i="81"/>
  <c r="I35" i="81"/>
  <c r="AB35" i="81"/>
  <c r="AE35" i="81"/>
  <c r="AD35" i="81"/>
  <c r="AC35" i="81"/>
  <c r="AX35" i="81"/>
  <c r="AW35" i="81"/>
  <c r="AV35" i="81"/>
  <c r="AY35" i="81"/>
  <c r="BS35" i="81"/>
  <c r="BR35" i="81"/>
  <c r="BQ35" i="81"/>
  <c r="BP35" i="81"/>
  <c r="O36" i="81"/>
  <c r="N36" i="81"/>
  <c r="M36" i="81"/>
  <c r="P36" i="81"/>
  <c r="AG36" i="81"/>
  <c r="AJ36" i="81"/>
  <c r="AI36" i="81"/>
  <c r="AH36" i="81"/>
  <c r="BC36" i="81"/>
  <c r="BB36" i="81"/>
  <c r="BA36" i="81"/>
  <c r="BD36" i="81"/>
  <c r="BX36" i="81"/>
  <c r="BW36" i="81"/>
  <c r="BV36" i="81"/>
  <c r="BU36" i="81"/>
  <c r="R37" i="81"/>
  <c r="U37" i="81"/>
  <c r="T37" i="81"/>
  <c r="S37" i="81"/>
  <c r="AN37" i="81"/>
  <c r="AL37" i="81"/>
  <c r="AM37" i="81"/>
  <c r="AO37" i="81"/>
  <c r="BI37" i="81"/>
  <c r="BH37" i="81"/>
  <c r="BG37" i="81"/>
  <c r="BF37" i="81"/>
  <c r="E38" i="81"/>
  <c r="D38" i="81"/>
  <c r="C38" i="81"/>
  <c r="F38" i="81"/>
  <c r="Z38" i="81"/>
  <c r="Y38" i="81"/>
  <c r="X38" i="81"/>
  <c r="W38" i="81"/>
  <c r="AT38" i="81"/>
  <c r="AS38" i="81"/>
  <c r="AR38" i="81"/>
  <c r="AQ38" i="81"/>
  <c r="BM38" i="81"/>
  <c r="BL38" i="81"/>
  <c r="BK38" i="81"/>
  <c r="BN38" i="81"/>
  <c r="H39" i="81"/>
  <c r="K39" i="81"/>
  <c r="J39" i="81"/>
  <c r="I39" i="81"/>
  <c r="AB39" i="81"/>
  <c r="AE39" i="81"/>
  <c r="AD39" i="81"/>
  <c r="AC39" i="81"/>
  <c r="AX39" i="81"/>
  <c r="AW39" i="81"/>
  <c r="AV39" i="81"/>
  <c r="AY39" i="81"/>
  <c r="BS39" i="81"/>
  <c r="BR39" i="81"/>
  <c r="BQ39" i="81"/>
  <c r="BP39" i="81"/>
  <c r="R40" i="81"/>
  <c r="U40" i="81"/>
  <c r="T40" i="81"/>
  <c r="S40" i="81"/>
  <c r="AN40" i="81"/>
  <c r="AL40" i="81"/>
  <c r="AO40" i="81"/>
  <c r="AM40" i="81"/>
  <c r="BI40" i="81"/>
  <c r="BH40" i="81"/>
  <c r="BG40" i="81"/>
  <c r="BF40" i="81"/>
  <c r="E41" i="81"/>
  <c r="D41" i="81"/>
  <c r="C41" i="81"/>
  <c r="F41" i="81"/>
  <c r="Z41" i="81"/>
  <c r="Y41" i="81"/>
  <c r="X41" i="81"/>
  <c r="W41" i="81"/>
  <c r="AT41" i="81"/>
  <c r="AS41" i="81"/>
  <c r="AR41" i="81"/>
  <c r="AQ41" i="81"/>
  <c r="BM41" i="81"/>
  <c r="BL41" i="81"/>
  <c r="BK41" i="81"/>
  <c r="BN41" i="81"/>
  <c r="K42" i="81"/>
  <c r="J42" i="81"/>
  <c r="I42" i="81"/>
  <c r="H42" i="81"/>
  <c r="AB42" i="81"/>
  <c r="AE42" i="81"/>
  <c r="AD42" i="81"/>
  <c r="AC42" i="81"/>
  <c r="AX42" i="81"/>
  <c r="AW42" i="81"/>
  <c r="AV42" i="81"/>
  <c r="AY42" i="81"/>
  <c r="BS42" i="81"/>
  <c r="BR42" i="81"/>
  <c r="BQ42" i="81"/>
  <c r="BP42" i="81"/>
  <c r="O43" i="81"/>
  <c r="N43" i="81"/>
  <c r="M43" i="81"/>
  <c r="P43" i="81"/>
  <c r="AG43" i="81"/>
  <c r="AJ43" i="81"/>
  <c r="AI43" i="81"/>
  <c r="AH43" i="81"/>
  <c r="BC43" i="81"/>
  <c r="BB43" i="81"/>
  <c r="BA43" i="81"/>
  <c r="BD43" i="81"/>
  <c r="BX43" i="81"/>
  <c r="BW43" i="81"/>
  <c r="BV43" i="81"/>
  <c r="BU43" i="81"/>
  <c r="R44" i="81"/>
  <c r="U44" i="81"/>
  <c r="T44" i="81"/>
  <c r="S44" i="81"/>
  <c r="AN44" i="81"/>
  <c r="AL44" i="81"/>
  <c r="AO44" i="81"/>
  <c r="AM44" i="81"/>
  <c r="BI44" i="81"/>
  <c r="BH44" i="81"/>
  <c r="BG44" i="81"/>
  <c r="BF44" i="81"/>
  <c r="E45" i="81"/>
  <c r="D45" i="81"/>
  <c r="C45" i="81"/>
  <c r="F45" i="81"/>
  <c r="Z45" i="81"/>
  <c r="Y45" i="81"/>
  <c r="X45" i="81"/>
  <c r="W45" i="81"/>
  <c r="AT45" i="81"/>
  <c r="AS45" i="81"/>
  <c r="AR45" i="81"/>
  <c r="AQ45" i="81"/>
  <c r="BM45" i="81"/>
  <c r="BL45" i="81"/>
  <c r="BK45" i="81"/>
  <c r="BN45" i="81"/>
  <c r="K46" i="81"/>
  <c r="J46" i="81"/>
  <c r="I46" i="81"/>
  <c r="H46" i="81"/>
  <c r="AB46" i="81"/>
  <c r="AE46" i="81"/>
  <c r="AD46" i="81"/>
  <c r="AC46" i="81"/>
  <c r="AX46" i="81"/>
  <c r="AW46" i="81"/>
  <c r="AV46" i="81"/>
  <c r="AY46" i="81"/>
  <c r="BS46" i="81"/>
  <c r="BR46" i="81"/>
  <c r="BQ46" i="81"/>
  <c r="BP46" i="81"/>
  <c r="O47" i="81"/>
  <c r="N47" i="81"/>
  <c r="M47" i="81"/>
  <c r="P47" i="81"/>
  <c r="AG47" i="81"/>
  <c r="AJ47" i="81"/>
  <c r="AI47" i="81"/>
  <c r="AH47" i="81"/>
  <c r="BC47" i="81"/>
  <c r="BB47" i="81"/>
  <c r="BA47" i="81"/>
  <c r="BD47" i="81"/>
  <c r="BX47" i="81"/>
  <c r="BW47" i="81"/>
  <c r="BV47" i="81"/>
  <c r="BU47" i="81"/>
  <c r="R48" i="81"/>
  <c r="U48" i="81"/>
  <c r="T48" i="81"/>
  <c r="S48" i="81"/>
  <c r="AN48" i="81"/>
  <c r="AL48" i="81"/>
  <c r="AO48" i="81"/>
  <c r="AM48" i="81"/>
  <c r="BI48" i="81"/>
  <c r="BH48" i="81"/>
  <c r="BG48" i="81"/>
  <c r="BF48" i="81"/>
  <c r="E49" i="81"/>
  <c r="D49" i="81"/>
  <c r="C49" i="81"/>
  <c r="F49" i="81"/>
  <c r="Z49" i="81"/>
  <c r="Y49" i="81"/>
  <c r="X49" i="81"/>
  <c r="W49" i="81"/>
  <c r="AT49" i="81"/>
  <c r="AS49" i="81"/>
  <c r="AR49" i="81"/>
  <c r="AQ49" i="81"/>
  <c r="BM49" i="81"/>
  <c r="BL49" i="81"/>
  <c r="BK49" i="81"/>
  <c r="BN49" i="81"/>
  <c r="K50" i="81"/>
  <c r="J50" i="81"/>
  <c r="I50" i="81"/>
  <c r="H50" i="81"/>
  <c r="AB50" i="81"/>
  <c r="AE50" i="81"/>
  <c r="AD50" i="81"/>
  <c r="AC50" i="81"/>
  <c r="AX50" i="81"/>
  <c r="AW50" i="81"/>
  <c r="AV50" i="81"/>
  <c r="AY50" i="81"/>
  <c r="BS50" i="81"/>
  <c r="BR50" i="81"/>
  <c r="BQ50" i="81"/>
  <c r="BP50" i="81"/>
  <c r="O51" i="81"/>
  <c r="N51" i="81"/>
  <c r="M51" i="81"/>
  <c r="P51" i="81"/>
  <c r="AG51" i="81"/>
  <c r="AJ51" i="81"/>
  <c r="AI51" i="81"/>
  <c r="AH51" i="81"/>
  <c r="BC51" i="81"/>
  <c r="BB51" i="81"/>
  <c r="BA51" i="81"/>
  <c r="BD51" i="81"/>
  <c r="BX51" i="81"/>
  <c r="BW51" i="81"/>
  <c r="BV51" i="81"/>
  <c r="BU51" i="81"/>
  <c r="R52" i="81"/>
  <c r="U52" i="81"/>
  <c r="T52" i="81"/>
  <c r="S52" i="81"/>
  <c r="AO52" i="81"/>
  <c r="AN52" i="81"/>
  <c r="AM52" i="81"/>
  <c r="AL52" i="81"/>
  <c r="BI52" i="81"/>
  <c r="BH52" i="81"/>
  <c r="BG52" i="81"/>
  <c r="BF52" i="81"/>
  <c r="E53" i="81"/>
  <c r="D53" i="81"/>
  <c r="C53" i="81"/>
  <c r="F53" i="81"/>
  <c r="Z53" i="81"/>
  <c r="Y53" i="81"/>
  <c r="X53" i="81"/>
  <c r="W53" i="81"/>
  <c r="AT53" i="81"/>
  <c r="AS53" i="81"/>
  <c r="AR53" i="81"/>
  <c r="AQ53" i="81"/>
  <c r="BM53" i="81"/>
  <c r="BL53" i="81"/>
  <c r="BK53" i="81"/>
  <c r="BN53" i="81"/>
  <c r="K54" i="81"/>
  <c r="J54" i="81"/>
  <c r="I54" i="81"/>
  <c r="H54" i="81"/>
  <c r="AB54" i="81"/>
  <c r="AE54" i="81"/>
  <c r="AD54" i="81"/>
  <c r="AC54" i="81"/>
  <c r="AX54" i="81"/>
  <c r="AW54" i="81"/>
  <c r="AV54" i="81"/>
  <c r="AY54" i="81"/>
  <c r="BS54" i="81"/>
  <c r="BR54" i="81"/>
  <c r="BQ54" i="81"/>
  <c r="BP54" i="81"/>
  <c r="O55" i="81"/>
  <c r="N55" i="81"/>
  <c r="M55" i="81"/>
  <c r="P55" i="81"/>
  <c r="AG55" i="81"/>
  <c r="AJ55" i="81"/>
  <c r="AI55" i="81"/>
  <c r="AH55" i="81"/>
  <c r="BC55" i="81"/>
  <c r="BB55" i="81"/>
  <c r="BA55" i="81"/>
  <c r="BD55" i="81"/>
  <c r="BX55" i="81"/>
  <c r="BW55" i="81"/>
  <c r="BV55" i="81"/>
  <c r="BU55" i="81"/>
  <c r="R56" i="81"/>
  <c r="U56" i="81"/>
  <c r="T56" i="81"/>
  <c r="S56" i="81"/>
  <c r="AO56" i="81"/>
  <c r="AN56" i="81"/>
  <c r="AM56" i="81"/>
  <c r="AL56" i="81"/>
  <c r="BI56" i="81"/>
  <c r="BH56" i="81"/>
  <c r="BG56" i="81"/>
  <c r="BF56" i="81"/>
  <c r="E57" i="81"/>
  <c r="D57" i="81"/>
  <c r="C57" i="81"/>
  <c r="F57" i="81"/>
  <c r="Z57" i="81"/>
  <c r="Y57" i="81"/>
  <c r="X57" i="81"/>
  <c r="W57" i="81"/>
  <c r="AT57" i="81"/>
  <c r="AS57" i="81"/>
  <c r="AR57" i="81"/>
  <c r="AQ57" i="81"/>
  <c r="BM57" i="81"/>
  <c r="BL57" i="81"/>
  <c r="BK57" i="81"/>
  <c r="BN57" i="81"/>
  <c r="K58" i="81"/>
  <c r="J58" i="81"/>
  <c r="I58" i="81"/>
  <c r="H58" i="81"/>
  <c r="AB58" i="81"/>
  <c r="AE58" i="81"/>
  <c r="AD58" i="81"/>
  <c r="AC58" i="81"/>
  <c r="AX58" i="81"/>
  <c r="AW58" i="81"/>
  <c r="AV58" i="81"/>
  <c r="AY58" i="81"/>
  <c r="BS58" i="81"/>
  <c r="BR58" i="81"/>
  <c r="BQ58" i="81"/>
  <c r="BP58" i="81"/>
  <c r="O59" i="81"/>
  <c r="N59" i="81"/>
  <c r="M59" i="81"/>
  <c r="P59" i="81"/>
  <c r="AG59" i="81"/>
  <c r="AJ59" i="81"/>
  <c r="AI59" i="81"/>
  <c r="AH59" i="81"/>
  <c r="BC59" i="81"/>
  <c r="BB59" i="81"/>
  <c r="BA59" i="81"/>
  <c r="BD59" i="81"/>
  <c r="BX59" i="81"/>
  <c r="BW59" i="81"/>
  <c r="BV59" i="81"/>
  <c r="BU59" i="81"/>
  <c r="R60" i="81"/>
  <c r="U60" i="81"/>
  <c r="T60" i="81"/>
  <c r="S60" i="81"/>
  <c r="AO60" i="81"/>
  <c r="AN60" i="81"/>
  <c r="AM60" i="81"/>
  <c r="AL60" i="81"/>
  <c r="BI60" i="81"/>
  <c r="BH60" i="81"/>
  <c r="BG60" i="81"/>
  <c r="BF60" i="81"/>
  <c r="E61" i="81"/>
  <c r="D61" i="81"/>
  <c r="C61" i="81"/>
  <c r="F61" i="81"/>
  <c r="Z61" i="81"/>
  <c r="Y61" i="81"/>
  <c r="X61" i="81"/>
  <c r="W61" i="81"/>
  <c r="AT61" i="81"/>
  <c r="AS61" i="81"/>
  <c r="AR61" i="81"/>
  <c r="AQ61" i="81"/>
  <c r="BM61" i="81"/>
  <c r="BL61" i="81"/>
  <c r="BK61" i="81"/>
  <c r="BN61" i="81"/>
  <c r="K62" i="81"/>
  <c r="J62" i="81"/>
  <c r="I62" i="81"/>
  <c r="H62" i="81"/>
  <c r="AB62" i="81"/>
  <c r="AE62" i="81"/>
  <c r="AD62" i="81"/>
  <c r="AC62" i="81"/>
  <c r="AX62" i="81"/>
  <c r="AW62" i="81"/>
  <c r="AV62" i="81"/>
  <c r="AY62" i="81"/>
  <c r="BS62" i="81"/>
  <c r="BR62" i="81"/>
  <c r="BQ62" i="81"/>
  <c r="BP62" i="81"/>
  <c r="O63" i="81"/>
  <c r="N63" i="81"/>
  <c r="M63" i="81"/>
  <c r="P63" i="81"/>
  <c r="AG63" i="81"/>
  <c r="AJ63" i="81"/>
  <c r="AI63" i="81"/>
  <c r="AH63" i="81"/>
  <c r="BC63" i="81"/>
  <c r="BB63" i="81"/>
  <c r="BA63" i="81"/>
  <c r="BD63" i="81"/>
  <c r="BX63" i="81"/>
  <c r="BW63" i="81"/>
  <c r="BV63" i="81"/>
  <c r="BU63" i="81"/>
  <c r="R64" i="81"/>
  <c r="U64" i="81"/>
  <c r="T64" i="81"/>
  <c r="S64" i="81"/>
  <c r="AO64" i="81"/>
  <c r="AN64" i="81"/>
  <c r="AM64" i="81"/>
  <c r="AL64" i="81"/>
  <c r="BM64" i="81"/>
  <c r="BL64" i="81"/>
  <c r="BK64" i="81"/>
  <c r="BN64" i="81"/>
  <c r="K65" i="81"/>
  <c r="J65" i="81"/>
  <c r="I65" i="81"/>
  <c r="H65" i="81"/>
  <c r="AB65" i="81"/>
  <c r="AE65" i="81"/>
  <c r="AD65" i="81"/>
  <c r="AC65" i="81"/>
  <c r="AX65" i="81"/>
  <c r="AW65" i="81"/>
  <c r="AV65" i="81"/>
  <c r="AY65" i="81"/>
  <c r="BS65" i="81"/>
  <c r="BR65" i="81"/>
  <c r="BQ65" i="81"/>
  <c r="BP65" i="81"/>
  <c r="R66" i="81"/>
  <c r="U66" i="81"/>
  <c r="T66" i="81"/>
  <c r="S66" i="81"/>
  <c r="AO66" i="81"/>
  <c r="AN66" i="81"/>
  <c r="AM66" i="81"/>
  <c r="AL66" i="81"/>
  <c r="BI66" i="81"/>
  <c r="BH66" i="81"/>
  <c r="BG66" i="81"/>
  <c r="BF66" i="81"/>
  <c r="E67" i="81"/>
  <c r="D67" i="81"/>
  <c r="C67" i="81"/>
  <c r="F67" i="81"/>
  <c r="Z67" i="81"/>
  <c r="Y67" i="81"/>
  <c r="X67" i="81"/>
  <c r="W67" i="81"/>
  <c r="AT67" i="81"/>
  <c r="AS67" i="81"/>
  <c r="AR67" i="81"/>
  <c r="AQ67" i="81"/>
  <c r="BM67" i="81"/>
  <c r="BL67" i="81"/>
  <c r="BK67" i="81"/>
  <c r="BN67" i="81"/>
  <c r="K68" i="81"/>
  <c r="J68" i="81"/>
  <c r="I68" i="81"/>
  <c r="H68" i="81"/>
  <c r="AB68" i="81"/>
  <c r="AE68" i="81"/>
  <c r="AD68" i="81"/>
  <c r="AC68" i="81"/>
  <c r="AX68" i="81"/>
  <c r="AW68" i="81"/>
  <c r="AV68" i="81"/>
  <c r="AY68" i="81"/>
  <c r="BS68" i="81"/>
  <c r="BR68" i="81"/>
  <c r="BQ68" i="81"/>
  <c r="BP68" i="81"/>
  <c r="O69" i="81"/>
  <c r="N69" i="81"/>
  <c r="M69" i="81"/>
  <c r="P69" i="81"/>
  <c r="AG69" i="81"/>
  <c r="AJ69" i="81"/>
  <c r="AI69" i="81"/>
  <c r="AH69" i="81"/>
  <c r="BB69" i="81"/>
  <c r="BA69" i="81"/>
  <c r="BD69" i="81"/>
  <c r="BC69" i="81"/>
  <c r="BX69" i="81"/>
  <c r="BW69" i="81"/>
  <c r="BV69" i="81"/>
  <c r="BU69" i="81"/>
  <c r="R70" i="81"/>
  <c r="U70" i="81"/>
  <c r="T70" i="81"/>
  <c r="S70" i="81"/>
  <c r="AO70" i="81"/>
  <c r="AN70" i="81"/>
  <c r="AM70" i="81"/>
  <c r="AL70" i="81"/>
  <c r="BI70" i="81"/>
  <c r="BH70" i="81"/>
  <c r="BG70" i="81"/>
  <c r="BF70" i="81"/>
  <c r="E71" i="81"/>
  <c r="D71" i="81"/>
  <c r="C71" i="81"/>
  <c r="F71" i="81"/>
  <c r="Z71" i="81"/>
  <c r="Y71" i="81"/>
  <c r="X71" i="81"/>
  <c r="W71" i="81"/>
  <c r="AT71" i="81"/>
  <c r="AS71" i="81"/>
  <c r="AR71" i="81"/>
  <c r="AQ71" i="81"/>
  <c r="BM71" i="81"/>
  <c r="BL71" i="81"/>
  <c r="BK71" i="81"/>
  <c r="BN71" i="81"/>
  <c r="K72" i="81"/>
  <c r="J72" i="81"/>
  <c r="I72" i="81"/>
  <c r="H72" i="81"/>
  <c r="AB72" i="81"/>
  <c r="AE72" i="81"/>
  <c r="AD72" i="81"/>
  <c r="AC72" i="81"/>
  <c r="AX72" i="81"/>
  <c r="AW72" i="81"/>
  <c r="AV72" i="81"/>
  <c r="AY72" i="81"/>
  <c r="BS72" i="81"/>
  <c r="BR72" i="81"/>
  <c r="BQ72" i="81"/>
  <c r="BP72" i="81"/>
  <c r="O73" i="81"/>
  <c r="N73" i="81"/>
  <c r="M73" i="81"/>
  <c r="P73" i="81"/>
  <c r="AG73" i="81"/>
  <c r="AJ73" i="81"/>
  <c r="AI73" i="81"/>
  <c r="AH73" i="81"/>
  <c r="BB73" i="81"/>
  <c r="BA73" i="81"/>
  <c r="BD73" i="81"/>
  <c r="BC73" i="81"/>
  <c r="BX73" i="81"/>
  <c r="BW73" i="81"/>
  <c r="BV73" i="81"/>
  <c r="BU73" i="81"/>
  <c r="R74" i="81"/>
  <c r="U74" i="81"/>
  <c r="T74" i="81"/>
  <c r="S74" i="81"/>
  <c r="AO74" i="81"/>
  <c r="AN74" i="81"/>
  <c r="AM74" i="81"/>
  <c r="AL74" i="81"/>
  <c r="BI74" i="81"/>
  <c r="BH74" i="81"/>
  <c r="BG74" i="81"/>
  <c r="BF74" i="81"/>
  <c r="E75" i="81"/>
  <c r="D75" i="81"/>
  <c r="C75" i="81"/>
  <c r="F75" i="81"/>
  <c r="Z75" i="81"/>
  <c r="Y75" i="81"/>
  <c r="X75" i="81"/>
  <c r="W75" i="81"/>
  <c r="AT75" i="81"/>
  <c r="AS75" i="81"/>
  <c r="AR75" i="81"/>
  <c r="AQ75" i="81"/>
  <c r="BM75" i="81"/>
  <c r="BL75" i="81"/>
  <c r="BK75" i="81"/>
  <c r="BN75" i="81"/>
  <c r="K76" i="81"/>
  <c r="J76" i="81"/>
  <c r="I76" i="81"/>
  <c r="H76" i="81"/>
  <c r="AB76" i="81"/>
  <c r="AE76" i="81"/>
  <c r="AD76" i="81"/>
  <c r="AC76" i="81"/>
  <c r="AX76" i="81"/>
  <c r="AW76" i="81"/>
  <c r="AV76" i="81"/>
  <c r="AY76" i="81"/>
  <c r="BS76" i="81"/>
  <c r="BR76" i="81"/>
  <c r="BQ76" i="81"/>
  <c r="BP76" i="81"/>
  <c r="O77" i="81"/>
  <c r="N77" i="81"/>
  <c r="M77" i="81"/>
  <c r="P77" i="81"/>
  <c r="AG77" i="81"/>
  <c r="AJ77" i="81"/>
  <c r="AI77" i="81"/>
  <c r="AH77" i="81"/>
  <c r="BB77" i="81"/>
  <c r="BA77" i="81"/>
  <c r="BD77" i="81"/>
  <c r="BC77" i="81"/>
  <c r="BX77" i="81"/>
  <c r="BW77" i="81"/>
  <c r="BV77" i="81"/>
  <c r="BU77" i="81"/>
  <c r="R78" i="81"/>
  <c r="U78" i="81"/>
  <c r="T78" i="81"/>
  <c r="S78" i="81"/>
  <c r="AO78" i="81"/>
  <c r="AN78" i="81"/>
  <c r="AM78" i="81"/>
  <c r="AL78" i="81"/>
  <c r="BI78" i="81"/>
  <c r="BH78" i="81"/>
  <c r="BG78" i="81"/>
  <c r="BF78" i="81"/>
  <c r="E79" i="81"/>
  <c r="D79" i="81"/>
  <c r="C79" i="81"/>
  <c r="F79" i="81"/>
  <c r="Z79" i="81"/>
  <c r="Y79" i="81"/>
  <c r="X79" i="81"/>
  <c r="W79" i="81"/>
  <c r="AT79" i="81"/>
  <c r="AS79" i="81"/>
  <c r="AR79" i="81"/>
  <c r="AQ79" i="81"/>
  <c r="BM79" i="81"/>
  <c r="BL79" i="81"/>
  <c r="BK79" i="81"/>
  <c r="BN79" i="81"/>
  <c r="K80" i="81"/>
  <c r="J80" i="81"/>
  <c r="I80" i="81"/>
  <c r="H80" i="81"/>
  <c r="AB80" i="81"/>
  <c r="AE80" i="81"/>
  <c r="AD80" i="81"/>
  <c r="AC80" i="81"/>
  <c r="AX80" i="81"/>
  <c r="AW80" i="81"/>
  <c r="AV80" i="81"/>
  <c r="AY80" i="81"/>
  <c r="BX80" i="81"/>
  <c r="BW80" i="81"/>
  <c r="BV80" i="81"/>
  <c r="BU80" i="81"/>
  <c r="R81" i="81"/>
  <c r="U81" i="81"/>
  <c r="T81" i="81"/>
  <c r="S81" i="81"/>
  <c r="AO81" i="81"/>
  <c r="AN81" i="81"/>
  <c r="AM81" i="81"/>
  <c r="AL81" i="81"/>
  <c r="BI81" i="81"/>
  <c r="BH81" i="81"/>
  <c r="BG81" i="81"/>
  <c r="BF81" i="81"/>
  <c r="E82" i="81"/>
  <c r="D82" i="81"/>
  <c r="C82" i="81"/>
  <c r="F82" i="81"/>
  <c r="Z82" i="81"/>
  <c r="Y82" i="81"/>
  <c r="X82" i="81"/>
  <c r="W82" i="81"/>
  <c r="AT82" i="81"/>
  <c r="AS82" i="81"/>
  <c r="AR82" i="81"/>
  <c r="AQ82" i="81"/>
  <c r="BM82" i="81"/>
  <c r="BL82" i="81"/>
  <c r="BK82" i="81"/>
  <c r="BN82" i="81"/>
  <c r="K83" i="81"/>
  <c r="J83" i="81"/>
  <c r="I83" i="81"/>
  <c r="H83" i="81"/>
  <c r="AB83" i="81"/>
  <c r="AE83" i="81"/>
  <c r="AD83" i="81"/>
  <c r="AC83" i="81"/>
  <c r="AX83" i="81"/>
  <c r="AW83" i="81"/>
  <c r="AV83" i="81"/>
  <c r="AY83" i="81"/>
  <c r="BS83" i="81"/>
  <c r="BR83" i="81"/>
  <c r="BQ83" i="81"/>
  <c r="BP83" i="81"/>
  <c r="O84" i="81"/>
  <c r="N84" i="81"/>
  <c r="M84" i="81"/>
  <c r="P84" i="81"/>
  <c r="AG84" i="81"/>
  <c r="AJ84" i="81"/>
  <c r="AI84" i="81"/>
  <c r="AH84" i="81"/>
  <c r="BB84" i="81"/>
  <c r="BA84" i="81"/>
  <c r="BD84" i="81"/>
  <c r="BC84" i="81"/>
  <c r="BX84" i="81"/>
  <c r="BW84" i="81"/>
  <c r="BV84" i="81"/>
  <c r="BU84" i="81"/>
  <c r="R85" i="81"/>
  <c r="U85" i="81"/>
  <c r="T85" i="81"/>
  <c r="S85" i="81"/>
  <c r="AO85" i="81"/>
  <c r="AN85" i="81"/>
  <c r="AM85" i="81"/>
  <c r="AL85" i="81"/>
  <c r="BI85" i="81"/>
  <c r="BH85" i="81"/>
  <c r="BG85" i="81"/>
  <c r="BF85" i="81"/>
  <c r="E86" i="81"/>
  <c r="D86" i="81"/>
  <c r="C86" i="81"/>
  <c r="F86" i="81"/>
  <c r="Z86" i="81"/>
  <c r="Y86" i="81"/>
  <c r="X86" i="81"/>
  <c r="W86" i="81"/>
  <c r="AT86" i="81"/>
  <c r="AS86" i="81"/>
  <c r="AR86" i="81"/>
  <c r="AQ86" i="81"/>
  <c r="BM86" i="81"/>
  <c r="BL86" i="81"/>
  <c r="BK86" i="81"/>
  <c r="BN86" i="81"/>
  <c r="K87" i="81"/>
  <c r="J87" i="81"/>
  <c r="I87" i="81"/>
  <c r="H87" i="81"/>
  <c r="AB87" i="81"/>
  <c r="AE87" i="81"/>
  <c r="AD87" i="81"/>
  <c r="AC87" i="81"/>
  <c r="AX87" i="81"/>
  <c r="AW87" i="81"/>
  <c r="AV87" i="81"/>
  <c r="AY87" i="81"/>
  <c r="BS87" i="81"/>
  <c r="BR87" i="81"/>
  <c r="BQ87" i="81"/>
  <c r="BP87" i="81"/>
  <c r="O88" i="81"/>
  <c r="N88" i="81"/>
  <c r="M88" i="81"/>
  <c r="P88" i="81"/>
  <c r="AO88" i="81"/>
  <c r="AN88" i="81"/>
  <c r="AM88" i="81"/>
  <c r="AL88" i="81"/>
  <c r="BI88" i="81"/>
  <c r="BH88" i="81"/>
  <c r="BG88" i="81"/>
  <c r="BF88" i="81"/>
  <c r="E89" i="81"/>
  <c r="D89" i="81"/>
  <c r="C89" i="81"/>
  <c r="F89" i="81"/>
  <c r="X89" i="81"/>
  <c r="W89" i="81"/>
  <c r="Z89" i="81"/>
  <c r="Y89" i="81"/>
  <c r="AT89" i="81"/>
  <c r="AS89" i="81"/>
  <c r="AR89" i="81"/>
  <c r="AQ89" i="81"/>
  <c r="BM89" i="81"/>
  <c r="BL89" i="81"/>
  <c r="BK89" i="81"/>
  <c r="BN89" i="81"/>
  <c r="O90" i="81"/>
  <c r="N90" i="81"/>
  <c r="M90" i="81"/>
  <c r="P90" i="81"/>
  <c r="AG90" i="81"/>
  <c r="AJ90" i="81"/>
  <c r="AI90" i="81"/>
  <c r="AH90" i="81"/>
  <c r="U2" i="81"/>
  <c r="T2" i="81"/>
  <c r="R2" i="81"/>
  <c r="P2" i="81"/>
  <c r="O2" i="81"/>
  <c r="M2" i="81"/>
  <c r="J2" i="81"/>
  <c r="K2" i="81"/>
  <c r="H2" i="81"/>
  <c r="E90" i="81"/>
  <c r="C90" i="81"/>
  <c r="F90" i="81"/>
  <c r="BT21" i="81"/>
  <c r="BO21" i="81"/>
  <c r="BJ21" i="81"/>
  <c r="BE21" i="81"/>
  <c r="AZ21" i="81"/>
  <c r="AU21" i="81"/>
  <c r="AP21" i="81"/>
  <c r="AK21" i="81"/>
  <c r="AF21" i="81"/>
  <c r="AA21" i="81"/>
  <c r="V21" i="81"/>
  <c r="Q21" i="81"/>
  <c r="L21" i="81"/>
  <c r="G21" i="81"/>
  <c r="B21" i="81"/>
  <c r="BT20" i="81"/>
  <c r="BO20" i="81"/>
  <c r="BJ20" i="81"/>
  <c r="BE20" i="81"/>
  <c r="AZ20" i="81"/>
  <c r="AU20" i="81"/>
  <c r="AP20" i="81"/>
  <c r="AK20" i="81"/>
  <c r="AF20" i="81"/>
  <c r="AA20" i="81"/>
  <c r="V20" i="81"/>
  <c r="Q20" i="81"/>
  <c r="L20" i="81"/>
  <c r="G20" i="81"/>
  <c r="B20" i="81"/>
  <c r="BT19" i="81"/>
  <c r="BO19" i="81"/>
  <c r="BJ19" i="81"/>
  <c r="BE19" i="81"/>
  <c r="AZ19" i="81"/>
  <c r="AU19" i="81"/>
  <c r="AP19" i="81"/>
  <c r="AK19" i="81"/>
  <c r="AF19" i="81"/>
  <c r="AA19" i="81"/>
  <c r="V19" i="81"/>
  <c r="Q19" i="81"/>
  <c r="L19" i="81"/>
  <c r="G19" i="81"/>
  <c r="B19" i="81"/>
  <c r="BT18" i="81"/>
  <c r="BO18" i="81"/>
  <c r="BJ18" i="81"/>
  <c r="BE18" i="81"/>
  <c r="AZ18" i="81"/>
  <c r="AU18" i="81"/>
  <c r="AP18" i="81"/>
  <c r="AK18" i="81"/>
  <c r="AF18" i="81"/>
  <c r="AA18" i="81"/>
  <c r="V18" i="81"/>
  <c r="Q18" i="81"/>
  <c r="L18" i="81"/>
  <c r="G18" i="81"/>
  <c r="B18" i="81"/>
  <c r="BT17" i="81"/>
  <c r="BO17" i="81"/>
  <c r="BJ17" i="81"/>
  <c r="BE17" i="81"/>
  <c r="AZ17" i="81"/>
  <c r="AU17" i="81"/>
  <c r="AP17" i="81"/>
  <c r="AK17" i="81"/>
  <c r="AF17" i="81"/>
  <c r="AA17" i="81"/>
  <c r="V17" i="81"/>
  <c r="Q17" i="81"/>
  <c r="L17" i="81"/>
  <c r="G17" i="81"/>
  <c r="B17" i="81"/>
  <c r="BT16" i="81"/>
  <c r="BO16" i="81"/>
  <c r="BJ16" i="81"/>
  <c r="BE16" i="81"/>
  <c r="AZ16" i="81"/>
  <c r="AU16" i="81"/>
  <c r="AP16" i="81"/>
  <c r="AK16" i="81"/>
  <c r="AF16" i="81"/>
  <c r="AA16" i="81"/>
  <c r="V16" i="81"/>
  <c r="Q16" i="81"/>
  <c r="L16" i="81"/>
  <c r="G16" i="81"/>
  <c r="B16" i="81"/>
  <c r="BT15" i="81"/>
  <c r="BO15" i="81"/>
  <c r="BJ15" i="81"/>
  <c r="BE15" i="81"/>
  <c r="AZ15" i="81"/>
  <c r="AU15" i="81"/>
  <c r="AP15" i="81"/>
  <c r="AK15" i="81"/>
  <c r="AF15" i="81"/>
  <c r="AA15" i="81"/>
  <c r="V15" i="81"/>
  <c r="Q15" i="81"/>
  <c r="L15" i="81"/>
  <c r="G15" i="81"/>
  <c r="B15" i="81"/>
  <c r="BT14" i="81"/>
  <c r="BO14" i="81"/>
  <c r="BJ14" i="81"/>
  <c r="BE14" i="81"/>
  <c r="AZ14" i="81"/>
  <c r="AU14" i="81"/>
  <c r="AP14" i="81"/>
  <c r="AK14" i="81"/>
  <c r="AF14" i="81"/>
  <c r="AA14" i="81"/>
  <c r="V14" i="81"/>
  <c r="Q14" i="81"/>
  <c r="L14" i="81"/>
  <c r="G14" i="81"/>
  <c r="B14" i="81"/>
  <c r="BT13" i="81"/>
  <c r="BO13" i="81"/>
  <c r="BJ13" i="81"/>
  <c r="BE13" i="81"/>
  <c r="AZ13" i="81"/>
  <c r="AU13" i="81"/>
  <c r="AP13" i="81"/>
  <c r="AK13" i="81"/>
  <c r="AF13" i="81"/>
  <c r="AA13" i="81"/>
  <c r="V13" i="81"/>
  <c r="Q13" i="81"/>
  <c r="L13" i="81"/>
  <c r="G13" i="81"/>
  <c r="B13" i="81"/>
  <c r="BT12" i="81"/>
  <c r="BO12" i="81"/>
  <c r="BJ12" i="81"/>
  <c r="BE12" i="81"/>
  <c r="AZ12" i="81"/>
  <c r="AU12" i="81"/>
  <c r="AP12" i="81"/>
  <c r="AK12" i="81"/>
  <c r="AF12" i="81"/>
  <c r="AA12" i="81"/>
  <c r="V12" i="81"/>
  <c r="Q12" i="81"/>
  <c r="L12" i="81"/>
  <c r="G12" i="81"/>
  <c r="B12" i="81"/>
  <c r="BT11" i="81"/>
  <c r="BO11" i="81"/>
  <c r="BJ11" i="81"/>
  <c r="BE11" i="81"/>
  <c r="AZ11" i="81"/>
  <c r="AU11" i="81"/>
  <c r="AP11" i="81"/>
  <c r="AK11" i="81"/>
  <c r="AF11" i="81"/>
  <c r="AA11" i="81"/>
  <c r="V11" i="81"/>
  <c r="Q11" i="81"/>
  <c r="L11" i="81"/>
  <c r="G11" i="81"/>
  <c r="B11" i="81"/>
  <c r="BT10" i="81"/>
  <c r="BO10" i="81"/>
  <c r="BJ10" i="81"/>
  <c r="BE10" i="81"/>
  <c r="AZ10" i="81"/>
  <c r="AU10" i="81"/>
  <c r="AK10" i="81"/>
  <c r="AF10" i="81"/>
  <c r="AA10" i="81"/>
  <c r="V10" i="81"/>
  <c r="Q10" i="81"/>
  <c r="L10" i="81"/>
  <c r="G10" i="81"/>
  <c r="B10" i="81"/>
  <c r="BT9" i="81"/>
  <c r="BO9" i="81"/>
  <c r="BJ9" i="81"/>
  <c r="BE9" i="81"/>
  <c r="AZ9" i="81"/>
  <c r="AU9" i="81"/>
  <c r="AP9" i="81"/>
  <c r="AK9" i="81"/>
  <c r="AF9" i="81"/>
  <c r="AA9" i="81"/>
  <c r="V9" i="81"/>
  <c r="Q9" i="81"/>
  <c r="L9" i="81"/>
  <c r="G9" i="81"/>
  <c r="BI9" i="81" l="1"/>
  <c r="BH9" i="81"/>
  <c r="BG9" i="81"/>
  <c r="BF9" i="81"/>
  <c r="AB9" i="81"/>
  <c r="AE9" i="81"/>
  <c r="AD9" i="81"/>
  <c r="AC9" i="81"/>
  <c r="AY9" i="81"/>
  <c r="AX9" i="81"/>
  <c r="AW9" i="81"/>
  <c r="AV9" i="81"/>
  <c r="O10" i="81"/>
  <c r="N10" i="81"/>
  <c r="M10" i="81"/>
  <c r="P10" i="81"/>
  <c r="AJ10" i="81"/>
  <c r="AH10" i="81"/>
  <c r="AI10" i="81"/>
  <c r="AG10" i="81"/>
  <c r="E11" i="81"/>
  <c r="D11" i="81"/>
  <c r="C11" i="81"/>
  <c r="F11" i="81"/>
  <c r="W11" i="81"/>
  <c r="Z11" i="81"/>
  <c r="Y11" i="81"/>
  <c r="X11" i="81"/>
  <c r="BM11" i="81"/>
  <c r="BL11" i="81"/>
  <c r="BK11" i="81"/>
  <c r="BN11" i="81"/>
  <c r="AB12" i="81"/>
  <c r="AE12" i="81"/>
  <c r="AD12" i="81"/>
  <c r="AC12" i="81"/>
  <c r="AY12" i="81"/>
  <c r="AX12" i="81"/>
  <c r="AW12" i="81"/>
  <c r="AV12" i="81"/>
  <c r="O13" i="81"/>
  <c r="N13" i="81"/>
  <c r="M13" i="81"/>
  <c r="P13" i="81"/>
  <c r="BC13" i="81"/>
  <c r="BB13" i="81"/>
  <c r="BA13" i="81"/>
  <c r="BD13" i="81"/>
  <c r="BX13" i="81"/>
  <c r="BW13" i="81"/>
  <c r="BV13" i="81"/>
  <c r="BU13" i="81"/>
  <c r="AL14" i="81"/>
  <c r="AO14" i="81"/>
  <c r="AN14" i="81"/>
  <c r="AM14" i="81"/>
  <c r="E15" i="81"/>
  <c r="D15" i="81"/>
  <c r="C15" i="81"/>
  <c r="F15" i="81"/>
  <c r="W15" i="81"/>
  <c r="Z15" i="81"/>
  <c r="Y15" i="81"/>
  <c r="X15" i="81"/>
  <c r="BL15" i="81"/>
  <c r="BK15" i="81"/>
  <c r="BN15" i="81"/>
  <c r="BM15" i="81"/>
  <c r="AB16" i="81"/>
  <c r="AE16" i="81"/>
  <c r="AD16" i="81"/>
  <c r="AC16" i="81"/>
  <c r="BS16" i="81"/>
  <c r="BR16" i="81"/>
  <c r="BQ16" i="81"/>
  <c r="BP16" i="81"/>
  <c r="AG17" i="81"/>
  <c r="AJ17" i="81"/>
  <c r="AI17" i="81"/>
  <c r="AH17" i="81"/>
  <c r="O9" i="81"/>
  <c r="N9" i="81"/>
  <c r="M9" i="81"/>
  <c r="P9" i="81"/>
  <c r="AH9" i="81"/>
  <c r="AG9" i="81"/>
  <c r="AJ9" i="81"/>
  <c r="AI9" i="81"/>
  <c r="BC9" i="81"/>
  <c r="BB9" i="81"/>
  <c r="BA9" i="81"/>
  <c r="BD9" i="81"/>
  <c r="BX9" i="81"/>
  <c r="BW9" i="81"/>
  <c r="BV9" i="81"/>
  <c r="BU9" i="81"/>
  <c r="T10" i="81"/>
  <c r="S10" i="81"/>
  <c r="R10" i="81"/>
  <c r="U10" i="81"/>
  <c r="AL10" i="81"/>
  <c r="AO10" i="81"/>
  <c r="AN10" i="81"/>
  <c r="AM10" i="81"/>
  <c r="BL10" i="81"/>
  <c r="BK10" i="81"/>
  <c r="BN10" i="81"/>
  <c r="BM10" i="81"/>
  <c r="J11" i="81"/>
  <c r="I11" i="81"/>
  <c r="H11" i="81"/>
  <c r="K11" i="81"/>
  <c r="AB11" i="81"/>
  <c r="AE11" i="81"/>
  <c r="AD11" i="81"/>
  <c r="AC11" i="81"/>
  <c r="AY11" i="81"/>
  <c r="AX11" i="81"/>
  <c r="AW11" i="81"/>
  <c r="AV11" i="81"/>
  <c r="BS11" i="81"/>
  <c r="BR11" i="81"/>
  <c r="BQ11" i="81"/>
  <c r="BP11" i="81"/>
  <c r="O12" i="81"/>
  <c r="N12" i="81"/>
  <c r="M12" i="81"/>
  <c r="P12" i="81"/>
  <c r="AG12" i="81"/>
  <c r="AJ12" i="81"/>
  <c r="AH12" i="81"/>
  <c r="AI12" i="81"/>
  <c r="BC12" i="81"/>
  <c r="BB12" i="81"/>
  <c r="BA12" i="81"/>
  <c r="BD12" i="81"/>
  <c r="BX12" i="81"/>
  <c r="BW12" i="81"/>
  <c r="BV12" i="81"/>
  <c r="BU12" i="81"/>
  <c r="T13" i="81"/>
  <c r="S13" i="81"/>
  <c r="R13" i="81"/>
  <c r="U13" i="81"/>
  <c r="AL13" i="81"/>
  <c r="AO13" i="81"/>
  <c r="AN13" i="81"/>
  <c r="AM13" i="81"/>
  <c r="BI13" i="81"/>
  <c r="BH13" i="81"/>
  <c r="BG13" i="81"/>
  <c r="BF13" i="81"/>
  <c r="E14" i="81"/>
  <c r="D14" i="81"/>
  <c r="C14" i="81"/>
  <c r="F14" i="81"/>
  <c r="W14" i="81"/>
  <c r="Z14" i="81"/>
  <c r="Y14" i="81"/>
  <c r="X14" i="81"/>
  <c r="AT14" i="81"/>
  <c r="AS14" i="81"/>
  <c r="AR14" i="81"/>
  <c r="AQ14" i="81"/>
  <c r="BM14" i="81"/>
  <c r="BL14" i="81"/>
  <c r="BK14" i="81"/>
  <c r="BN14" i="81"/>
  <c r="J15" i="81"/>
  <c r="I15" i="81"/>
  <c r="H15" i="81"/>
  <c r="K15" i="81"/>
  <c r="AB15" i="81"/>
  <c r="AE15" i="81"/>
  <c r="AD15" i="81"/>
  <c r="AC15" i="81"/>
  <c r="AX15" i="81"/>
  <c r="AW15" i="81"/>
  <c r="AV15" i="81"/>
  <c r="AY15" i="81"/>
  <c r="BS15" i="81"/>
  <c r="BR15" i="81"/>
  <c r="BQ15" i="81"/>
  <c r="BP15" i="81"/>
  <c r="O16" i="81"/>
  <c r="N16" i="81"/>
  <c r="M16" i="81"/>
  <c r="P16" i="81"/>
  <c r="AH16" i="81"/>
  <c r="AG16" i="81"/>
  <c r="AJ16" i="81"/>
  <c r="AI16" i="81"/>
  <c r="BC16" i="81"/>
  <c r="BB16" i="81"/>
  <c r="BA16" i="81"/>
  <c r="BD16" i="81"/>
  <c r="BX16" i="81"/>
  <c r="BW16" i="81"/>
  <c r="BV16" i="81"/>
  <c r="BU16" i="81"/>
  <c r="T17" i="81"/>
  <c r="S17" i="81"/>
  <c r="R17" i="81"/>
  <c r="U17" i="81"/>
  <c r="AL17" i="81"/>
  <c r="AO17" i="81"/>
  <c r="AN17" i="81"/>
  <c r="AM17" i="81"/>
  <c r="BI17" i="81"/>
  <c r="BH17" i="81"/>
  <c r="BG17" i="81"/>
  <c r="BF17" i="81"/>
  <c r="E18" i="81"/>
  <c r="D18" i="81"/>
  <c r="C18" i="81"/>
  <c r="F18" i="81"/>
  <c r="W18" i="81"/>
  <c r="Z18" i="81"/>
  <c r="Y18" i="81"/>
  <c r="X18" i="81"/>
  <c r="AT18" i="81"/>
  <c r="AS18" i="81"/>
  <c r="AR18" i="81"/>
  <c r="AQ18" i="81"/>
  <c r="BL18" i="81"/>
  <c r="BK18" i="81"/>
  <c r="BN18" i="81"/>
  <c r="BM18" i="81"/>
  <c r="J19" i="81"/>
  <c r="I19" i="81"/>
  <c r="H19" i="81"/>
  <c r="K19" i="81"/>
  <c r="AB19" i="81"/>
  <c r="AE19" i="81"/>
  <c r="AD19" i="81"/>
  <c r="AC19" i="81"/>
  <c r="AX19" i="81"/>
  <c r="AW19" i="81"/>
  <c r="AV19" i="81"/>
  <c r="AY19" i="81"/>
  <c r="BS19" i="81"/>
  <c r="BR19" i="81"/>
  <c r="BQ19" i="81"/>
  <c r="BP19" i="81"/>
  <c r="O20" i="81"/>
  <c r="N20" i="81"/>
  <c r="M20" i="81"/>
  <c r="P20" i="81"/>
  <c r="AH20" i="81"/>
  <c r="AG20" i="81"/>
  <c r="AJ20" i="81"/>
  <c r="AI20" i="81"/>
  <c r="BC20" i="81"/>
  <c r="BB20" i="81"/>
  <c r="BA20" i="81"/>
  <c r="BD20" i="81"/>
  <c r="BX20" i="81"/>
  <c r="BW20" i="81"/>
  <c r="BV20" i="81"/>
  <c r="BU20" i="81"/>
  <c r="T21" i="81"/>
  <c r="R21" i="81"/>
  <c r="U21" i="81"/>
  <c r="S21" i="81"/>
  <c r="AL21" i="81"/>
  <c r="AO21" i="81"/>
  <c r="AN21" i="81"/>
  <c r="AM21" i="81"/>
  <c r="BI21" i="81"/>
  <c r="BH21" i="81"/>
  <c r="BG21" i="81"/>
  <c r="BF21" i="81"/>
  <c r="AL9" i="81"/>
  <c r="AO9" i="81"/>
  <c r="AN9" i="81"/>
  <c r="AM9" i="81"/>
  <c r="W10" i="81"/>
  <c r="Z10" i="81"/>
  <c r="Y10" i="81"/>
  <c r="X10" i="81"/>
  <c r="BS10" i="81"/>
  <c r="BR10" i="81"/>
  <c r="BQ10" i="81"/>
  <c r="BP10" i="81"/>
  <c r="AJ11" i="81"/>
  <c r="AG11" i="81"/>
  <c r="AI11" i="81"/>
  <c r="AH11" i="81"/>
  <c r="BX11" i="81"/>
  <c r="BW11" i="81"/>
  <c r="BV11" i="81"/>
  <c r="BU11" i="81"/>
  <c r="AL12" i="81"/>
  <c r="AO12" i="81"/>
  <c r="AN12" i="81"/>
  <c r="AM12" i="81"/>
  <c r="E13" i="81"/>
  <c r="D13" i="81"/>
  <c r="C13" i="81"/>
  <c r="F13" i="81"/>
  <c r="AT13" i="81"/>
  <c r="AS13" i="81"/>
  <c r="AR13" i="81"/>
  <c r="AQ13" i="81"/>
  <c r="AB14" i="81"/>
  <c r="AE14" i="81"/>
  <c r="AD14" i="81"/>
  <c r="AC14" i="81"/>
  <c r="BS14" i="81"/>
  <c r="BR14" i="81"/>
  <c r="BQ14" i="81"/>
  <c r="BP14" i="81"/>
  <c r="AG15" i="81"/>
  <c r="AJ15" i="81"/>
  <c r="AH15" i="81"/>
  <c r="AI15" i="81"/>
  <c r="BX15" i="81"/>
  <c r="BW15" i="81"/>
  <c r="BV15" i="81"/>
  <c r="BU15" i="81"/>
  <c r="AL16" i="81"/>
  <c r="AO16" i="81"/>
  <c r="AN16" i="81"/>
  <c r="AM16" i="81"/>
  <c r="E17" i="81"/>
  <c r="D17" i="81"/>
  <c r="C17" i="81"/>
  <c r="F17" i="81"/>
  <c r="AT17" i="81"/>
  <c r="AS17" i="81"/>
  <c r="AR17" i="81"/>
  <c r="AQ17" i="81"/>
  <c r="J18" i="81"/>
  <c r="I18" i="81"/>
  <c r="H18" i="81"/>
  <c r="K18" i="81"/>
  <c r="AX18" i="81"/>
  <c r="AW18" i="81"/>
  <c r="AV18" i="81"/>
  <c r="AY18" i="81"/>
  <c r="BS18" i="81"/>
  <c r="BR18" i="81"/>
  <c r="BQ18" i="81"/>
  <c r="BP18" i="81"/>
  <c r="O19" i="81"/>
  <c r="N19" i="81"/>
  <c r="M19" i="81"/>
  <c r="P19" i="81"/>
  <c r="AH19" i="81"/>
  <c r="AG19" i="81"/>
  <c r="AJ19" i="81"/>
  <c r="AI19" i="81"/>
  <c r="BX19" i="81"/>
  <c r="BW19" i="81"/>
  <c r="BV19" i="81"/>
  <c r="BU19" i="81"/>
  <c r="T20" i="81"/>
  <c r="S20" i="81"/>
  <c r="U20" i="81"/>
  <c r="R20" i="81"/>
  <c r="AL20" i="81"/>
  <c r="AO20" i="81"/>
  <c r="AN20" i="81"/>
  <c r="AM20" i="81"/>
  <c r="BI20" i="81"/>
  <c r="BH20" i="81"/>
  <c r="BG20" i="81"/>
  <c r="BF20" i="81"/>
  <c r="E21" i="81"/>
  <c r="D21" i="81"/>
  <c r="C21" i="81"/>
  <c r="F21" i="81"/>
  <c r="W21" i="81"/>
  <c r="Z21" i="81"/>
  <c r="Y21" i="81"/>
  <c r="X21" i="81"/>
  <c r="AT21" i="81"/>
  <c r="AS21" i="81"/>
  <c r="AR21" i="81"/>
  <c r="AQ21" i="81"/>
  <c r="BL21" i="81"/>
  <c r="BK21" i="81"/>
  <c r="BN21" i="81"/>
  <c r="BM21" i="81"/>
  <c r="T9" i="81"/>
  <c r="S9" i="81"/>
  <c r="R9" i="81"/>
  <c r="U9" i="81"/>
  <c r="E10" i="81"/>
  <c r="D10" i="81"/>
  <c r="C10" i="81"/>
  <c r="F10" i="81"/>
  <c r="AY10" i="81"/>
  <c r="AX10" i="81"/>
  <c r="AW10" i="81"/>
  <c r="AV10" i="81"/>
  <c r="O11" i="81"/>
  <c r="N11" i="81"/>
  <c r="M11" i="81"/>
  <c r="P11" i="81"/>
  <c r="BC11" i="81"/>
  <c r="BB11" i="81"/>
  <c r="BA11" i="81"/>
  <c r="BD11" i="81"/>
  <c r="T12" i="81"/>
  <c r="S12" i="81"/>
  <c r="R12" i="81"/>
  <c r="U12" i="81"/>
  <c r="BI12" i="81"/>
  <c r="BH12" i="81"/>
  <c r="BG12" i="81"/>
  <c r="BF12" i="81"/>
  <c r="W13" i="81"/>
  <c r="Z13" i="81"/>
  <c r="Y13" i="81"/>
  <c r="X13" i="81"/>
  <c r="BL13" i="81"/>
  <c r="BK13" i="81"/>
  <c r="BN13" i="81"/>
  <c r="BM13" i="81"/>
  <c r="J14" i="81"/>
  <c r="I14" i="81"/>
  <c r="H14" i="81"/>
  <c r="K14" i="81"/>
  <c r="AY14" i="81"/>
  <c r="AX14" i="81"/>
  <c r="AW14" i="81"/>
  <c r="AV14" i="81"/>
  <c r="O15" i="81"/>
  <c r="N15" i="81"/>
  <c r="M15" i="81"/>
  <c r="P15" i="81"/>
  <c r="BC15" i="81"/>
  <c r="BB15" i="81"/>
  <c r="BA15" i="81"/>
  <c r="BD15" i="81"/>
  <c r="T16" i="81"/>
  <c r="S16" i="81"/>
  <c r="R16" i="81"/>
  <c r="U16" i="81"/>
  <c r="BI16" i="81"/>
  <c r="BH16" i="81"/>
  <c r="BG16" i="81"/>
  <c r="BF16" i="81"/>
  <c r="W17" i="81"/>
  <c r="Z17" i="81"/>
  <c r="Y17" i="81"/>
  <c r="X17" i="81"/>
  <c r="BM17" i="81"/>
  <c r="BL17" i="81"/>
  <c r="BK17" i="81"/>
  <c r="BN17" i="81"/>
  <c r="AB18" i="81"/>
  <c r="AE18" i="81"/>
  <c r="AD18" i="81"/>
  <c r="AC18" i="81"/>
  <c r="BC19" i="81"/>
  <c r="BB19" i="81"/>
  <c r="BA19" i="81"/>
  <c r="BD19" i="81"/>
  <c r="W9" i="81"/>
  <c r="Z9" i="81"/>
  <c r="Y9" i="81"/>
  <c r="X9" i="81"/>
  <c r="AT9" i="81"/>
  <c r="AS9" i="81"/>
  <c r="AR9" i="81"/>
  <c r="AQ9" i="81"/>
  <c r="BL9" i="81"/>
  <c r="BK9" i="81"/>
  <c r="BN9" i="81"/>
  <c r="BM9" i="81"/>
  <c r="J10" i="81"/>
  <c r="I10" i="81"/>
  <c r="H10" i="81"/>
  <c r="K10" i="81"/>
  <c r="AB10" i="81"/>
  <c r="AE10" i="81"/>
  <c r="AD10" i="81"/>
  <c r="AC10" i="81"/>
  <c r="BC10" i="81"/>
  <c r="BB10" i="81"/>
  <c r="BA10" i="81"/>
  <c r="BD10" i="81"/>
  <c r="BX10" i="81"/>
  <c r="BW10" i="81"/>
  <c r="BV10" i="81"/>
  <c r="BU10" i="81"/>
  <c r="T11" i="81"/>
  <c r="S11" i="81"/>
  <c r="R11" i="81"/>
  <c r="U11" i="81"/>
  <c r="AL11" i="81"/>
  <c r="AO11" i="81"/>
  <c r="AN11" i="81"/>
  <c r="AM11" i="81"/>
  <c r="BI11" i="81"/>
  <c r="BH11" i="81"/>
  <c r="BG11" i="81"/>
  <c r="BF11" i="81"/>
  <c r="E12" i="81"/>
  <c r="D12" i="81"/>
  <c r="C12" i="81"/>
  <c r="F12" i="81"/>
  <c r="W12" i="81"/>
  <c r="Z12" i="81"/>
  <c r="Y12" i="81"/>
  <c r="X12" i="81"/>
  <c r="AT12" i="81"/>
  <c r="AS12" i="81"/>
  <c r="AR12" i="81"/>
  <c r="AQ12" i="81"/>
  <c r="BL12" i="81"/>
  <c r="BK12" i="81"/>
  <c r="BN12" i="81"/>
  <c r="BM12" i="81"/>
  <c r="J13" i="81"/>
  <c r="I13" i="81"/>
  <c r="H13" i="81"/>
  <c r="K13" i="81"/>
  <c r="AB13" i="81"/>
  <c r="AE13" i="81"/>
  <c r="AD13" i="81"/>
  <c r="AC13" i="81"/>
  <c r="AY13" i="81"/>
  <c r="AX13" i="81"/>
  <c r="AW13" i="81"/>
  <c r="AV13" i="81"/>
  <c r="BS13" i="81"/>
  <c r="BR13" i="81"/>
  <c r="BQ13" i="81"/>
  <c r="BP13" i="81"/>
  <c r="O14" i="81"/>
  <c r="N14" i="81"/>
  <c r="M14" i="81"/>
  <c r="P14" i="81"/>
  <c r="AG14" i="81"/>
  <c r="AJ14" i="81"/>
  <c r="AI14" i="81"/>
  <c r="AH14" i="81"/>
  <c r="BC14" i="81"/>
  <c r="BB14" i="81"/>
  <c r="BA14" i="81"/>
  <c r="BD14" i="81"/>
  <c r="BX14" i="81"/>
  <c r="BW14" i="81"/>
  <c r="BV14" i="81"/>
  <c r="BU14" i="81"/>
  <c r="T15" i="81"/>
  <c r="S15" i="81"/>
  <c r="R15" i="81"/>
  <c r="U15" i="81"/>
  <c r="AL15" i="81"/>
  <c r="AO15" i="81"/>
  <c r="AN15" i="81"/>
  <c r="AM15" i="81"/>
  <c r="BI15" i="81"/>
  <c r="BH15" i="81"/>
  <c r="BG15" i="81"/>
  <c r="BF15" i="81"/>
  <c r="E16" i="81"/>
  <c r="D16" i="81"/>
  <c r="C16" i="81"/>
  <c r="F16" i="81"/>
  <c r="W16" i="81"/>
  <c r="Z16" i="81"/>
  <c r="Y16" i="81"/>
  <c r="X16" i="81"/>
  <c r="AT16" i="81"/>
  <c r="AS16" i="81"/>
  <c r="AR16" i="81"/>
  <c r="AQ16" i="81"/>
  <c r="BL16" i="81"/>
  <c r="BK16" i="81"/>
  <c r="BN16" i="81"/>
  <c r="BM16" i="81"/>
  <c r="J17" i="81"/>
  <c r="I17" i="81"/>
  <c r="H17" i="81"/>
  <c r="K17" i="81"/>
  <c r="AB17" i="81"/>
  <c r="AE17" i="81"/>
  <c r="AD17" i="81"/>
  <c r="AC17" i="81"/>
  <c r="AX17" i="81"/>
  <c r="AW17" i="81"/>
  <c r="AV17" i="81"/>
  <c r="AY17" i="81"/>
  <c r="BS17" i="81"/>
  <c r="BR17" i="81"/>
  <c r="BQ17" i="81"/>
  <c r="BP17" i="81"/>
  <c r="O18" i="81"/>
  <c r="N18" i="81"/>
  <c r="M18" i="81"/>
  <c r="P18" i="81"/>
  <c r="AH18" i="81"/>
  <c r="AG18" i="81"/>
  <c r="AJ18" i="81"/>
  <c r="AI18" i="81"/>
  <c r="BC18" i="81"/>
  <c r="BB18" i="81"/>
  <c r="BA18" i="81"/>
  <c r="BD18" i="81"/>
  <c r="BX18" i="81"/>
  <c r="BW18" i="81"/>
  <c r="BV18" i="81"/>
  <c r="BU18" i="81"/>
  <c r="T19" i="81"/>
  <c r="S19" i="81"/>
  <c r="R19" i="81"/>
  <c r="U19" i="81"/>
  <c r="AL19" i="81"/>
  <c r="AO19" i="81"/>
  <c r="AN19" i="81"/>
  <c r="AM19" i="81"/>
  <c r="BI19" i="81"/>
  <c r="BH19" i="81"/>
  <c r="BG19" i="81"/>
  <c r="BF19" i="81"/>
  <c r="E20" i="81"/>
  <c r="D20" i="81"/>
  <c r="C20" i="81"/>
  <c r="F20" i="81"/>
  <c r="W20" i="81"/>
  <c r="Z20" i="81"/>
  <c r="Y20" i="81"/>
  <c r="X20" i="81"/>
  <c r="AT20" i="81"/>
  <c r="AS20" i="81"/>
  <c r="AR20" i="81"/>
  <c r="AQ20" i="81"/>
  <c r="BM20" i="81"/>
  <c r="BL20" i="81"/>
  <c r="BK20" i="81"/>
  <c r="BN20" i="81"/>
  <c r="J21" i="81"/>
  <c r="I21" i="81"/>
  <c r="H21" i="81"/>
  <c r="K21" i="81"/>
  <c r="AB21" i="81"/>
  <c r="AE21" i="81"/>
  <c r="AD21" i="81"/>
  <c r="AC21" i="81"/>
  <c r="AX21" i="81"/>
  <c r="AW21" i="81"/>
  <c r="AV21" i="81"/>
  <c r="AY21" i="81"/>
  <c r="BS21" i="81"/>
  <c r="BR21" i="81"/>
  <c r="BQ21" i="81"/>
  <c r="BP21" i="81"/>
  <c r="J9" i="81"/>
  <c r="I9" i="81"/>
  <c r="H9" i="81"/>
  <c r="K9" i="81"/>
  <c r="BS9" i="81"/>
  <c r="BR9" i="81"/>
  <c r="BQ9" i="81"/>
  <c r="BP9" i="81"/>
  <c r="BI10" i="81"/>
  <c r="BH10" i="81"/>
  <c r="BG10" i="81"/>
  <c r="BF10" i="81"/>
  <c r="AT11" i="81"/>
  <c r="AS11" i="81"/>
  <c r="AR11" i="81"/>
  <c r="AQ11" i="81"/>
  <c r="J12" i="81"/>
  <c r="I12" i="81"/>
  <c r="H12" i="81"/>
  <c r="K12" i="81"/>
  <c r="BS12" i="81"/>
  <c r="BR12" i="81"/>
  <c r="BQ12" i="81"/>
  <c r="BP12" i="81"/>
  <c r="AH13" i="81"/>
  <c r="AG13" i="81"/>
  <c r="AJ13" i="81"/>
  <c r="AI13" i="81"/>
  <c r="T14" i="81"/>
  <c r="S14" i="81"/>
  <c r="R14" i="81"/>
  <c r="U14" i="81"/>
  <c r="BI14" i="81"/>
  <c r="BH14" i="81"/>
  <c r="BG14" i="81"/>
  <c r="BF14" i="81"/>
  <c r="AT15" i="81"/>
  <c r="AS15" i="81"/>
  <c r="AR15" i="81"/>
  <c r="AQ15" i="81"/>
  <c r="J16" i="81"/>
  <c r="I16" i="81"/>
  <c r="H16" i="81"/>
  <c r="K16" i="81"/>
  <c r="AX16" i="81"/>
  <c r="AW16" i="81"/>
  <c r="AV16" i="81"/>
  <c r="AY16" i="81"/>
  <c r="O17" i="81"/>
  <c r="N17" i="81"/>
  <c r="M17" i="81"/>
  <c r="P17" i="81"/>
  <c r="BC17" i="81"/>
  <c r="BB17" i="81"/>
  <c r="BA17" i="81"/>
  <c r="BD17" i="81"/>
  <c r="BX17" i="81"/>
  <c r="BW17" i="81"/>
  <c r="BV17" i="81"/>
  <c r="BU17" i="81"/>
  <c r="T18" i="81"/>
  <c r="S18" i="81"/>
  <c r="R18" i="81"/>
  <c r="U18" i="81"/>
  <c r="AL18" i="81"/>
  <c r="AO18" i="81"/>
  <c r="AN18" i="81"/>
  <c r="AM18" i="81"/>
  <c r="BI18" i="81"/>
  <c r="BH18" i="81"/>
  <c r="BG18" i="81"/>
  <c r="BF18" i="81"/>
  <c r="E19" i="81"/>
  <c r="D19" i="81"/>
  <c r="C19" i="81"/>
  <c r="F19" i="81"/>
  <c r="W19" i="81"/>
  <c r="Z19" i="81"/>
  <c r="Y19" i="81"/>
  <c r="X19" i="81"/>
  <c r="AT19" i="81"/>
  <c r="AS19" i="81"/>
  <c r="AR19" i="81"/>
  <c r="AQ19" i="81"/>
  <c r="BL19" i="81"/>
  <c r="BK19" i="81"/>
  <c r="BN19" i="81"/>
  <c r="BM19" i="81"/>
  <c r="J20" i="81"/>
  <c r="I20" i="81"/>
  <c r="H20" i="81"/>
  <c r="K20" i="81"/>
  <c r="AB20" i="81"/>
  <c r="AE20" i="81"/>
  <c r="AD20" i="81"/>
  <c r="AC20" i="81"/>
  <c r="AX20" i="81"/>
  <c r="AW20" i="81"/>
  <c r="AV20" i="81"/>
  <c r="AY20" i="81"/>
  <c r="BS20" i="81"/>
  <c r="BR20" i="81"/>
  <c r="BQ20" i="81"/>
  <c r="BP20" i="81"/>
  <c r="O21" i="81"/>
  <c r="N21" i="81"/>
  <c r="M21" i="81"/>
  <c r="P21" i="81"/>
  <c r="AH21" i="81"/>
  <c r="AG21" i="81"/>
  <c r="AJ21" i="81"/>
  <c r="AI21" i="81"/>
  <c r="BC21" i="81"/>
  <c r="BB21" i="81"/>
  <c r="BA21" i="81"/>
  <c r="BD21" i="81"/>
  <c r="BX21" i="81"/>
  <c r="BW21" i="81"/>
  <c r="BV21" i="81"/>
  <c r="BU21" i="81"/>
  <c r="B9" i="81"/>
  <c r="BT8" i="81"/>
  <c r="BO8" i="81"/>
  <c r="BJ8" i="81"/>
  <c r="BE8" i="81"/>
  <c r="AZ8" i="81"/>
  <c r="AU8" i="81"/>
  <c r="AP8" i="81"/>
  <c r="AK8" i="81"/>
  <c r="AF8" i="81"/>
  <c r="AA8" i="81"/>
  <c r="V8" i="81"/>
  <c r="Q8" i="81"/>
  <c r="L8" i="81"/>
  <c r="G8" i="81"/>
  <c r="B8" i="81"/>
  <c r="BT7" i="81"/>
  <c r="BO7" i="81"/>
  <c r="BJ7" i="81"/>
  <c r="BE7" i="81"/>
  <c r="AZ7" i="81"/>
  <c r="AU7" i="81"/>
  <c r="AP7" i="81"/>
  <c r="AK7" i="81"/>
  <c r="AF7" i="81"/>
  <c r="AA7" i="81"/>
  <c r="V7" i="81"/>
  <c r="Q7" i="81"/>
  <c r="L7" i="81"/>
  <c r="G7" i="81"/>
  <c r="B7" i="81"/>
  <c r="AB7" i="81" l="1"/>
  <c r="AE7" i="81"/>
  <c r="AD7" i="81"/>
  <c r="AC7" i="81"/>
  <c r="AJ7" i="81"/>
  <c r="AH7" i="81"/>
  <c r="AI7" i="81"/>
  <c r="AG7" i="81"/>
  <c r="T8" i="81"/>
  <c r="S8" i="81"/>
  <c r="R8" i="81"/>
  <c r="U8" i="81"/>
  <c r="BI8" i="81"/>
  <c r="BH8" i="81"/>
  <c r="BG8" i="81"/>
  <c r="BF8" i="81"/>
  <c r="E9" i="81"/>
  <c r="D9" i="81"/>
  <c r="C9" i="81"/>
  <c r="F9" i="81"/>
  <c r="T7" i="81"/>
  <c r="S7" i="81"/>
  <c r="R7" i="81"/>
  <c r="U7" i="81"/>
  <c r="AL7" i="81"/>
  <c r="AO7" i="81"/>
  <c r="AN7" i="81"/>
  <c r="AM7" i="81"/>
  <c r="BI7" i="81"/>
  <c r="BH7" i="81"/>
  <c r="BG7" i="81"/>
  <c r="BF7" i="81"/>
  <c r="E8" i="81"/>
  <c r="D8" i="81"/>
  <c r="F8" i="81"/>
  <c r="C8" i="81"/>
  <c r="W8" i="81"/>
  <c r="Z8" i="81"/>
  <c r="Y8" i="81"/>
  <c r="X8" i="81"/>
  <c r="AT8" i="81"/>
  <c r="AS8" i="81"/>
  <c r="AR8" i="81"/>
  <c r="AQ8" i="81"/>
  <c r="BM8" i="81"/>
  <c r="BL8" i="81"/>
  <c r="BK8" i="81"/>
  <c r="BN8" i="81"/>
  <c r="BS7" i="81"/>
  <c r="BR7" i="81"/>
  <c r="BQ7" i="81"/>
  <c r="BP7" i="81"/>
  <c r="O7" i="81"/>
  <c r="N7" i="81"/>
  <c r="M7" i="81"/>
  <c r="P7" i="81"/>
  <c r="BC7" i="81"/>
  <c r="BB7" i="81"/>
  <c r="BA7" i="81"/>
  <c r="BD7" i="81"/>
  <c r="AL8" i="81"/>
  <c r="AO8" i="81"/>
  <c r="AN8" i="81"/>
  <c r="AM8" i="81"/>
  <c r="F7" i="81"/>
  <c r="E7" i="81"/>
  <c r="D7" i="81"/>
  <c r="C7" i="81"/>
  <c r="W7" i="81"/>
  <c r="Z7" i="81"/>
  <c r="Y7" i="81"/>
  <c r="X7" i="81"/>
  <c r="AT7" i="81"/>
  <c r="AS7" i="81"/>
  <c r="AR7" i="81"/>
  <c r="AQ7" i="81"/>
  <c r="BL7" i="81"/>
  <c r="BK7" i="81"/>
  <c r="BN7" i="81"/>
  <c r="BM7" i="81"/>
  <c r="J8" i="81"/>
  <c r="I8" i="81"/>
  <c r="H8" i="81"/>
  <c r="K8" i="81"/>
  <c r="AB8" i="81"/>
  <c r="AE8" i="81"/>
  <c r="AD8" i="81"/>
  <c r="AC8" i="81"/>
  <c r="AY8" i="81"/>
  <c r="AX8" i="81"/>
  <c r="AW8" i="81"/>
  <c r="AV8" i="81"/>
  <c r="BS8" i="81"/>
  <c r="BR8" i="81"/>
  <c r="BQ8" i="81"/>
  <c r="BP8" i="81"/>
  <c r="AY7" i="81"/>
  <c r="AX7" i="81"/>
  <c r="AW7" i="81"/>
  <c r="AV7" i="81"/>
  <c r="BC8" i="81"/>
  <c r="BB8" i="81"/>
  <c r="BA8" i="81"/>
  <c r="BD8" i="81"/>
  <c r="J7" i="81"/>
  <c r="I7" i="81"/>
  <c r="H7" i="81"/>
  <c r="K7" i="81"/>
  <c r="O8" i="81"/>
  <c r="N8" i="81"/>
  <c r="M8" i="81"/>
  <c r="P8" i="81"/>
  <c r="AJ8" i="81"/>
  <c r="AG8" i="81"/>
  <c r="AI8" i="81"/>
  <c r="AH8" i="81"/>
  <c r="BX8" i="81"/>
  <c r="BW8" i="81"/>
  <c r="BV8" i="81"/>
  <c r="BU8" i="81"/>
  <c r="BX7" i="81"/>
  <c r="BW7" i="81"/>
  <c r="BV7" i="81"/>
  <c r="BU7" i="81"/>
  <c r="BT6" i="81"/>
  <c r="BO6" i="81"/>
  <c r="BJ6" i="81"/>
  <c r="BE6" i="81"/>
  <c r="AZ6" i="81"/>
  <c r="AU6" i="81"/>
  <c r="AP6" i="81"/>
  <c r="AK6" i="81"/>
  <c r="AF6" i="81"/>
  <c r="AA6" i="81"/>
  <c r="V6" i="81"/>
  <c r="Q6" i="81"/>
  <c r="L6" i="81"/>
  <c r="G6" i="81"/>
  <c r="B2" i="81"/>
  <c r="B3" i="81"/>
  <c r="B4" i="81"/>
  <c r="B5" i="81"/>
  <c r="B6" i="81"/>
  <c r="O6" i="81" l="1"/>
  <c r="N6" i="81"/>
  <c r="M6" i="81"/>
  <c r="P6" i="81"/>
  <c r="BC6" i="81"/>
  <c r="BB6" i="81"/>
  <c r="BA6" i="81"/>
  <c r="BD6" i="81"/>
  <c r="F3" i="81"/>
  <c r="C3" i="81"/>
  <c r="E3" i="81"/>
  <c r="D3" i="81"/>
  <c r="T6" i="81"/>
  <c r="S6" i="81"/>
  <c r="R6" i="81"/>
  <c r="U6" i="81"/>
  <c r="AL6" i="81"/>
  <c r="AO6" i="81"/>
  <c r="AN6" i="81"/>
  <c r="AM6" i="81"/>
  <c r="BI6" i="81"/>
  <c r="BH6" i="81"/>
  <c r="BG6" i="81"/>
  <c r="BF6" i="81"/>
  <c r="F5" i="81"/>
  <c r="E5" i="81"/>
  <c r="D5" i="81"/>
  <c r="C5" i="81"/>
  <c r="AY6" i="81"/>
  <c r="AX6" i="81"/>
  <c r="AW6" i="81"/>
  <c r="AV6" i="81"/>
  <c r="BS6" i="81"/>
  <c r="BR6" i="81"/>
  <c r="BQ6" i="81"/>
  <c r="BP6" i="81"/>
  <c r="E4" i="81"/>
  <c r="C4" i="81"/>
  <c r="D4" i="81"/>
  <c r="F4" i="81"/>
  <c r="AG6" i="81"/>
  <c r="AJ6" i="81"/>
  <c r="AI6" i="81"/>
  <c r="AH6" i="81"/>
  <c r="BX6" i="81"/>
  <c r="BW6" i="81"/>
  <c r="BV6" i="81"/>
  <c r="BU6" i="81"/>
  <c r="F6" i="81"/>
  <c r="E6" i="81"/>
  <c r="D6" i="81"/>
  <c r="C6" i="81"/>
  <c r="W6" i="81"/>
  <c r="Z6" i="81"/>
  <c r="Y6" i="81"/>
  <c r="X6" i="81"/>
  <c r="AT6" i="81"/>
  <c r="AS6" i="81"/>
  <c r="AR6" i="81"/>
  <c r="AQ6" i="81"/>
  <c r="BL6" i="81"/>
  <c r="BK6" i="81"/>
  <c r="BN6" i="81"/>
  <c r="BM6" i="81"/>
  <c r="J6" i="81"/>
  <c r="I6" i="81"/>
  <c r="H6" i="81"/>
  <c r="K6" i="81"/>
  <c r="AB6" i="81"/>
  <c r="AE6" i="81"/>
  <c r="AD6" i="81"/>
  <c r="AC6" i="81"/>
  <c r="F2" i="81"/>
  <c r="C2" i="81"/>
  <c r="E2" i="81"/>
  <c r="A90" i="81"/>
  <c r="A89" i="81"/>
  <c r="A88" i="81"/>
  <c r="A87" i="81"/>
  <c r="A86" i="81"/>
  <c r="A85" i="81"/>
  <c r="A84" i="81"/>
  <c r="A83" i="81"/>
  <c r="A82" i="81"/>
  <c r="A81" i="81"/>
  <c r="A80" i="81"/>
  <c r="A79" i="81"/>
  <c r="A78" i="81"/>
  <c r="A77" i="81"/>
  <c r="A76" i="81"/>
  <c r="A75" i="81"/>
  <c r="A74" i="81"/>
  <c r="A73" i="81"/>
  <c r="A72" i="81"/>
  <c r="A71" i="81"/>
  <c r="A70" i="81"/>
  <c r="A69" i="81"/>
  <c r="A68" i="81"/>
  <c r="A67" i="81"/>
  <c r="A65" i="81"/>
  <c r="A64" i="81"/>
  <c r="A63" i="81"/>
  <c r="A62" i="81"/>
  <c r="A61" i="81"/>
  <c r="A60" i="81"/>
  <c r="A59" i="81"/>
  <c r="A58" i="81"/>
  <c r="A57" i="81"/>
  <c r="A56" i="81"/>
  <c r="A55" i="81"/>
  <c r="A54" i="81"/>
  <c r="A53" i="81"/>
  <c r="A52" i="81"/>
  <c r="A51" i="81"/>
  <c r="A50" i="81"/>
  <c r="A49" i="81"/>
  <c r="A48" i="81"/>
  <c r="A47" i="81"/>
  <c r="A46" i="81"/>
  <c r="A45" i="81"/>
  <c r="A44" i="81"/>
  <c r="A43" i="81"/>
  <c r="A42" i="81"/>
  <c r="A41" i="81"/>
  <c r="A40" i="81"/>
  <c r="A39" i="81"/>
  <c r="A38" i="81"/>
  <c r="A37" i="81"/>
  <c r="A36" i="81"/>
  <c r="A35" i="81"/>
  <c r="A34" i="81"/>
  <c r="A33" i="81"/>
  <c r="A32" i="81"/>
  <c r="A31" i="81"/>
  <c r="A30" i="81"/>
  <c r="A29" i="81"/>
  <c r="A28" i="81"/>
  <c r="A27" i="81"/>
  <c r="A26" i="81"/>
  <c r="A25" i="81"/>
  <c r="A24" i="81"/>
  <c r="A23" i="81"/>
  <c r="A22" i="81"/>
  <c r="A21" i="81"/>
  <c r="A20" i="81"/>
  <c r="A19" i="81"/>
  <c r="A18" i="81"/>
  <c r="A17" i="81"/>
  <c r="A16" i="81"/>
  <c r="A15" i="81"/>
  <c r="A14" i="81"/>
  <c r="A13" i="81"/>
  <c r="A12" i="81"/>
  <c r="A11" i="81"/>
  <c r="A10" i="81"/>
  <c r="A9" i="81"/>
  <c r="A8" i="81"/>
  <c r="A7" i="81"/>
  <c r="A6" i="81"/>
  <c r="A5" i="81"/>
  <c r="D10" i="80" l="1"/>
  <c r="C35" i="80"/>
  <c r="C34" i="80"/>
  <c r="C33" i="80"/>
  <c r="D9" i="80" l="1"/>
  <c r="J9" i="80" s="1"/>
  <c r="A63" i="77" l="1"/>
  <c r="A62" i="77"/>
  <c r="A61" i="77"/>
  <c r="A60" i="77"/>
  <c r="A59" i="77"/>
  <c r="A58" i="77"/>
  <c r="A57" i="77"/>
  <c r="A56" i="77"/>
  <c r="A54" i="77"/>
  <c r="A55" i="77"/>
  <c r="A53" i="77"/>
  <c r="A52" i="77"/>
  <c r="D52" i="77"/>
  <c r="A51" i="77"/>
  <c r="A50" i="77"/>
  <c r="A49" i="77"/>
  <c r="A48" i="77"/>
  <c r="A47" i="77"/>
  <c r="A46" i="77"/>
  <c r="A45" i="77"/>
  <c r="A44" i="77"/>
  <c r="B63" i="77"/>
  <c r="B58" i="77"/>
  <c r="B56" i="77"/>
  <c r="B53" i="77"/>
  <c r="B52" i="77"/>
  <c r="B48" i="77"/>
  <c r="B47" i="77"/>
  <c r="B46" i="77"/>
  <c r="B45" i="77"/>
  <c r="B44" i="77"/>
  <c r="B40" i="77"/>
  <c r="B39" i="77"/>
  <c r="B38" i="77"/>
  <c r="B37" i="77"/>
  <c r="B36" i="77"/>
  <c r="B31" i="77"/>
  <c r="B27" i="77"/>
  <c r="B26" i="77"/>
  <c r="B25" i="77"/>
  <c r="B24" i="77"/>
  <c r="B23" i="77"/>
  <c r="B22" i="77"/>
  <c r="B21" i="77"/>
  <c r="B20" i="77"/>
  <c r="B19" i="77"/>
  <c r="B18" i="77"/>
  <c r="B17" i="77"/>
  <c r="B16" i="77"/>
  <c r="B15" i="77"/>
  <c r="B14" i="77"/>
  <c r="B13" i="77"/>
  <c r="B12" i="77"/>
  <c r="B11" i="77"/>
  <c r="C44" i="77"/>
  <c r="L44" i="77" s="1"/>
  <c r="C62" i="77"/>
  <c r="E62" i="77" s="1"/>
  <c r="C53" i="77"/>
  <c r="E53" i="77" s="1"/>
  <c r="C54" i="77"/>
  <c r="E54" i="77" s="1"/>
  <c r="C58" i="77"/>
  <c r="L58" i="77" s="1"/>
  <c r="D44" i="77"/>
  <c r="A43" i="77"/>
  <c r="A42" i="77"/>
  <c r="A41" i="77"/>
  <c r="A40" i="77"/>
  <c r="C42" i="77"/>
  <c r="L42" i="77" s="1"/>
  <c r="D2" i="81"/>
  <c r="I2" i="81"/>
  <c r="S2" i="81"/>
  <c r="N2" i="81"/>
  <c r="A39" i="77"/>
  <c r="A38" i="77"/>
  <c r="A37" i="77"/>
  <c r="A36" i="77"/>
  <c r="A35" i="77"/>
  <c r="A34" i="77"/>
  <c r="C12" i="77"/>
  <c r="L12" i="77" s="1"/>
  <c r="A33" i="77"/>
  <c r="A32" i="77"/>
  <c r="A31" i="77"/>
  <c r="A30" i="77"/>
  <c r="A29" i="77"/>
  <c r="A28" i="77"/>
  <c r="A27" i="77"/>
  <c r="A26" i="77"/>
  <c r="A25" i="77"/>
  <c r="A24" i="77"/>
  <c r="A23" i="77"/>
  <c r="A22" i="77"/>
  <c r="A21" i="77"/>
  <c r="A20" i="77"/>
  <c r="A19" i="77"/>
  <c r="A18" i="77"/>
  <c r="A17" i="77"/>
  <c r="A16" i="77"/>
  <c r="A15" i="77"/>
  <c r="A14" i="77"/>
  <c r="A13" i="77"/>
  <c r="A12" i="77"/>
  <c r="A11" i="77"/>
  <c r="A10" i="77"/>
  <c r="A9" i="77"/>
  <c r="D25" i="77"/>
  <c r="L62" i="77" l="1"/>
  <c r="E58" i="77"/>
  <c r="E44" i="77"/>
  <c r="C28" i="77"/>
  <c r="E28" i="77" s="1"/>
  <c r="C36" i="77"/>
  <c r="E36" i="77" s="1"/>
  <c r="L54" i="77"/>
  <c r="C63" i="77"/>
  <c r="E63" i="77" s="1"/>
  <c r="C39" i="77"/>
  <c r="L39" i="77" s="1"/>
  <c r="C41" i="77"/>
  <c r="L41" i="77" s="1"/>
  <c r="D19" i="77"/>
  <c r="D57" i="77"/>
  <c r="D59" i="77"/>
  <c r="D60" i="77"/>
  <c r="D14" i="77"/>
  <c r="D32" i="77"/>
  <c r="D35" i="77"/>
  <c r="D51" i="77"/>
  <c r="D55" i="77"/>
  <c r="D63" i="77"/>
  <c r="D48" i="77"/>
  <c r="D18" i="77"/>
  <c r="D38" i="77"/>
  <c r="D26" i="77"/>
  <c r="D33" i="77"/>
  <c r="D90" i="81"/>
  <c r="B10" i="77"/>
  <c r="C10" i="77"/>
  <c r="L10" i="77" s="1"/>
  <c r="D28" i="77"/>
  <c r="D36" i="77"/>
  <c r="C18" i="77"/>
  <c r="L18" i="77" s="1"/>
  <c r="C27" i="77"/>
  <c r="L27" i="77" s="1"/>
  <c r="C19" i="77"/>
  <c r="L19" i="77" s="1"/>
  <c r="L53" i="77"/>
  <c r="D58" i="77"/>
  <c r="C56" i="77"/>
  <c r="E56" i="77" s="1"/>
  <c r="C35" i="77"/>
  <c r="C48" i="77"/>
  <c r="C52" i="77"/>
  <c r="C23" i="77"/>
  <c r="L23" i="77" s="1"/>
  <c r="D27" i="77"/>
  <c r="D21" i="77"/>
  <c r="C32" i="77"/>
  <c r="E32" i="77" s="1"/>
  <c r="C14" i="77"/>
  <c r="E14" i="77" s="1"/>
  <c r="C31" i="77"/>
  <c r="D47" i="77"/>
  <c r="D62" i="77"/>
  <c r="C59" i="77"/>
  <c r="C55" i="77"/>
  <c r="L55" i="77" s="1"/>
  <c r="C9" i="77"/>
  <c r="L9" i="77" s="1"/>
  <c r="D9" i="77"/>
  <c r="D30" i="77"/>
  <c r="C21" i="77"/>
  <c r="L21" i="77" s="1"/>
  <c r="C16" i="77"/>
  <c r="L16" i="77" s="1"/>
  <c r="D16" i="77"/>
  <c r="D22" i="77"/>
  <c r="D31" i="77"/>
  <c r="D37" i="77"/>
  <c r="D10" i="77"/>
  <c r="D15" i="77"/>
  <c r="D40" i="77"/>
  <c r="D41" i="77"/>
  <c r="D53" i="77"/>
  <c r="B57" i="77"/>
  <c r="B60" i="77"/>
  <c r="B9" i="77"/>
  <c r="B29" i="77"/>
  <c r="B51" i="77"/>
  <c r="B59" i="77"/>
  <c r="B42" i="77"/>
  <c r="B49" i="77"/>
  <c r="B62" i="77"/>
  <c r="B35" i="77"/>
  <c r="B33" i="77"/>
  <c r="D20" i="77"/>
  <c r="D26" i="74"/>
  <c r="B34" i="77"/>
  <c r="B41" i="77"/>
  <c r="B32" i="77"/>
  <c r="B61" i="77"/>
  <c r="B30" i="77"/>
  <c r="B43" i="77"/>
  <c r="B55" i="77"/>
  <c r="B28" i="77"/>
  <c r="B50" i="77"/>
  <c r="D45" i="77"/>
  <c r="C50" i="77"/>
  <c r="C60" i="77"/>
  <c r="B54" i="77"/>
  <c r="E42" i="77"/>
  <c r="C46" i="77"/>
  <c r="E41" i="77"/>
  <c r="C40" i="77"/>
  <c r="L40" i="77" s="1"/>
  <c r="D54" i="77"/>
  <c r="D12" i="77"/>
  <c r="E12" i="77" s="1"/>
  <c r="D43" i="77"/>
  <c r="L36" i="77"/>
  <c r="C24" i="77"/>
  <c r="L24" i="77" s="1"/>
  <c r="C37" i="77"/>
  <c r="C29" i="77"/>
  <c r="C26" i="77"/>
  <c r="C33" i="77"/>
  <c r="D42" i="77"/>
  <c r="C43" i="77"/>
  <c r="C49" i="77"/>
  <c r="C51" i="77"/>
  <c r="C47" i="77"/>
  <c r="C61" i="77"/>
  <c r="C45" i="77"/>
  <c r="C57" i="77"/>
  <c r="D24" i="77"/>
  <c r="C20" i="77"/>
  <c r="C38" i="77"/>
  <c r="C30" i="77"/>
  <c r="C22" i="77"/>
  <c r="C13" i="77"/>
  <c r="C15" i="77"/>
  <c r="C11" i="77"/>
  <c r="L11" i="77" s="1"/>
  <c r="C34" i="77"/>
  <c r="C25" i="77"/>
  <c r="C17" i="77"/>
  <c r="E10" i="77" l="1"/>
  <c r="E55" i="77"/>
  <c r="L56" i="77"/>
  <c r="L32" i="77"/>
  <c r="E18" i="77"/>
  <c r="L63" i="77"/>
  <c r="L14" i="77"/>
  <c r="E27" i="77"/>
  <c r="E19" i="77"/>
  <c r="E40" i="77"/>
  <c r="L28" i="77"/>
  <c r="E39" i="77"/>
  <c r="E16" i="77"/>
  <c r="E21" i="77"/>
  <c r="E9" i="77"/>
  <c r="D46" i="77"/>
  <c r="D34" i="77"/>
  <c r="D61" i="77"/>
  <c r="D23" i="77"/>
  <c r="E23" i="77" s="1"/>
  <c r="G9" i="77"/>
  <c r="E52" i="77"/>
  <c r="L52" i="77"/>
  <c r="L59" i="77"/>
  <c r="E59" i="77"/>
  <c r="L31" i="77"/>
  <c r="E31" i="77"/>
  <c r="L35" i="77"/>
  <c r="E35" i="77"/>
  <c r="L48" i="77"/>
  <c r="E48" i="77"/>
  <c r="E24" i="77"/>
  <c r="D17" i="77"/>
  <c r="E46" i="77"/>
  <c r="L46" i="77"/>
  <c r="D50" i="77"/>
  <c r="E50" i="77"/>
  <c r="L50" i="77"/>
  <c r="D49" i="77"/>
  <c r="E60" i="77"/>
  <c r="L60" i="77"/>
  <c r="E57" i="77"/>
  <c r="L57" i="77"/>
  <c r="L61" i="77"/>
  <c r="E61" i="77"/>
  <c r="E51" i="77"/>
  <c r="L51" i="77"/>
  <c r="E26" i="77"/>
  <c r="L26" i="77"/>
  <c r="L37" i="77"/>
  <c r="E37" i="77"/>
  <c r="L45" i="77"/>
  <c r="E45" i="77"/>
  <c r="E47" i="77"/>
  <c r="L47" i="77"/>
  <c r="E49" i="77"/>
  <c r="L49" i="77"/>
  <c r="L43" i="77"/>
  <c r="E43" i="77"/>
  <c r="L33" i="77"/>
  <c r="E33" i="77"/>
  <c r="L29" i="77"/>
  <c r="E29" i="77"/>
  <c r="E25" i="77"/>
  <c r="L25" i="77"/>
  <c r="L13" i="77"/>
  <c r="E13" i="77"/>
  <c r="E30" i="77"/>
  <c r="L30" i="77"/>
  <c r="L20" i="77"/>
  <c r="E20" i="77"/>
  <c r="L17" i="77"/>
  <c r="E17" i="77"/>
  <c r="L34" i="77"/>
  <c r="E34" i="77"/>
  <c r="E15" i="77"/>
  <c r="L15" i="77"/>
  <c r="L22" i="77"/>
  <c r="E22" i="77"/>
  <c r="E38" i="77"/>
  <c r="L38" i="77"/>
  <c r="D11" i="77"/>
  <c r="D13" i="77" l="1"/>
  <c r="D29" i="77"/>
  <c r="D39" i="77"/>
  <c r="D56" i="77"/>
  <c r="G11" i="77"/>
  <c r="E11" i="77"/>
</calcChain>
</file>

<file path=xl/comments1.xml><?xml version="1.0" encoding="utf-8"?>
<comments xmlns="http://schemas.openxmlformats.org/spreadsheetml/2006/main">
  <authors>
    <author>USUARIO</author>
  </authors>
  <commentList>
    <comment ref="C8" authorId="0" shapeId="0">
      <text>
        <r>
          <rPr>
            <b/>
            <sz val="9"/>
            <color indexed="81"/>
            <rFont val="Tahoma"/>
            <family val="2"/>
          </rPr>
          <t>CGA:</t>
        </r>
        <r>
          <rPr>
            <sz val="9"/>
            <color indexed="81"/>
            <rFont val="Tahoma"/>
            <family val="2"/>
          </rPr>
          <t xml:space="preserve">
Programa Académico en el cual orienta la asignatura.</t>
        </r>
      </text>
    </comment>
    <comment ref="D8" authorId="0" shapeId="0">
      <text>
        <r>
          <rPr>
            <sz val="9"/>
            <color indexed="81"/>
            <rFont val="Tahoma"/>
            <family val="2"/>
          </rPr>
          <t>CGA 2015-1 - Marque:
1 para Grupo 1 en jornada mañana
2 para Grupo 2 en jornada mañana
3 para Grupo 1 en jornada tarde
4 para Grupo 2 en jornada tarde
5 para Grupo 1 en jornada noche
6 para Grupo 2 en jornada noche
10 para Grupo 1 en jornada FDS
11 para Grupo 2 en jornada FDS
20 para Grupo 1 en jornadada mañana (Norte)
21 para Grupo 1 en jornada noche (Norte)
22 para Grupo 2 en jornada mañana (Norte)
23 para Grupo 2 en jornada noche (Norte)</t>
        </r>
      </text>
    </comment>
    <comment ref="G8" authorId="0" shapeId="0">
      <text>
        <r>
          <rPr>
            <b/>
            <sz val="9"/>
            <color indexed="81"/>
            <rFont val="Tahoma"/>
            <family val="2"/>
          </rPr>
          <t>Digite:</t>
        </r>
        <r>
          <rPr>
            <sz val="9"/>
            <color indexed="81"/>
            <rFont val="Tahoma"/>
            <family val="2"/>
          </rPr>
          <t xml:space="preserve">
D = Para Diurno
T = Para Tarde
N = Para Noche
FDS = Para Fin de Semana</t>
        </r>
      </text>
    </comment>
    <comment ref="H8" authorId="0" shapeId="0">
      <text>
        <r>
          <rPr>
            <b/>
            <sz val="9"/>
            <color indexed="81"/>
            <rFont val="Tahoma"/>
            <family val="2"/>
          </rPr>
          <t>Digite en el siguiente orden</t>
        </r>
        <r>
          <rPr>
            <sz val="9"/>
            <color indexed="81"/>
            <rFont val="Tahoma"/>
            <family val="2"/>
          </rPr>
          <t xml:space="preserve">
TC = Tiempo Completo
MT = Medio Tiempo
TP = Tiempo Parcial
HC = Hora Cátedra</t>
        </r>
      </text>
    </comment>
    <comment ref="J10" authorId="0" shapeId="0">
      <text>
        <r>
          <rPr>
            <b/>
            <sz val="9"/>
            <color indexed="81"/>
            <rFont val="Tahoma"/>
            <family val="2"/>
          </rPr>
          <t>CGA:</t>
        </r>
        <r>
          <rPr>
            <sz val="9"/>
            <color indexed="81"/>
            <rFont val="Tahoma"/>
            <family val="2"/>
          </rPr>
          <t xml:space="preserve">
Número de identificación como aparece en la Base de Datos de la hoja 1.DOCENTES. 
Para N.N. marque 1. </t>
        </r>
      </text>
    </comment>
  </commentList>
</comments>
</file>

<file path=xl/comments2.xml><?xml version="1.0" encoding="utf-8"?>
<comments xmlns="http://schemas.openxmlformats.org/spreadsheetml/2006/main">
  <authors>
    <author>SNIES</author>
  </authors>
  <commentList>
    <comment ref="D8" authorId="0" shapeId="0">
      <text>
        <r>
          <rPr>
            <b/>
            <sz val="9"/>
            <color indexed="81"/>
            <rFont val="Tahoma"/>
            <family val="2"/>
          </rPr>
          <t>SNIES:</t>
        </r>
        <r>
          <rPr>
            <sz val="9"/>
            <color indexed="81"/>
            <rFont val="Tahoma"/>
            <family val="2"/>
          </rPr>
          <t xml:space="preserve">
Dedicación </t>
        </r>
      </text>
    </comment>
    <comment ref="E8" authorId="0" shapeId="0">
      <text>
        <r>
          <rPr>
            <b/>
            <sz val="9"/>
            <color indexed="81"/>
            <rFont val="Tahoma"/>
            <family val="2"/>
          </rPr>
          <t>SNIES:</t>
        </r>
        <r>
          <rPr>
            <sz val="9"/>
            <color indexed="81"/>
            <rFont val="Tahoma"/>
            <family val="2"/>
          </rPr>
          <t xml:space="preserve">
Porcentaje Docencia </t>
        </r>
      </text>
    </comment>
    <comment ref="F8" authorId="0" shapeId="0">
      <text>
        <r>
          <rPr>
            <b/>
            <sz val="9"/>
            <color indexed="81"/>
            <rFont val="Tahoma"/>
            <family val="2"/>
          </rPr>
          <t>SNIES:</t>
        </r>
        <r>
          <rPr>
            <sz val="9"/>
            <color indexed="81"/>
            <rFont val="Tahoma"/>
            <family val="2"/>
          </rPr>
          <t xml:space="preserve">
Porcentaje Investigacion </t>
        </r>
      </text>
    </comment>
    <comment ref="G8" authorId="0" shapeId="0">
      <text>
        <r>
          <rPr>
            <b/>
            <sz val="9"/>
            <color indexed="81"/>
            <rFont val="Tahoma"/>
            <family val="2"/>
          </rPr>
          <t>SNIES:</t>
        </r>
        <r>
          <rPr>
            <sz val="9"/>
            <color indexed="81"/>
            <rFont val="Tahoma"/>
            <family val="2"/>
          </rPr>
          <t xml:space="preserve">
Porcentaje Administrativa </t>
        </r>
      </text>
    </comment>
    <comment ref="H8" authorId="0" shapeId="0">
      <text>
        <r>
          <rPr>
            <b/>
            <sz val="9"/>
            <color indexed="81"/>
            <rFont val="Tahoma"/>
            <family val="2"/>
          </rPr>
          <t>SNIES:</t>
        </r>
        <r>
          <rPr>
            <sz val="9"/>
            <color indexed="81"/>
            <rFont val="Tahoma"/>
            <family val="2"/>
          </rPr>
          <t xml:space="preserve">
Porcentaje Bienestar </t>
        </r>
      </text>
    </comment>
    <comment ref="I8" authorId="0" shapeId="0">
      <text>
        <r>
          <rPr>
            <b/>
            <sz val="9"/>
            <color indexed="81"/>
            <rFont val="Tahoma"/>
            <family val="2"/>
          </rPr>
          <t>SNIES:</t>
        </r>
        <r>
          <rPr>
            <sz val="9"/>
            <color indexed="81"/>
            <rFont val="Tahoma"/>
            <family val="2"/>
          </rPr>
          <t xml:space="preserve">
Porcentaje Educación No Formal y continua </t>
        </r>
      </text>
    </comment>
    <comment ref="J8" authorId="0" shapeId="0">
      <text>
        <r>
          <rPr>
            <b/>
            <sz val="9"/>
            <color indexed="81"/>
            <rFont val="Tahoma"/>
            <family val="2"/>
          </rPr>
          <t>SNIES:</t>
        </r>
        <r>
          <rPr>
            <sz val="9"/>
            <color indexed="81"/>
            <rFont val="Tahoma"/>
            <family val="2"/>
          </rPr>
          <t xml:space="preserve">
Porcentaje en proyectos y programas de extensión remunerados </t>
        </r>
      </text>
    </comment>
    <comment ref="K8" authorId="0" shapeId="0">
      <text>
        <r>
          <rPr>
            <b/>
            <sz val="9"/>
            <color indexed="81"/>
            <rFont val="Tahoma"/>
            <family val="2"/>
          </rPr>
          <t>SNIES:</t>
        </r>
        <r>
          <rPr>
            <sz val="9"/>
            <color indexed="81"/>
            <rFont val="Tahoma"/>
            <family val="2"/>
          </rPr>
          <t xml:space="preserve">
Porcentaje en proyectos y programas de extensión no remunerados </t>
        </r>
      </text>
    </comment>
    <comment ref="L8" authorId="0" shapeId="0">
      <text>
        <r>
          <rPr>
            <b/>
            <sz val="9"/>
            <color indexed="81"/>
            <rFont val="Tahoma"/>
            <family val="2"/>
          </rPr>
          <t>SNIES:</t>
        </r>
        <r>
          <rPr>
            <sz val="9"/>
            <color indexed="81"/>
            <rFont val="Tahoma"/>
            <family val="2"/>
          </rPr>
          <t xml:space="preserve">
Tipo Contrato </t>
        </r>
      </text>
    </comment>
    <comment ref="M8" authorId="0" shapeId="0">
      <text>
        <r>
          <rPr>
            <b/>
            <sz val="9"/>
            <color indexed="81"/>
            <rFont val="Tahoma"/>
            <family val="2"/>
          </rPr>
          <t>SNIES:</t>
        </r>
        <r>
          <rPr>
            <sz val="9"/>
            <color indexed="81"/>
            <rFont val="Tahoma"/>
            <family val="2"/>
          </rPr>
          <t xml:space="preserve">
Número de premios obtenidos en el 
semestre a nivel nacional </t>
        </r>
      </text>
    </comment>
    <comment ref="N8" authorId="0" shapeId="0">
      <text>
        <r>
          <rPr>
            <b/>
            <sz val="9"/>
            <color indexed="81"/>
            <rFont val="Tahoma"/>
            <family val="2"/>
          </rPr>
          <t>SNIES:</t>
        </r>
        <r>
          <rPr>
            <sz val="9"/>
            <color indexed="81"/>
            <rFont val="Tahoma"/>
            <family val="2"/>
          </rPr>
          <t xml:space="preserve">
Número de premios obtenidos en el 
semestre a nivel internacional</t>
        </r>
      </text>
    </comment>
    <comment ref="Q8" authorId="0" shapeId="0">
      <text>
        <r>
          <rPr>
            <b/>
            <sz val="9"/>
            <color indexed="81"/>
            <rFont val="Tahoma"/>
            <family val="2"/>
          </rPr>
          <t>SNIES:</t>
        </r>
        <r>
          <rPr>
            <sz val="9"/>
            <color indexed="81"/>
            <rFont val="Tahoma"/>
            <family val="2"/>
          </rPr>
          <t xml:space="preserve">
Número de libros de investigación 
publicados </t>
        </r>
      </text>
    </comment>
    <comment ref="R8" authorId="0" shapeId="0">
      <text>
        <r>
          <rPr>
            <b/>
            <sz val="9"/>
            <color indexed="81"/>
            <rFont val="Tahoma"/>
            <family val="2"/>
          </rPr>
          <t>SNIES:</t>
        </r>
        <r>
          <rPr>
            <sz val="9"/>
            <color indexed="81"/>
            <rFont val="Tahoma"/>
            <family val="2"/>
          </rPr>
          <t xml:space="preserve">
Número de Textos publicados 
calificados por pares de Colciencias </t>
        </r>
      </text>
    </comment>
    <comment ref="S8" authorId="0" shapeId="0">
      <text>
        <r>
          <rPr>
            <b/>
            <sz val="9"/>
            <color indexed="81"/>
            <rFont val="Tahoma"/>
            <family val="2"/>
          </rPr>
          <t>SNIES:</t>
        </r>
        <r>
          <rPr>
            <sz val="9"/>
            <color indexed="81"/>
            <rFont val="Tahoma"/>
            <family val="2"/>
          </rPr>
          <t xml:space="preserve">
Número de reportes de investigación 
del docente publicados por la IES </t>
        </r>
      </text>
    </comment>
    <comment ref="T8" authorId="0" shapeId="0">
      <text>
        <r>
          <rPr>
            <b/>
            <sz val="9"/>
            <color indexed="81"/>
            <rFont val="Tahoma"/>
            <family val="2"/>
          </rPr>
          <t>SNIES:</t>
        </r>
        <r>
          <rPr>
            <sz val="9"/>
            <color indexed="81"/>
            <rFont val="Tahoma"/>
            <family val="2"/>
          </rPr>
          <t xml:space="preserve">
Número de patentes obtenidas por el 
docente </t>
        </r>
      </text>
    </comment>
  </commentList>
</comments>
</file>

<file path=xl/sharedStrings.xml><?xml version="1.0" encoding="utf-8"?>
<sst xmlns="http://schemas.openxmlformats.org/spreadsheetml/2006/main" count="945" uniqueCount="202">
  <si>
    <t>ADMINISTRACIÓN DE EMPRESAS AGROPECUARIAS</t>
  </si>
  <si>
    <t>Especialización</t>
  </si>
  <si>
    <t>Maestria</t>
  </si>
  <si>
    <t>ID</t>
  </si>
  <si>
    <t>NOMBRES Y APELLIDOS</t>
  </si>
  <si>
    <t>Dirección</t>
  </si>
  <si>
    <t>Teléfono</t>
  </si>
  <si>
    <t>Celular</t>
  </si>
  <si>
    <t>Profesión</t>
  </si>
  <si>
    <t>TITULADO</t>
  </si>
  <si>
    <t>EN CURSO</t>
  </si>
  <si>
    <t>Otros</t>
  </si>
  <si>
    <t>CORREO ELECTRONICO</t>
  </si>
  <si>
    <t>N.N.</t>
  </si>
  <si>
    <t>CODIGO</t>
  </si>
  <si>
    <t>ASIGNATURA</t>
  </si>
  <si>
    <t>CR</t>
  </si>
  <si>
    <t>I.H.S.</t>
  </si>
  <si>
    <t>SEMESTRE</t>
  </si>
  <si>
    <t>PENSUM</t>
  </si>
  <si>
    <t>TRABAJO SOCIAL</t>
  </si>
  <si>
    <t>INGENIERIA DE SISTEMAS</t>
  </si>
  <si>
    <t>DERECHO</t>
  </si>
  <si>
    <t>PSICOLOGIA</t>
  </si>
  <si>
    <t>ADMINISTRACIÓN DE EMPRESAS</t>
  </si>
  <si>
    <t>ARQUITECTURA</t>
  </si>
  <si>
    <t>FACULTAD:</t>
  </si>
  <si>
    <t>PROGRAMA:</t>
  </si>
  <si>
    <t>Director(a):</t>
  </si>
  <si>
    <t>Asignatura</t>
  </si>
  <si>
    <t xml:space="preserve">Programa </t>
  </si>
  <si>
    <t>Grupo</t>
  </si>
  <si>
    <t>Intensidad Semanal</t>
  </si>
  <si>
    <t>HORAS FUERA DEL TIEMPO NORMAL SEMANAL</t>
  </si>
  <si>
    <t>JORN</t>
  </si>
  <si>
    <t>VINC</t>
  </si>
  <si>
    <t>Cédula</t>
  </si>
  <si>
    <t>Indormación Docente</t>
  </si>
  <si>
    <t>TC</t>
  </si>
  <si>
    <t>DIRECCION</t>
  </si>
  <si>
    <t>FIJO</t>
  </si>
  <si>
    <t>MÓVIL</t>
  </si>
  <si>
    <t>PROFESIÓN</t>
  </si>
  <si>
    <t>ESP.</t>
  </si>
  <si>
    <t>MAG.</t>
  </si>
  <si>
    <t>OTRO</t>
  </si>
  <si>
    <t>MT</t>
  </si>
  <si>
    <t>TP</t>
  </si>
  <si>
    <t>A</t>
  </si>
  <si>
    <t>Nombres</t>
  </si>
  <si>
    <t>Vinculacion</t>
  </si>
  <si>
    <t>Asignaturas</t>
  </si>
  <si>
    <t>Programa</t>
  </si>
  <si>
    <t>Horas
Contrato</t>
  </si>
  <si>
    <t>Horas AD</t>
  </si>
  <si>
    <t xml:space="preserve">Total Horas </t>
  </si>
  <si>
    <t>H/s Semestre</t>
  </si>
  <si>
    <t>Salario</t>
  </si>
  <si>
    <t>Inicia</t>
  </si>
  <si>
    <t>Termina</t>
  </si>
  <si>
    <t>Cargo</t>
  </si>
  <si>
    <t>ESPECIALISTA</t>
  </si>
  <si>
    <t>MAGISTER</t>
  </si>
  <si>
    <t>PREG.</t>
  </si>
  <si>
    <t>ESP. / MAG.</t>
  </si>
  <si>
    <t>ESP. / MAG./ OT</t>
  </si>
  <si>
    <t>MENSUAL</t>
  </si>
  <si>
    <t>SEMESTRAL</t>
  </si>
  <si>
    <t>TOTAL DOCENTES</t>
  </si>
  <si>
    <t>TOTAL</t>
  </si>
  <si>
    <t>HORAS</t>
  </si>
  <si>
    <t>INVESTIG.</t>
  </si>
  <si>
    <t>PROYEC.</t>
  </si>
  <si>
    <t>AUTOEV.</t>
  </si>
  <si>
    <t>VIRT.</t>
  </si>
  <si>
    <t>ASES. PROY</t>
  </si>
  <si>
    <t>SEMANA</t>
  </si>
  <si>
    <t>Aprobado</t>
  </si>
  <si>
    <t>Dr. FERNANDO SOLIS ESCOBAR</t>
  </si>
  <si>
    <t>Vicerrector Académico</t>
  </si>
  <si>
    <t>Vicerrector Administrativo Financiero</t>
  </si>
  <si>
    <t>CODIGO:</t>
  </si>
  <si>
    <t>JORNADA:</t>
  </si>
  <si>
    <t>SEDE:</t>
  </si>
  <si>
    <t>NOMBRES:</t>
  </si>
  <si>
    <t>APELLIDOS:</t>
  </si>
  <si>
    <t>DIRECCIÓN:</t>
  </si>
  <si>
    <t>IDENTIFICACIÓN:</t>
  </si>
  <si>
    <t>CELULAR:</t>
  </si>
  <si>
    <t>SEM</t>
  </si>
  <si>
    <t>DOCENTE</t>
  </si>
  <si>
    <t>C</t>
  </si>
  <si>
    <t>R</t>
  </si>
  <si>
    <t>DIRECTOR DE PROGRAMA</t>
  </si>
  <si>
    <t>ESTUDIANTE</t>
  </si>
  <si>
    <t>COORDINACIÓN GENERAL ACADÉMICA</t>
  </si>
  <si>
    <t>PROGRAMA</t>
  </si>
  <si>
    <t>CR.</t>
  </si>
  <si>
    <t>I. H.</t>
  </si>
  <si>
    <t>TOT. CR</t>
  </si>
  <si>
    <t>JOR</t>
  </si>
  <si>
    <t>Total Est</t>
  </si>
  <si>
    <t>Grup. Proy.</t>
  </si>
  <si>
    <t>DOCENTE G1</t>
  </si>
  <si>
    <t>DOCENTE G2</t>
  </si>
  <si>
    <t>DOCENTE NOCHE</t>
  </si>
  <si>
    <t>Tot. Est.</t>
  </si>
  <si>
    <t>ESTUDIANTES ESTIMADOS POR GRUPO</t>
  </si>
  <si>
    <t>JORNADA</t>
  </si>
  <si>
    <t>NOMBRES</t>
  </si>
  <si>
    <t>APELLIDOS</t>
  </si>
  <si>
    <t>IDENTIFICACION</t>
  </si>
  <si>
    <t>ACTIVO</t>
  </si>
  <si>
    <t>ECOLOGIA</t>
  </si>
  <si>
    <t>INGENIERIA INDUSTRIAL</t>
  </si>
  <si>
    <t>LICENCIATURA EN EDUCACION BASICA CON ENFASIS EN EDUCACION ARTISTICA</t>
  </si>
  <si>
    <t>DEDICACION</t>
  </si>
  <si>
    <t>PORCENTAJE_DOCENCIA</t>
  </si>
  <si>
    <t>PORCENTAJE_INVESTIGACION</t>
  </si>
  <si>
    <t>PORCENTAJE_ADMINISTRATIVA</t>
  </si>
  <si>
    <t>PORCENTAJE_BIENESTAR</t>
  </si>
  <si>
    <t>PORCENTAJE_EDU_NO_FORMAL_YCONT</t>
  </si>
  <si>
    <t>PORCENTAJE_PROY_PROGR_REMUN</t>
  </si>
  <si>
    <t>PORCENTAJE_PROY_NO_REMUN</t>
  </si>
  <si>
    <t>TIPO_CONTRATO</t>
  </si>
  <si>
    <t>PREMIOS_SEMESTRE_NAL</t>
  </si>
  <si>
    <t>PREMIOS_SEMESTRE_INTERNAL</t>
  </si>
  <si>
    <t>LIBROS_PUBL_TEXTO_CALIFICADOS</t>
  </si>
  <si>
    <t>PORCENTAJE_ACT_EXT</t>
  </si>
  <si>
    <t>LIBROS_PUB_INVESTIGACION</t>
  </si>
  <si>
    <t>LIBROS_PUB_TEXTO</t>
  </si>
  <si>
    <t>REPORTES_INVESTIGACION</t>
  </si>
  <si>
    <t>PATENTES_OBTENIDAS_SEMESTRE</t>
  </si>
  <si>
    <t>REDES_ACADEMICAS</t>
  </si>
  <si>
    <t>DOCENTE_CERES</t>
  </si>
  <si>
    <t>PORCENTAJE_OTRAS_ACTIVIDADES</t>
  </si>
  <si>
    <t>NUM_MATRICULA</t>
  </si>
  <si>
    <t>TELEFONO</t>
  </si>
  <si>
    <t>CELULAR</t>
  </si>
  <si>
    <t>TIPO_ESTUDIANTE</t>
  </si>
  <si>
    <t>CIUDAD</t>
  </si>
  <si>
    <t>HC</t>
  </si>
  <si>
    <t>VICERRECTORÍA ACADÉMICA</t>
  </si>
  <si>
    <t>IDENTIFICACIÓN</t>
  </si>
  <si>
    <t>DEPENDENCIA</t>
  </si>
  <si>
    <t>Código</t>
  </si>
  <si>
    <t>Cédula:</t>
  </si>
  <si>
    <t>Dedicación:</t>
  </si>
  <si>
    <t>1. DOCENCIA</t>
  </si>
  <si>
    <t>Código Asignatura</t>
  </si>
  <si>
    <t>Nombre Asignatura</t>
  </si>
  <si>
    <t>Sem.</t>
  </si>
  <si>
    <t>Jorn.</t>
  </si>
  <si>
    <t>H / S</t>
  </si>
  <si>
    <t>Nº Créd.</t>
  </si>
  <si>
    <t>Bon</t>
  </si>
  <si>
    <t>DIRECCIÓN TRABAJOS DE GRADO</t>
  </si>
  <si>
    <t>Código Estudiante</t>
  </si>
  <si>
    <t>Nombre estudiante</t>
  </si>
  <si>
    <t>Nombre del Proyecto</t>
  </si>
  <si>
    <t>Fecha iniciación</t>
  </si>
  <si>
    <t>2. INVESTIGACIÓN</t>
  </si>
  <si>
    <t>Nombre Proyecto</t>
  </si>
  <si>
    <t>Fecha iniciación proyecto</t>
  </si>
  <si>
    <t>Fecha prevista finalización</t>
  </si>
  <si>
    <t>2. PROYECCION SOCIAL</t>
  </si>
  <si>
    <t>Fecha finalización</t>
  </si>
  <si>
    <t>3. GESTIÓN</t>
  </si>
  <si>
    <t>ACTIVIDAD</t>
  </si>
  <si>
    <t>Horas / semana</t>
  </si>
  <si>
    <t>5. DESARROLLO PROFESORAL</t>
  </si>
  <si>
    <t>Institucion</t>
  </si>
  <si>
    <t>POSGRADO</t>
  </si>
  <si>
    <t>Fecha terminacion</t>
  </si>
  <si>
    <t>En curso</t>
  </si>
  <si>
    <t>Horario</t>
  </si>
  <si>
    <t>Horas/ Semana</t>
  </si>
  <si>
    <t>NOMBRE</t>
  </si>
  <si>
    <t>Celular:</t>
  </si>
  <si>
    <t>Nombres y Apellidos:</t>
  </si>
  <si>
    <t>Dirección:</t>
  </si>
  <si>
    <t>cod</t>
  </si>
  <si>
    <t>asignatura</t>
  </si>
  <si>
    <t>Prog</t>
  </si>
  <si>
    <t>jor</t>
  </si>
  <si>
    <t>Tipo vinculación:</t>
  </si>
  <si>
    <t>Fecha Iniciación:</t>
  </si>
  <si>
    <t>Fecha Terminación:</t>
  </si>
  <si>
    <t>SNIES</t>
  </si>
  <si>
    <t>COMUNICACION SOCIAL PERIODISMO</t>
  </si>
  <si>
    <t>Código SIDI</t>
  </si>
  <si>
    <t>CONTADURÍA PÚBLICA</t>
  </si>
  <si>
    <t>REGISTRO DE MATERIAS</t>
  </si>
  <si>
    <t xml:space="preserve">PROGRAMA: </t>
  </si>
  <si>
    <t xml:space="preserve">PERIODO: </t>
  </si>
  <si>
    <t>PERIODO 20___ - ____</t>
  </si>
  <si>
    <t>_______________________  PERIODO ACADÉMICO DE 20_____</t>
  </si>
  <si>
    <t xml:space="preserve">                                                      Página 1 de 1</t>
  </si>
  <si>
    <t>SEMESTRE:____________________________________</t>
  </si>
  <si>
    <t>OFERTA ACADEMICA PERIODO: 20___ - ___</t>
  </si>
  <si>
    <t>1/1</t>
  </si>
  <si>
    <t>Ing. MARYEM ROCIO IBARRA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</si>
</sst>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00_);_(* \(#,##0.00\);_(* \-??_);_(@_)"/>
  </numFmts>
  <fonts count="9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sz val="10"/>
      <name val="Arial"/>
      <family val="2"/>
    </font>
    <font>
      <b/>
      <sz val="10"/>
      <name val="Arial"/>
      <family val="2"/>
    </font>
    <font>
      <sz val="11"/>
      <name val="Calibri"/>
      <family val="2"/>
      <scheme val="minor"/>
    </font>
    <font>
      <sz val="9"/>
      <color indexed="81"/>
      <name val="Tahoma"/>
      <family val="2"/>
    </font>
    <font>
      <b/>
      <sz val="9"/>
      <color indexed="81"/>
      <name val="Tahoma"/>
      <family val="2"/>
    </font>
    <font>
      <b/>
      <sz val="11"/>
      <color theme="1"/>
      <name val="Calibri"/>
      <family val="2"/>
      <scheme val="minor"/>
    </font>
    <font>
      <b/>
      <sz val="12"/>
      <name val="Arial"/>
      <family val="2"/>
    </font>
    <font>
      <b/>
      <sz val="8"/>
      <name val="Arial"/>
      <family val="2"/>
    </font>
    <font>
      <sz val="10"/>
      <color indexed="10"/>
      <name val="Arial"/>
      <family val="2"/>
    </font>
    <font>
      <sz val="8"/>
      <color rgb="FFFF0000"/>
      <name val="Arial"/>
      <family val="2"/>
    </font>
    <font>
      <b/>
      <sz val="8"/>
      <color theme="1"/>
      <name val="Arial"/>
      <family val="2"/>
    </font>
    <font>
      <b/>
      <sz val="10"/>
      <color theme="1"/>
      <name val="Arial"/>
      <family val="2"/>
    </font>
    <font>
      <sz val="10"/>
      <color theme="1"/>
      <name val="Arial"/>
      <family val="2"/>
    </font>
    <font>
      <sz val="9"/>
      <name val="Arial"/>
      <family val="2"/>
    </font>
    <font>
      <sz val="11"/>
      <name val="Arial"/>
      <family val="2"/>
    </font>
    <font>
      <sz val="10"/>
      <color rgb="FFFF0000"/>
      <name val="Arial"/>
      <family val="2"/>
    </font>
    <font>
      <sz val="9"/>
      <color theme="1"/>
      <name val="Calibri"/>
      <family val="2"/>
      <scheme val="minor"/>
    </font>
    <font>
      <sz val="8"/>
      <name val="Calibri"/>
      <family val="2"/>
      <scheme val="minor"/>
    </font>
    <font>
      <b/>
      <sz val="9"/>
      <name val="Arial"/>
      <family val="2"/>
    </font>
    <font>
      <sz val="8"/>
      <color theme="1"/>
      <name val="Arial"/>
      <family val="2"/>
    </font>
    <font>
      <b/>
      <sz val="10"/>
      <color theme="3" tint="-0.499984740745262"/>
      <name val="Arial"/>
      <family val="2"/>
    </font>
    <font>
      <b/>
      <sz val="8"/>
      <color theme="3" tint="-0.499984740745262"/>
      <name val="Arial"/>
      <family val="2"/>
    </font>
    <font>
      <b/>
      <sz val="8"/>
      <color theme="4" tint="-0.499984740745262"/>
      <name val="Arial"/>
      <family val="2"/>
    </font>
    <font>
      <b/>
      <sz val="10"/>
      <color theme="3" tint="-0.249977111117893"/>
      <name val="Arial"/>
      <family val="2"/>
    </font>
    <font>
      <sz val="10"/>
      <color theme="3" tint="-0.249977111117893"/>
      <name val="Arial"/>
      <family val="2"/>
    </font>
    <font>
      <sz val="8"/>
      <color indexed="10"/>
      <name val="Arial"/>
      <family val="2"/>
    </font>
    <font>
      <b/>
      <sz val="10"/>
      <color rgb="FFFF0000"/>
      <name val="Arial"/>
      <family val="2"/>
    </font>
    <font>
      <b/>
      <sz val="8"/>
      <color rgb="FFFF0000"/>
      <name val="Arial"/>
      <family val="2"/>
    </font>
    <font>
      <b/>
      <sz val="10"/>
      <color theme="4" tint="-0.249977111117893"/>
      <name val="Arial"/>
      <family val="2"/>
    </font>
    <font>
      <sz val="11"/>
      <color theme="4" tint="-0.249977111117893"/>
      <name val="Calibri"/>
      <family val="2"/>
      <scheme val="minor"/>
    </font>
    <font>
      <sz val="10"/>
      <color theme="4" tint="-0.249977111117893"/>
      <name val="Arial"/>
      <family val="2"/>
    </font>
    <font>
      <sz val="8"/>
      <color theme="4" tint="-0.249977111117893"/>
      <name val="Arial"/>
      <family val="2"/>
    </font>
    <font>
      <b/>
      <sz val="11"/>
      <color theme="4" tint="-0.249977111117893"/>
      <name val="Calibri"/>
      <family val="2"/>
      <scheme val="minor"/>
    </font>
    <font>
      <b/>
      <sz val="10"/>
      <color theme="1"/>
      <name val="Calibri"/>
      <family val="2"/>
      <scheme val="minor"/>
    </font>
    <font>
      <b/>
      <sz val="7"/>
      <name val="Arial"/>
      <family val="2"/>
    </font>
    <font>
      <b/>
      <sz val="12"/>
      <color theme="0"/>
      <name val="Arial"/>
      <family val="2"/>
    </font>
    <font>
      <sz val="10"/>
      <color theme="0"/>
      <name val="Arial"/>
      <family val="2"/>
    </font>
    <font>
      <b/>
      <sz val="9"/>
      <color theme="1"/>
      <name val="Arial"/>
      <family val="2"/>
    </font>
    <font>
      <sz val="9"/>
      <color theme="1"/>
      <name val="Arial"/>
      <family val="2"/>
    </font>
    <font>
      <sz val="10"/>
      <name val="Arial"/>
      <family val="2"/>
    </font>
    <font>
      <sz val="7"/>
      <name val="Arial"/>
      <family val="2"/>
    </font>
    <font>
      <sz val="9"/>
      <name val="Calibri"/>
      <family val="2"/>
      <scheme val="minor"/>
    </font>
    <font>
      <sz val="11"/>
      <color theme="0"/>
      <name val="Calibri"/>
      <family val="2"/>
      <scheme val="minor"/>
    </font>
    <font>
      <b/>
      <sz val="18"/>
      <color theme="0"/>
      <name val="Arial"/>
      <family val="2"/>
    </font>
    <font>
      <b/>
      <sz val="12"/>
      <color rgb="FFFF0000"/>
      <name val="Arial"/>
      <family val="2"/>
    </font>
    <font>
      <b/>
      <sz val="10"/>
      <color theme="0"/>
      <name val="Arial"/>
      <family val="2"/>
    </font>
    <font>
      <sz val="9"/>
      <color theme="3" tint="-0.499984740745262"/>
      <name val="Arial"/>
      <family val="2"/>
    </font>
    <font>
      <b/>
      <sz val="11"/>
      <color theme="0"/>
      <name val="Calibri"/>
      <family val="2"/>
      <scheme val="minor"/>
    </font>
    <font>
      <b/>
      <sz val="11"/>
      <color theme="1"/>
      <name val="Arial"/>
      <family val="2"/>
    </font>
    <font>
      <b/>
      <sz val="11"/>
      <name val="Arial"/>
      <family val="2"/>
    </font>
    <font>
      <b/>
      <sz val="9"/>
      <name val="Calibri"/>
      <family val="2"/>
      <scheme val="minor"/>
    </font>
    <font>
      <sz val="10"/>
      <name val="Arial"/>
      <family val="2"/>
    </font>
    <font>
      <sz val="11"/>
      <color theme="7" tint="0.79998168889431442"/>
      <name val="Calibri"/>
      <family val="2"/>
      <scheme val="minor"/>
    </font>
    <font>
      <b/>
      <sz val="18"/>
      <color theme="7" tint="0.79998168889431442"/>
      <name val="Calibri"/>
      <family val="2"/>
      <scheme val="minor"/>
    </font>
    <font>
      <b/>
      <sz val="18"/>
      <color theme="7" tint="0.79998168889431442"/>
      <name val="Arial"/>
      <family val="2"/>
    </font>
    <font>
      <b/>
      <sz val="13"/>
      <color theme="7" tint="0.79998168889431442"/>
      <name val="Arial"/>
      <family val="2"/>
    </font>
    <font>
      <b/>
      <sz val="12"/>
      <color theme="7" tint="0.79998168889431442"/>
      <name val="Arial"/>
      <family val="2"/>
    </font>
    <font>
      <sz val="10"/>
      <name val="Tahoma"/>
      <family val="2"/>
    </font>
    <font>
      <b/>
      <sz val="10"/>
      <name val="Tahoma"/>
      <family val="2"/>
    </font>
    <font>
      <b/>
      <sz val="10"/>
      <color indexed="8"/>
      <name val="Arial"/>
      <family val="2"/>
    </font>
    <font>
      <b/>
      <sz val="8"/>
      <name val="Tahoma"/>
      <family val="2"/>
    </font>
    <font>
      <b/>
      <sz val="11"/>
      <name val="Tahoma"/>
      <family val="2"/>
    </font>
    <font>
      <b/>
      <sz val="11"/>
      <color indexed="8"/>
      <name val="Arial"/>
      <family val="2"/>
    </font>
    <font>
      <b/>
      <sz val="9"/>
      <color indexed="8"/>
      <name val="Arial"/>
      <family val="2"/>
    </font>
    <font>
      <b/>
      <sz val="11"/>
      <color theme="0"/>
      <name val="Tahoma"/>
      <family val="2"/>
    </font>
    <font>
      <b/>
      <sz val="11"/>
      <color theme="0"/>
      <name val="Arial"/>
      <family val="2"/>
    </font>
    <font>
      <b/>
      <sz val="13"/>
      <color theme="7" tint="0.79998168889431442"/>
      <name val="Calibri"/>
      <family val="2"/>
      <scheme val="minor"/>
    </font>
    <font>
      <sz val="13"/>
      <color theme="7" tint="0.79998168889431442"/>
      <name val="Calibri"/>
      <family val="2"/>
      <scheme val="minor"/>
    </font>
    <font>
      <b/>
      <sz val="14"/>
      <color theme="7" tint="0.79998168889431442"/>
      <name val="Arial"/>
      <family val="2"/>
    </font>
    <font>
      <sz val="14"/>
      <color theme="7" tint="0.79998168889431442"/>
      <name val="Calibri"/>
      <family val="2"/>
      <scheme val="minor"/>
    </font>
    <font>
      <sz val="8"/>
      <color rgb="FF373E4D"/>
      <name val="Arial"/>
      <family val="2"/>
    </font>
    <font>
      <sz val="12"/>
      <name val="Arial"/>
      <family val="2"/>
    </font>
    <font>
      <b/>
      <sz val="12"/>
      <color theme="1"/>
      <name val="Arial"/>
      <family val="2"/>
    </font>
    <font>
      <sz val="12"/>
      <name val="Cambria"/>
      <family val="1"/>
    </font>
    <font>
      <sz val="6"/>
      <name val="Arial"/>
      <family val="2"/>
    </font>
    <font>
      <b/>
      <sz val="6"/>
      <name val="Arial"/>
      <family val="2"/>
    </font>
    <font>
      <b/>
      <sz val="9"/>
      <color theme="1"/>
      <name val="Calibri"/>
      <family val="2"/>
      <scheme val="minor"/>
    </font>
    <font>
      <b/>
      <sz val="14"/>
      <color theme="0"/>
      <name val="Arial"/>
      <family val="2"/>
    </font>
    <font>
      <b/>
      <sz val="9"/>
      <color theme="0"/>
      <name val="Arial"/>
      <family val="2"/>
    </font>
  </fonts>
  <fills count="17">
    <fill>
      <patternFill patternType="none"/>
    </fill>
    <fill>
      <patternFill patternType="gray125"/>
    </fill>
    <fill>
      <patternFill patternType="solid">
        <fgColor indexed="9"/>
        <bgColor indexed="64"/>
      </patternFill>
    </fill>
    <fill>
      <patternFill patternType="solid">
        <fgColor rgb="FFFFC000"/>
        <bgColor indexed="64"/>
      </patternFill>
    </fill>
    <fill>
      <patternFill patternType="solid">
        <fgColor theme="0"/>
        <bgColor indexed="64"/>
      </patternFill>
    </fill>
    <fill>
      <patternFill patternType="solid">
        <fgColor theme="6" tint="0.59999389629810485"/>
        <bgColor indexed="64"/>
      </patternFill>
    </fill>
    <fill>
      <patternFill patternType="solid">
        <fgColor theme="3"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3" tint="-0.499984740745262"/>
        <bgColor indexed="64"/>
      </patternFill>
    </fill>
    <fill>
      <patternFill patternType="solid">
        <fgColor theme="6" tint="0.79998168889431442"/>
        <bgColor indexed="64"/>
      </patternFill>
    </fill>
    <fill>
      <gradientFill degree="135">
        <stop position="0">
          <color theme="3" tint="-0.49803155613879818"/>
        </stop>
        <stop position="1">
          <color theme="4" tint="0.40000610370189521"/>
        </stop>
      </gradientFill>
    </fill>
    <fill>
      <patternFill patternType="solid">
        <fgColor theme="2" tint="-9.9978637043366805E-2"/>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92D050"/>
        <bgColor indexed="64"/>
      </patternFill>
    </fill>
  </fills>
  <borders count="69">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style="thin">
        <color indexed="64"/>
      </left>
      <right/>
      <top style="thin">
        <color indexed="64"/>
      </top>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style="thin">
        <color indexed="8"/>
      </left>
      <right/>
      <top/>
      <bottom/>
      <diagonal/>
    </border>
    <border>
      <left/>
      <right/>
      <top style="thin">
        <color indexed="64"/>
      </top>
      <bottom style="thin">
        <color indexed="64"/>
      </bottom>
      <diagonal/>
    </border>
    <border>
      <left/>
      <right style="thin">
        <color indexed="8"/>
      </right>
      <top/>
      <bottom/>
      <diagonal/>
    </border>
    <border>
      <left style="thin">
        <color indexed="8"/>
      </left>
      <right style="thin">
        <color indexed="8"/>
      </right>
      <top/>
      <bottom/>
      <diagonal/>
    </border>
    <border>
      <left style="thin">
        <color indexed="8"/>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8"/>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theme="0"/>
      </bottom>
      <diagonal/>
    </border>
    <border>
      <left/>
      <right style="thin">
        <color indexed="64"/>
      </right>
      <top style="thin">
        <color indexed="64"/>
      </top>
      <bottom style="thin">
        <color theme="0"/>
      </bottom>
      <diagonal/>
    </border>
    <border>
      <left style="thin">
        <color indexed="64"/>
      </left>
      <right/>
      <top style="thin">
        <color indexed="64"/>
      </top>
      <bottom style="thin">
        <color theme="0"/>
      </bottom>
      <diagonal/>
    </border>
  </borders>
  <cellStyleXfs count="21">
    <xf numFmtId="0" fontId="0" fillId="0" borderId="0"/>
    <xf numFmtId="0" fontId="12" fillId="0" borderId="0"/>
    <xf numFmtId="164" fontId="12" fillId="0" borderId="0" applyFont="0" applyFill="0" applyBorder="0" applyAlignment="0" applyProtection="0"/>
    <xf numFmtId="0" fontId="14" fillId="0" borderId="0"/>
    <xf numFmtId="0" fontId="14" fillId="0" borderId="0"/>
    <xf numFmtId="0" fontId="11" fillId="0" borderId="0"/>
    <xf numFmtId="0" fontId="10" fillId="0" borderId="0"/>
    <xf numFmtId="0" fontId="9" fillId="0" borderId="0"/>
    <xf numFmtId="0" fontId="8" fillId="0" borderId="0"/>
    <xf numFmtId="0" fontId="7" fillId="0" borderId="0"/>
    <xf numFmtId="0" fontId="53" fillId="0" borderId="0"/>
    <xf numFmtId="0" fontId="6" fillId="0" borderId="0"/>
    <xf numFmtId="0" fontId="5" fillId="0" borderId="0"/>
    <xf numFmtId="0" fontId="4" fillId="0" borderId="0"/>
    <xf numFmtId="0" fontId="3" fillId="0" borderId="0"/>
    <xf numFmtId="9" fontId="65" fillId="0" borderId="0" applyFont="0" applyFill="0" applyBorder="0" applyAlignment="0" applyProtection="0"/>
    <xf numFmtId="0" fontId="2" fillId="0" borderId="0"/>
    <xf numFmtId="0" fontId="2" fillId="0" borderId="0"/>
    <xf numFmtId="0" fontId="1" fillId="0" borderId="0"/>
    <xf numFmtId="0" fontId="71" fillId="0" borderId="0"/>
    <xf numFmtId="165" fontId="71" fillId="0" borderId="0" applyFill="0" applyBorder="0" applyAlignment="0" applyProtection="0"/>
  </cellStyleXfs>
  <cellXfs count="685">
    <xf numFmtId="0" fontId="0" fillId="0" borderId="0" xfId="0"/>
    <xf numFmtId="0" fontId="34" fillId="4" borderId="0" xfId="4" applyFont="1" applyFill="1" applyBorder="1" applyAlignment="1">
      <alignment horizontal="center"/>
    </xf>
    <xf numFmtId="0" fontId="34" fillId="4" borderId="0" xfId="4" applyFont="1" applyFill="1" applyBorder="1" applyAlignment="1">
      <alignment horizontal="center" wrapText="1"/>
    </xf>
    <xf numFmtId="0" fontId="35" fillId="4" borderId="0" xfId="4" applyFont="1" applyFill="1" applyBorder="1" applyAlignment="1">
      <alignment horizontal="center"/>
    </xf>
    <xf numFmtId="0" fontId="36" fillId="4" borderId="0" xfId="4" applyFont="1" applyFill="1" applyBorder="1" applyAlignment="1">
      <alignment horizontal="center" wrapText="1"/>
    </xf>
    <xf numFmtId="0" fontId="35" fillId="4" borderId="0" xfId="4" applyFont="1" applyFill="1" applyBorder="1" applyAlignment="1">
      <alignment horizontal="center" wrapText="1"/>
    </xf>
    <xf numFmtId="0" fontId="35" fillId="4" borderId="0" xfId="4" applyFont="1" applyFill="1" applyBorder="1" applyAlignment="1"/>
    <xf numFmtId="0" fontId="14" fillId="4" borderId="0" xfId="4" applyFont="1" applyFill="1" applyBorder="1" applyAlignment="1">
      <alignment horizontal="center"/>
    </xf>
    <xf numFmtId="0" fontId="13" fillId="4" borderId="0" xfId="4" applyFont="1" applyFill="1" applyBorder="1" applyAlignment="1">
      <alignment horizontal="center"/>
    </xf>
    <xf numFmtId="0" fontId="21" fillId="4" borderId="0" xfId="4" applyFont="1" applyFill="1" applyBorder="1" applyAlignment="1">
      <alignment horizontal="center"/>
    </xf>
    <xf numFmtId="0" fontId="21" fillId="4" borderId="0" xfId="4" applyFont="1" applyFill="1" applyBorder="1" applyAlignment="1">
      <alignment horizontal="right"/>
    </xf>
    <xf numFmtId="3" fontId="13" fillId="4" borderId="0" xfId="4" applyNumberFormat="1" applyFont="1" applyFill="1" applyBorder="1"/>
    <xf numFmtId="0" fontId="13" fillId="4" borderId="0" xfId="4" applyFont="1" applyFill="1" applyBorder="1"/>
    <xf numFmtId="0" fontId="13" fillId="4" borderId="0" xfId="4" applyFont="1" applyFill="1" applyBorder="1" applyAlignment="1"/>
    <xf numFmtId="0" fontId="14" fillId="4" borderId="0" xfId="4" applyFill="1" applyBorder="1" applyAlignment="1">
      <alignment horizontal="center"/>
    </xf>
    <xf numFmtId="0" fontId="14" fillId="4" borderId="0" xfId="4" applyFont="1" applyFill="1" applyBorder="1"/>
    <xf numFmtId="0" fontId="15" fillId="4" borderId="0" xfId="4" applyFont="1" applyFill="1" applyBorder="1" applyAlignment="1">
      <alignment horizontal="center"/>
    </xf>
    <xf numFmtId="0" fontId="22" fillId="4" borderId="0" xfId="4" applyFont="1" applyFill="1" applyBorder="1" applyAlignment="1">
      <alignment horizontal="center"/>
    </xf>
    <xf numFmtId="0" fontId="38" fillId="4" borderId="0" xfId="4" applyFont="1" applyFill="1" applyBorder="1" applyAlignment="1">
      <alignment horizontal="center" vertical="center"/>
    </xf>
    <xf numFmtId="0" fontId="14" fillId="4" borderId="0" xfId="4" applyFont="1" applyFill="1" applyBorder="1" applyAlignment="1">
      <alignment vertical="center"/>
    </xf>
    <xf numFmtId="0" fontId="14" fillId="4" borderId="0" xfId="4" applyFont="1" applyFill="1" applyBorder="1" applyAlignment="1">
      <alignment horizontal="center" vertical="center"/>
    </xf>
    <xf numFmtId="0" fontId="14" fillId="4" borderId="0" xfId="4" applyFont="1" applyFill="1" applyBorder="1" applyAlignment="1">
      <alignment horizontal="left"/>
    </xf>
    <xf numFmtId="0" fontId="15" fillId="4" borderId="0" xfId="4" applyFont="1" applyFill="1" applyBorder="1" applyAlignment="1">
      <alignment horizontal="center" vertical="center"/>
    </xf>
    <xf numFmtId="0" fontId="14" fillId="4" borderId="0" xfId="4" applyFont="1" applyFill="1" applyBorder="1" applyAlignment="1"/>
    <xf numFmtId="3" fontId="21" fillId="4" borderId="0" xfId="4" applyNumberFormat="1" applyFont="1" applyFill="1" applyBorder="1"/>
    <xf numFmtId="0" fontId="13" fillId="4" borderId="0" xfId="4" applyFont="1" applyFill="1" applyBorder="1" applyAlignment="1">
      <alignment horizontal="right"/>
    </xf>
    <xf numFmtId="0" fontId="13" fillId="4" borderId="0" xfId="4" applyFont="1" applyFill="1" applyBorder="1" applyAlignment="1">
      <alignment horizontal="center" wrapText="1"/>
    </xf>
    <xf numFmtId="0" fontId="13" fillId="4" borderId="0" xfId="4" applyFont="1" applyFill="1" applyBorder="1" applyAlignment="1">
      <alignment wrapText="1"/>
    </xf>
    <xf numFmtId="0" fontId="29" fillId="4" borderId="0" xfId="4" applyFont="1" applyFill="1" applyBorder="1" applyAlignment="1">
      <alignment horizontal="center"/>
    </xf>
    <xf numFmtId="0" fontId="29" fillId="4" borderId="0" xfId="4" applyFont="1" applyFill="1" applyBorder="1"/>
    <xf numFmtId="0" fontId="23" fillId="4" borderId="0" xfId="4" applyFont="1" applyFill="1" applyBorder="1" applyAlignment="1">
      <alignment horizontal="center"/>
    </xf>
    <xf numFmtId="0" fontId="40" fillId="4" borderId="0" xfId="4" applyFont="1" applyFill="1" applyBorder="1" applyAlignment="1">
      <alignment horizontal="center" vertical="center"/>
    </xf>
    <xf numFmtId="0" fontId="41" fillId="4" borderId="0" xfId="4" applyFont="1" applyFill="1" applyBorder="1" applyAlignment="1">
      <alignment horizontal="right"/>
    </xf>
    <xf numFmtId="0" fontId="23" fillId="4" borderId="0" xfId="4" applyFont="1" applyFill="1" applyBorder="1"/>
    <xf numFmtId="3" fontId="15" fillId="4" borderId="0" xfId="4" applyNumberFormat="1" applyFont="1" applyFill="1" applyBorder="1" applyAlignment="1">
      <alignment horizontal="center" vertical="center"/>
    </xf>
    <xf numFmtId="3" fontId="15" fillId="4" borderId="0" xfId="4" applyNumberFormat="1" applyFont="1" applyFill="1" applyBorder="1" applyAlignment="1">
      <alignment horizontal="right"/>
    </xf>
    <xf numFmtId="3" fontId="21" fillId="4" borderId="0" xfId="4" applyNumberFormat="1" applyFont="1" applyFill="1" applyBorder="1" applyAlignment="1">
      <alignment horizontal="right"/>
    </xf>
    <xf numFmtId="3" fontId="13" fillId="4" borderId="0" xfId="4" applyNumberFormat="1" applyFont="1" applyFill="1" applyBorder="1" applyAlignment="1">
      <alignment horizontal="center"/>
    </xf>
    <xf numFmtId="3" fontId="15" fillId="4" borderId="0" xfId="4" applyNumberFormat="1" applyFont="1" applyFill="1" applyBorder="1" applyAlignment="1">
      <alignment horizontal="center"/>
    </xf>
    <xf numFmtId="3" fontId="21" fillId="4" borderId="0" xfId="4" applyNumberFormat="1" applyFont="1" applyFill="1" applyBorder="1" applyAlignment="1">
      <alignment horizontal="center"/>
    </xf>
    <xf numFmtId="0" fontId="13" fillId="4" borderId="0" xfId="4" applyNumberFormat="1" applyFont="1" applyFill="1" applyBorder="1" applyAlignment="1">
      <alignment horizontal="center"/>
    </xf>
    <xf numFmtId="0" fontId="44" fillId="4" borderId="0" xfId="4" applyFont="1" applyFill="1" applyBorder="1"/>
    <xf numFmtId="0" fontId="44" fillId="4" borderId="0" xfId="4" applyFont="1" applyFill="1" applyBorder="1" applyAlignment="1">
      <alignment horizontal="center"/>
    </xf>
    <xf numFmtId="0" fontId="45" fillId="4" borderId="0" xfId="4" applyFont="1" applyFill="1" applyBorder="1" applyAlignment="1">
      <alignment horizontal="center"/>
    </xf>
    <xf numFmtId="0" fontId="9" fillId="0" borderId="0" xfId="7" applyFill="1"/>
    <xf numFmtId="0" fontId="20" fillId="0" borderId="0" xfId="7" applyFont="1" applyFill="1" applyBorder="1" applyAlignment="1"/>
    <xf numFmtId="0" fontId="26" fillId="7" borderId="29" xfId="7" applyFont="1" applyFill="1" applyBorder="1" applyAlignment="1">
      <alignment horizontal="center" vertical="center"/>
    </xf>
    <xf numFmtId="3" fontId="14" fillId="7" borderId="29" xfId="7" applyNumberFormat="1" applyFont="1" applyFill="1" applyBorder="1" applyAlignment="1">
      <alignment horizontal="center" vertical="center"/>
    </xf>
    <xf numFmtId="0" fontId="19" fillId="8" borderId="2" xfId="7" applyFont="1" applyFill="1" applyBorder="1" applyAlignment="1">
      <alignment horizontal="center"/>
    </xf>
    <xf numFmtId="0" fontId="25" fillId="6" borderId="2" xfId="7" applyFont="1" applyFill="1" applyBorder="1" applyAlignment="1">
      <alignment horizontal="center" vertical="center" wrapText="1"/>
    </xf>
    <xf numFmtId="0" fontId="19" fillId="9" borderId="17" xfId="7" applyFont="1" applyFill="1" applyBorder="1" applyAlignment="1">
      <alignment horizontal="center"/>
    </xf>
    <xf numFmtId="0" fontId="19" fillId="0" borderId="0" xfId="7" applyFont="1" applyFill="1"/>
    <xf numFmtId="0" fontId="30" fillId="0" borderId="0" xfId="3" applyFont="1" applyFill="1"/>
    <xf numFmtId="0" fontId="14" fillId="0" borderId="0" xfId="3" applyFill="1"/>
    <xf numFmtId="0" fontId="51" fillId="0" borderId="0" xfId="3" applyFont="1" applyFill="1"/>
    <xf numFmtId="0" fontId="26" fillId="7" borderId="33" xfId="7" applyFont="1" applyFill="1" applyBorder="1" applyAlignment="1">
      <alignment horizontal="center" vertical="center"/>
    </xf>
    <xf numFmtId="0" fontId="52" fillId="7" borderId="29" xfId="7" applyFont="1" applyFill="1" applyBorder="1" applyAlignment="1">
      <alignment vertical="center" wrapText="1"/>
    </xf>
    <xf numFmtId="0" fontId="51" fillId="7" borderId="25" xfId="7" applyFont="1" applyFill="1" applyBorder="1" applyAlignment="1">
      <alignment horizontal="center" vertical="center" wrapText="1"/>
    </xf>
    <xf numFmtId="0" fontId="52" fillId="7" borderId="25" xfId="7" applyFont="1" applyFill="1" applyBorder="1" applyAlignment="1">
      <alignment vertical="center" wrapText="1"/>
    </xf>
    <xf numFmtId="3" fontId="27" fillId="7" borderId="25" xfId="7" applyNumberFormat="1" applyFont="1" applyFill="1" applyBorder="1" applyAlignment="1">
      <alignment horizontal="center" vertical="center"/>
    </xf>
    <xf numFmtId="0" fontId="26" fillId="7" borderId="25" xfId="7" applyFont="1" applyFill="1" applyBorder="1" applyAlignment="1">
      <alignment horizontal="center" vertical="center"/>
    </xf>
    <xf numFmtId="3" fontId="27" fillId="7" borderId="25" xfId="7" applyNumberFormat="1" applyFont="1" applyFill="1" applyBorder="1" applyAlignment="1">
      <alignment horizontal="center" vertical="center" wrapText="1"/>
    </xf>
    <xf numFmtId="3" fontId="14" fillId="7" borderId="25" xfId="7" applyNumberFormat="1" applyFont="1" applyFill="1" applyBorder="1" applyAlignment="1">
      <alignment horizontal="center" vertical="center"/>
    </xf>
    <xf numFmtId="3" fontId="26" fillId="7" borderId="25" xfId="7" applyNumberFormat="1" applyFont="1" applyFill="1" applyBorder="1" applyAlignment="1">
      <alignment horizontal="center" vertical="center"/>
    </xf>
    <xf numFmtId="0" fontId="8" fillId="0" borderId="0" xfId="8"/>
    <xf numFmtId="0" fontId="8" fillId="4" borderId="0" xfId="8" applyFill="1" applyBorder="1"/>
    <xf numFmtId="0" fontId="16" fillId="4" borderId="0" xfId="8" applyFont="1" applyFill="1" applyBorder="1"/>
    <xf numFmtId="0" fontId="8" fillId="4" borderId="0" xfId="8" applyFill="1" applyBorder="1" applyAlignment="1">
      <alignment horizontal="center"/>
    </xf>
    <xf numFmtId="0" fontId="31" fillId="4" borderId="0" xfId="8" applyFont="1" applyFill="1" applyBorder="1"/>
    <xf numFmtId="0" fontId="28" fillId="4" borderId="0" xfId="8" applyFont="1" applyFill="1" applyBorder="1"/>
    <xf numFmtId="0" fontId="16" fillId="4" borderId="0" xfId="8" applyFont="1" applyFill="1" applyBorder="1" applyAlignment="1">
      <alignment horizontal="center"/>
    </xf>
    <xf numFmtId="0" fontId="43" fillId="4" borderId="0" xfId="8" applyFont="1" applyFill="1" applyBorder="1" applyAlignment="1">
      <alignment horizontal="center"/>
    </xf>
    <xf numFmtId="0" fontId="43" fillId="4" borderId="0" xfId="8" applyFont="1" applyFill="1" applyBorder="1"/>
    <xf numFmtId="0" fontId="8" fillId="4" borderId="0" xfId="8" applyFill="1"/>
    <xf numFmtId="0" fontId="43" fillId="0" borderId="0" xfId="8" applyFont="1"/>
    <xf numFmtId="3" fontId="27" fillId="7" borderId="32" xfId="7" applyNumberFormat="1" applyFont="1" applyFill="1" applyBorder="1" applyAlignment="1">
      <alignment horizontal="center" vertical="center" wrapText="1"/>
    </xf>
    <xf numFmtId="3" fontId="26" fillId="7" borderId="29" xfId="7" applyNumberFormat="1" applyFont="1" applyFill="1" applyBorder="1" applyAlignment="1">
      <alignment horizontal="center" vertical="center"/>
    </xf>
    <xf numFmtId="0" fontId="14" fillId="7" borderId="25" xfId="7" applyNumberFormat="1" applyFont="1" applyFill="1" applyBorder="1" applyAlignment="1">
      <alignment horizontal="center" vertical="center" wrapText="1"/>
    </xf>
    <xf numFmtId="0" fontId="14" fillId="7" borderId="29" xfId="7" applyNumberFormat="1" applyFont="1" applyFill="1" applyBorder="1" applyAlignment="1">
      <alignment horizontal="center" vertical="center" wrapText="1"/>
    </xf>
    <xf numFmtId="3" fontId="14" fillId="7" borderId="25" xfId="7" applyNumberFormat="1" applyFont="1" applyFill="1" applyBorder="1" applyAlignment="1">
      <alignment horizontal="center" vertical="center" wrapText="1"/>
    </xf>
    <xf numFmtId="3" fontId="26" fillId="7" borderId="33" xfId="7" applyNumberFormat="1" applyFont="1" applyFill="1" applyBorder="1" applyAlignment="1">
      <alignment horizontal="center" vertical="center"/>
    </xf>
    <xf numFmtId="3" fontId="14" fillId="7" borderId="29" xfId="7" applyNumberFormat="1" applyFont="1" applyFill="1" applyBorder="1" applyAlignment="1">
      <alignment horizontal="center" vertical="center" wrapText="1"/>
    </xf>
    <xf numFmtId="0" fontId="14" fillId="7" borderId="30" xfId="7" applyNumberFormat="1" applyFont="1" applyFill="1" applyBorder="1" applyAlignment="1">
      <alignment horizontal="center" vertical="center" wrapText="1"/>
    </xf>
    <xf numFmtId="0" fontId="14" fillId="7" borderId="32" xfId="7" applyNumberFormat="1" applyFont="1" applyFill="1" applyBorder="1" applyAlignment="1">
      <alignment horizontal="center" vertical="center" wrapText="1"/>
    </xf>
    <xf numFmtId="0" fontId="52" fillId="7" borderId="33" xfId="7" applyFont="1" applyFill="1" applyBorder="1" applyAlignment="1">
      <alignment vertical="center" wrapText="1"/>
    </xf>
    <xf numFmtId="3" fontId="14" fillId="7" borderId="32" xfId="7" applyNumberFormat="1" applyFont="1" applyFill="1" applyBorder="1" applyAlignment="1">
      <alignment horizontal="center" vertical="center" wrapText="1"/>
    </xf>
    <xf numFmtId="0" fontId="55" fillId="5" borderId="4" xfId="0" applyFont="1" applyFill="1" applyBorder="1"/>
    <xf numFmtId="0" fontId="55" fillId="5" borderId="25" xfId="0" applyFont="1" applyFill="1" applyBorder="1"/>
    <xf numFmtId="0" fontId="55" fillId="5" borderId="33" xfId="0" applyFont="1" applyFill="1" applyBorder="1"/>
    <xf numFmtId="0" fontId="55" fillId="5" borderId="16" xfId="0" applyFont="1" applyFill="1" applyBorder="1"/>
    <xf numFmtId="0" fontId="55" fillId="5" borderId="1" xfId="0" applyFont="1" applyFill="1" applyBorder="1" applyAlignment="1">
      <alignment horizontal="center"/>
    </xf>
    <xf numFmtId="0" fontId="55" fillId="5" borderId="10" xfId="0" applyFont="1" applyFill="1" applyBorder="1"/>
    <xf numFmtId="0" fontId="55" fillId="5" borderId="0" xfId="0" applyFont="1" applyFill="1" applyBorder="1" applyAlignment="1">
      <alignment horizontal="center"/>
    </xf>
    <xf numFmtId="0" fontId="55" fillId="5" borderId="11" xfId="0" applyFont="1" applyFill="1" applyBorder="1"/>
    <xf numFmtId="0" fontId="55" fillId="5" borderId="12" xfId="0" applyFont="1" applyFill="1" applyBorder="1" applyAlignment="1">
      <alignment horizontal="center"/>
    </xf>
    <xf numFmtId="0" fontId="55" fillId="5" borderId="5" xfId="0" applyFont="1" applyFill="1" applyBorder="1"/>
    <xf numFmtId="0" fontId="55" fillId="7" borderId="4" xfId="0" applyFont="1" applyFill="1" applyBorder="1"/>
    <xf numFmtId="0" fontId="55" fillId="7" borderId="0" xfId="0" applyFont="1" applyFill="1" applyBorder="1" applyAlignment="1">
      <alignment horizontal="center"/>
    </xf>
    <xf numFmtId="0" fontId="55" fillId="7" borderId="10" xfId="0" applyFont="1" applyFill="1" applyBorder="1"/>
    <xf numFmtId="0" fontId="55" fillId="5" borderId="4" xfId="0" applyFont="1" applyFill="1" applyBorder="1" applyAlignment="1">
      <alignment horizontal="center"/>
    </xf>
    <xf numFmtId="0" fontId="55" fillId="5" borderId="25" xfId="0" applyFont="1" applyFill="1" applyBorder="1" applyAlignment="1">
      <alignment horizontal="center"/>
    </xf>
    <xf numFmtId="0" fontId="55" fillId="5" borderId="41" xfId="0" applyFont="1" applyFill="1" applyBorder="1"/>
    <xf numFmtId="0" fontId="55" fillId="5" borderId="42" xfId="0" applyFont="1" applyFill="1" applyBorder="1"/>
    <xf numFmtId="0" fontId="55" fillId="5" borderId="33" xfId="0" applyFont="1" applyFill="1" applyBorder="1" applyAlignment="1">
      <alignment horizontal="center"/>
    </xf>
    <xf numFmtId="0" fontId="55" fillId="7" borderId="4" xfId="0" applyFont="1" applyFill="1" applyBorder="1" applyAlignment="1">
      <alignment horizontal="center"/>
    </xf>
    <xf numFmtId="0" fontId="55" fillId="5" borderId="10" xfId="0" applyFont="1" applyFill="1" applyBorder="1" applyAlignment="1">
      <alignment horizontal="right"/>
    </xf>
    <xf numFmtId="0" fontId="55" fillId="7" borderId="25" xfId="0" applyFont="1" applyFill="1" applyBorder="1" applyAlignment="1">
      <alignment horizontal="center"/>
    </xf>
    <xf numFmtId="0" fontId="55" fillId="7" borderId="10" xfId="0" applyFont="1" applyFill="1" applyBorder="1" applyAlignment="1">
      <alignment horizontal="right"/>
    </xf>
    <xf numFmtId="0" fontId="8" fillId="0" borderId="0" xfId="8" applyFill="1"/>
    <xf numFmtId="0" fontId="57" fillId="10" borderId="0" xfId="8" applyFont="1" applyFill="1" applyBorder="1" applyAlignment="1"/>
    <xf numFmtId="0" fontId="49" fillId="10" borderId="0" xfId="8" applyFont="1" applyFill="1" applyBorder="1" applyAlignment="1">
      <alignment horizontal="right"/>
    </xf>
    <xf numFmtId="0" fontId="13" fillId="10" borderId="0" xfId="8" applyFont="1" applyFill="1" applyBorder="1" applyAlignment="1"/>
    <xf numFmtId="0" fontId="8" fillId="10" borderId="0" xfId="8" applyFill="1" applyBorder="1"/>
    <xf numFmtId="0" fontId="39" fillId="3" borderId="11" xfId="8" applyFont="1" applyFill="1" applyBorder="1" applyAlignment="1">
      <alignment horizontal="center"/>
    </xf>
    <xf numFmtId="0" fontId="33" fillId="3" borderId="39" xfId="8" applyFont="1" applyFill="1" applyBorder="1"/>
    <xf numFmtId="0" fontId="33" fillId="3" borderId="39" xfId="8" applyFont="1" applyFill="1" applyBorder="1" applyAlignment="1">
      <alignment horizontal="center"/>
    </xf>
    <xf numFmtId="0" fontId="58" fillId="3" borderId="39" xfId="8" applyFont="1" applyFill="1" applyBorder="1" applyAlignment="1">
      <alignment horizontal="center"/>
    </xf>
    <xf numFmtId="0" fontId="33" fillId="3" borderId="38" xfId="8" applyFont="1" applyFill="1" applyBorder="1"/>
    <xf numFmtId="0" fontId="13" fillId="10" borderId="0" xfId="4" applyFont="1" applyFill="1" applyBorder="1" applyAlignment="1">
      <alignment horizontal="center"/>
    </xf>
    <xf numFmtId="0" fontId="33" fillId="3" borderId="12" xfId="8" applyFont="1" applyFill="1" applyBorder="1"/>
    <xf numFmtId="0" fontId="23" fillId="3" borderId="12" xfId="8" applyFont="1" applyFill="1" applyBorder="1" applyAlignment="1">
      <alignment horizontal="center"/>
    </xf>
    <xf numFmtId="0" fontId="24" fillId="3" borderId="12" xfId="8" applyFont="1" applyFill="1" applyBorder="1" applyAlignment="1">
      <alignment horizontal="right"/>
    </xf>
    <xf numFmtId="0" fontId="33" fillId="7" borderId="25" xfId="7" applyFont="1" applyFill="1" applyBorder="1" applyAlignment="1">
      <alignment horizontal="center" vertical="center" wrapText="1"/>
    </xf>
    <xf numFmtId="0" fontId="13" fillId="7" borderId="37" xfId="8" applyFont="1" applyFill="1" applyBorder="1" applyAlignment="1" applyProtection="1">
      <alignment horizontal="center"/>
      <protection locked="0"/>
    </xf>
    <xf numFmtId="0" fontId="13" fillId="7" borderId="2" xfId="8" applyFont="1" applyFill="1" applyBorder="1" applyAlignment="1" applyProtection="1">
      <alignment horizontal="center"/>
      <protection locked="0"/>
    </xf>
    <xf numFmtId="0" fontId="33" fillId="7" borderId="8" xfId="8" applyFont="1" applyFill="1" applyBorder="1" applyAlignment="1" applyProtection="1">
      <alignment horizontal="center"/>
      <protection locked="0"/>
    </xf>
    <xf numFmtId="0" fontId="33" fillId="7" borderId="40" xfId="8" applyFont="1" applyFill="1" applyBorder="1" applyAlignment="1" applyProtection="1">
      <alignment horizontal="center"/>
      <protection locked="0"/>
    </xf>
    <xf numFmtId="0" fontId="13" fillId="7" borderId="24" xfId="8" applyFont="1" applyFill="1" applyBorder="1" applyAlignment="1" applyProtection="1">
      <alignment horizontal="center"/>
      <protection locked="0"/>
    </xf>
    <xf numFmtId="0" fontId="13" fillId="7" borderId="17" xfId="8" applyFont="1" applyFill="1" applyBorder="1" applyAlignment="1" applyProtection="1">
      <alignment horizontal="center"/>
      <protection locked="0"/>
    </xf>
    <xf numFmtId="0" fontId="13" fillId="7" borderId="2" xfId="8" applyFont="1" applyFill="1" applyBorder="1" applyProtection="1"/>
    <xf numFmtId="0" fontId="33" fillId="7" borderId="27" xfId="8" applyFont="1" applyFill="1" applyBorder="1" applyAlignment="1" applyProtection="1">
      <alignment horizontal="center"/>
      <protection locked="0"/>
    </xf>
    <xf numFmtId="0" fontId="52" fillId="7" borderId="4" xfId="7" applyFont="1" applyFill="1" applyBorder="1" applyAlignment="1">
      <alignment vertical="center" wrapText="1"/>
    </xf>
    <xf numFmtId="0" fontId="33" fillId="7" borderId="4" xfId="7" applyFont="1" applyFill="1" applyBorder="1" applyAlignment="1">
      <alignment horizontal="center" vertical="center" wrapText="1"/>
    </xf>
    <xf numFmtId="0" fontId="26" fillId="7" borderId="4" xfId="7" applyFont="1" applyFill="1" applyBorder="1" applyAlignment="1">
      <alignment horizontal="center" vertical="center"/>
    </xf>
    <xf numFmtId="0" fontId="51" fillId="7" borderId="29" xfId="7" applyFont="1" applyFill="1" applyBorder="1" applyAlignment="1">
      <alignment horizontal="center" vertical="center" wrapText="1"/>
    </xf>
    <xf numFmtId="0" fontId="33" fillId="7" borderId="29" xfId="7" applyFont="1" applyFill="1" applyBorder="1" applyAlignment="1">
      <alignment horizontal="center" vertical="center" wrapText="1"/>
    </xf>
    <xf numFmtId="0" fontId="9" fillId="10" borderId="0" xfId="7" applyFill="1" applyBorder="1"/>
    <xf numFmtId="0" fontId="20" fillId="10" borderId="0" xfId="7" applyFont="1" applyFill="1" applyBorder="1" applyAlignment="1">
      <alignment horizontal="right"/>
    </xf>
    <xf numFmtId="0" fontId="20" fillId="10" borderId="0" xfId="7" applyFont="1" applyFill="1" applyBorder="1" applyAlignment="1"/>
    <xf numFmtId="0" fontId="55" fillId="0" borderId="10" xfId="0" applyFont="1" applyFill="1" applyBorder="1"/>
    <xf numFmtId="0" fontId="0" fillId="10" borderId="0" xfId="0" applyFill="1"/>
    <xf numFmtId="0" fontId="59" fillId="10" borderId="0" xfId="0" applyFont="1" applyFill="1"/>
    <xf numFmtId="0" fontId="50" fillId="10" borderId="0" xfId="0" applyFont="1" applyFill="1"/>
    <xf numFmtId="0" fontId="59" fillId="0" borderId="0" xfId="0" applyFont="1" applyFill="1"/>
    <xf numFmtId="0" fontId="50" fillId="0" borderId="0" xfId="0" applyFont="1" applyFill="1"/>
    <xf numFmtId="0" fontId="0" fillId="5" borderId="29" xfId="0" applyFill="1" applyBorder="1" applyAlignment="1">
      <alignment horizontal="center" vertical="center" wrapText="1"/>
    </xf>
    <xf numFmtId="0" fontId="15" fillId="0" borderId="0" xfId="0" applyFont="1" applyFill="1" applyBorder="1" applyAlignment="1">
      <alignment horizontal="center"/>
    </xf>
    <xf numFmtId="0" fontId="20" fillId="0" borderId="0" xfId="8" applyFont="1" applyFill="1" applyBorder="1" applyAlignment="1"/>
    <xf numFmtId="0" fontId="13" fillId="7" borderId="7" xfId="8" applyFont="1" applyFill="1" applyBorder="1" applyProtection="1"/>
    <xf numFmtId="0" fontId="13" fillId="7" borderId="7" xfId="8" applyFont="1" applyFill="1" applyBorder="1" applyAlignment="1" applyProtection="1">
      <alignment horizontal="center"/>
      <protection locked="0"/>
    </xf>
    <xf numFmtId="0" fontId="13" fillId="7" borderId="7" xfId="8" applyFont="1" applyFill="1" applyBorder="1" applyAlignment="1" applyProtection="1">
      <alignment horizontal="center"/>
    </xf>
    <xf numFmtId="0" fontId="13" fillId="7" borderId="6" xfId="8" applyFont="1" applyFill="1" applyBorder="1" applyAlignment="1" applyProtection="1">
      <alignment horizontal="center"/>
      <protection locked="0"/>
    </xf>
    <xf numFmtId="0" fontId="13" fillId="5" borderId="2" xfId="4" applyFont="1" applyFill="1" applyBorder="1" applyAlignment="1">
      <alignment vertical="center"/>
    </xf>
    <xf numFmtId="0" fontId="13" fillId="5" borderId="2" xfId="4" applyNumberFormat="1" applyFont="1" applyFill="1" applyBorder="1" applyAlignment="1">
      <alignment horizontal="center" vertical="center"/>
    </xf>
    <xf numFmtId="0" fontId="13" fillId="5" borderId="2" xfId="4" applyNumberFormat="1" applyFont="1" applyFill="1" applyBorder="1" applyAlignment="1">
      <alignment vertical="center"/>
    </xf>
    <xf numFmtId="0" fontId="13" fillId="5" borderId="2" xfId="4" applyFont="1" applyFill="1" applyBorder="1" applyAlignment="1">
      <alignment vertical="center" wrapText="1"/>
    </xf>
    <xf numFmtId="0" fontId="33" fillId="5" borderId="2" xfId="8" applyFont="1" applyFill="1" applyBorder="1" applyAlignment="1">
      <alignment vertical="center"/>
    </xf>
    <xf numFmtId="0" fontId="13" fillId="5" borderId="2" xfId="8" applyNumberFormat="1" applyFont="1" applyFill="1" applyBorder="1" applyAlignment="1">
      <alignment horizontal="center" vertical="center"/>
    </xf>
    <xf numFmtId="0" fontId="13" fillId="5" borderId="2" xfId="8" applyFont="1" applyFill="1" applyBorder="1" applyAlignment="1">
      <alignment horizontal="center" vertical="center"/>
    </xf>
    <xf numFmtId="0" fontId="13" fillId="5" borderId="2" xfId="8" applyFont="1" applyFill="1" applyBorder="1" applyAlignment="1">
      <alignment horizontal="center" vertical="center" wrapText="1"/>
    </xf>
    <xf numFmtId="0" fontId="13" fillId="5" borderId="2" xfId="0" applyFont="1" applyFill="1" applyBorder="1" applyAlignment="1">
      <alignment vertical="center"/>
    </xf>
    <xf numFmtId="0" fontId="13" fillId="5" borderId="2" xfId="0" applyFont="1" applyFill="1" applyBorder="1" applyAlignment="1">
      <alignment vertical="center" wrapText="1"/>
    </xf>
    <xf numFmtId="0" fontId="13" fillId="7" borderId="15" xfId="8" applyFont="1" applyFill="1" applyBorder="1" applyAlignment="1" applyProtection="1">
      <alignment horizontal="center"/>
      <protection locked="0"/>
    </xf>
    <xf numFmtId="0" fontId="33" fillId="7" borderId="2" xfId="8" applyFont="1" applyFill="1" applyBorder="1" applyAlignment="1" applyProtection="1">
      <alignment horizontal="center"/>
      <protection locked="0"/>
    </xf>
    <xf numFmtId="0" fontId="33" fillId="3" borderId="39" xfId="8" applyFont="1" applyFill="1" applyBorder="1" applyAlignment="1"/>
    <xf numFmtId="0" fontId="60" fillId="10" borderId="0" xfId="8" applyFont="1" applyFill="1" applyBorder="1" applyProtection="1"/>
    <xf numFmtId="0" fontId="60" fillId="10" borderId="0" xfId="8" applyFont="1" applyFill="1" applyBorder="1"/>
    <xf numFmtId="0" fontId="13" fillId="3" borderId="39" xfId="8" applyFont="1" applyFill="1" applyBorder="1" applyAlignment="1" applyProtection="1">
      <alignment horizontal="center"/>
      <protection locked="0"/>
    </xf>
    <xf numFmtId="0" fontId="9" fillId="0" borderId="20" xfId="7" applyFill="1" applyBorder="1" applyAlignment="1">
      <alignment horizontal="center" vertical="center"/>
    </xf>
    <xf numFmtId="0" fontId="19" fillId="7" borderId="2" xfId="7" applyFont="1" applyFill="1" applyBorder="1" applyAlignment="1">
      <alignment horizontal="center"/>
    </xf>
    <xf numFmtId="0" fontId="9" fillId="5" borderId="2" xfId="7" applyFill="1" applyBorder="1" applyAlignment="1"/>
    <xf numFmtId="0" fontId="9" fillId="5" borderId="2" xfId="7" applyFill="1" applyBorder="1"/>
    <xf numFmtId="0" fontId="19" fillId="0" borderId="0" xfId="7" applyFont="1" applyFill="1" applyAlignment="1">
      <alignment horizontal="center"/>
    </xf>
    <xf numFmtId="0" fontId="19" fillId="7" borderId="2" xfId="7" applyFont="1" applyFill="1" applyBorder="1"/>
    <xf numFmtId="0" fontId="19" fillId="5" borderId="2" xfId="7" applyFont="1" applyFill="1" applyBorder="1" applyAlignment="1">
      <alignment horizontal="center"/>
    </xf>
    <xf numFmtId="0" fontId="51" fillId="7" borderId="2" xfId="7" applyFont="1" applyFill="1" applyBorder="1" applyAlignment="1">
      <alignment horizontal="center" vertical="center" wrapText="1"/>
    </xf>
    <xf numFmtId="0" fontId="47" fillId="7" borderId="2" xfId="7" applyFont="1" applyFill="1" applyBorder="1" applyAlignment="1">
      <alignment horizontal="center"/>
    </xf>
    <xf numFmtId="0" fontId="25" fillId="5" borderId="2" xfId="7" applyFont="1" applyFill="1" applyBorder="1" applyAlignment="1">
      <alignment horizontal="center" vertical="center"/>
    </xf>
    <xf numFmtId="0" fontId="51" fillId="7" borderId="33" xfId="7" applyFont="1" applyFill="1" applyBorder="1" applyAlignment="1">
      <alignment horizontal="center" vertical="center" wrapText="1"/>
    </xf>
    <xf numFmtId="3" fontId="26" fillId="7" borderId="4" xfId="7" applyNumberFormat="1" applyFont="1" applyFill="1" applyBorder="1" applyAlignment="1">
      <alignment horizontal="center" vertical="center"/>
    </xf>
    <xf numFmtId="3" fontId="14" fillId="7" borderId="30" xfId="7" applyNumberFormat="1" applyFont="1" applyFill="1" applyBorder="1" applyAlignment="1">
      <alignment horizontal="center" vertical="center" wrapText="1"/>
    </xf>
    <xf numFmtId="0" fontId="19" fillId="5" borderId="2" xfId="7" applyFont="1" applyFill="1" applyBorder="1"/>
    <xf numFmtId="0" fontId="9" fillId="5" borderId="2" xfId="7" applyFill="1" applyBorder="1" applyAlignment="1">
      <alignment horizontal="center"/>
    </xf>
    <xf numFmtId="0" fontId="9" fillId="7" borderId="2" xfId="7" applyFill="1" applyBorder="1" applyAlignment="1">
      <alignment horizontal="center"/>
    </xf>
    <xf numFmtId="0" fontId="0" fillId="5" borderId="30" xfId="0" applyFill="1" applyBorder="1" applyAlignment="1">
      <alignment horizontal="center" vertical="center" wrapText="1"/>
    </xf>
    <xf numFmtId="0" fontId="0" fillId="0" borderId="0" xfId="0" applyFill="1"/>
    <xf numFmtId="0" fontId="13" fillId="7" borderId="45" xfId="8" applyFont="1" applyFill="1" applyBorder="1" applyAlignment="1" applyProtection="1">
      <alignment horizontal="center"/>
      <protection locked="0"/>
    </xf>
    <xf numFmtId="0" fontId="33" fillId="3" borderId="46" xfId="8" applyFont="1" applyFill="1" applyBorder="1" applyAlignment="1">
      <alignment horizontal="center"/>
    </xf>
    <xf numFmtId="0" fontId="13" fillId="7" borderId="47" xfId="8" applyFont="1" applyFill="1" applyBorder="1" applyAlignment="1" applyProtection="1">
      <alignment horizontal="center"/>
      <protection locked="0"/>
    </xf>
    <xf numFmtId="0" fontId="13" fillId="7" borderId="41" xfId="8" applyFont="1" applyFill="1" applyBorder="1" applyAlignment="1" applyProtection="1">
      <alignment horizontal="center"/>
      <protection locked="0"/>
    </xf>
    <xf numFmtId="0" fontId="8" fillId="0" borderId="0" xfId="8" applyBorder="1"/>
    <xf numFmtId="0" fontId="8" fillId="10" borderId="0" xfId="8" applyFill="1"/>
    <xf numFmtId="0" fontId="62" fillId="7" borderId="4" xfId="8" applyFont="1" applyFill="1" applyBorder="1" applyProtection="1"/>
    <xf numFmtId="0" fontId="56" fillId="10" borderId="0" xfId="8" applyFont="1" applyFill="1" applyBorder="1"/>
    <xf numFmtId="0" fontId="61" fillId="10" borderId="0" xfId="8" applyFont="1" applyFill="1" applyBorder="1"/>
    <xf numFmtId="0" fontId="62" fillId="7" borderId="4" xfId="8" applyFont="1" applyFill="1" applyBorder="1" applyAlignment="1" applyProtection="1">
      <alignment horizontal="left"/>
    </xf>
    <xf numFmtId="0" fontId="62" fillId="7" borderId="9" xfId="8" applyFont="1" applyFill="1" applyBorder="1" applyAlignment="1" applyProtection="1">
      <alignment horizontal="left"/>
    </xf>
    <xf numFmtId="0" fontId="62" fillId="10" borderId="0" xfId="8" applyFont="1" applyFill="1" applyBorder="1" applyAlignment="1" applyProtection="1">
      <alignment horizontal="left"/>
    </xf>
    <xf numFmtId="0" fontId="13" fillId="10" borderId="2" xfId="8" applyFont="1" applyFill="1" applyBorder="1" applyProtection="1"/>
    <xf numFmtId="0" fontId="13" fillId="10" borderId="7" xfId="8" applyFont="1" applyFill="1" applyBorder="1" applyAlignment="1" applyProtection="1">
      <alignment horizontal="center"/>
    </xf>
    <xf numFmtId="0" fontId="21" fillId="10" borderId="0" xfId="8" applyFont="1" applyFill="1" applyBorder="1" applyAlignment="1">
      <alignment horizontal="center" vertical="center"/>
    </xf>
    <xf numFmtId="0" fontId="15" fillId="10" borderId="10" xfId="8" applyFont="1" applyFill="1" applyBorder="1" applyAlignment="1">
      <alignment horizontal="center" vertical="center"/>
    </xf>
    <xf numFmtId="0" fontId="15" fillId="10" borderId="4" xfId="8" applyFont="1" applyFill="1" applyBorder="1" applyAlignment="1">
      <alignment horizontal="center" vertical="center"/>
    </xf>
    <xf numFmtId="0" fontId="15" fillId="10" borderId="0" xfId="8" applyFont="1" applyFill="1" applyBorder="1" applyAlignment="1">
      <alignment horizontal="center" vertical="center" wrapText="1"/>
    </xf>
    <xf numFmtId="0" fontId="15" fillId="10" borderId="4" xfId="8" applyFont="1" applyFill="1" applyBorder="1" applyAlignment="1">
      <alignment horizontal="center" vertical="center" wrapText="1"/>
    </xf>
    <xf numFmtId="0" fontId="48" fillId="10" borderId="4" xfId="8" applyFont="1" applyFill="1" applyBorder="1" applyAlignment="1">
      <alignment horizontal="center" vertical="center" wrapText="1"/>
    </xf>
    <xf numFmtId="0" fontId="21" fillId="10" borderId="6" xfId="8" applyFont="1" applyFill="1" applyBorder="1" applyAlignment="1">
      <alignment horizontal="center" vertical="center"/>
    </xf>
    <xf numFmtId="0" fontId="21" fillId="10" borderId="5" xfId="8" applyFont="1" applyFill="1" applyBorder="1" applyAlignment="1">
      <alignment horizontal="center" vertical="center"/>
    </xf>
    <xf numFmtId="0" fontId="21" fillId="10" borderId="0" xfId="8" applyFont="1" applyFill="1" applyBorder="1" applyAlignment="1">
      <alignment horizontal="center" vertical="center" wrapText="1"/>
    </xf>
    <xf numFmtId="0" fontId="63" fillId="2" borderId="48" xfId="4" applyNumberFormat="1" applyFont="1" applyFill="1" applyBorder="1" applyAlignment="1" applyProtection="1">
      <alignment horizontal="center" vertical="center"/>
      <protection locked="0"/>
    </xf>
    <xf numFmtId="0" fontId="33" fillId="10" borderId="0" xfId="8" applyFont="1" applyFill="1" applyBorder="1"/>
    <xf numFmtId="0" fontId="33" fillId="10" borderId="43" xfId="8" applyFont="1" applyFill="1" applyBorder="1"/>
    <xf numFmtId="0" fontId="33" fillId="10" borderId="4" xfId="8" applyFont="1" applyFill="1" applyBorder="1"/>
    <xf numFmtId="0" fontId="33" fillId="10" borderId="4" xfId="8" applyFont="1" applyFill="1" applyBorder="1" applyAlignment="1">
      <alignment horizontal="center"/>
    </xf>
    <xf numFmtId="0" fontId="58" fillId="10" borderId="4" xfId="8" applyFont="1" applyFill="1" applyBorder="1" applyAlignment="1">
      <alignment horizontal="center"/>
    </xf>
    <xf numFmtId="0" fontId="33" fillId="10" borderId="6" xfId="8" applyFont="1" applyFill="1" applyBorder="1" applyAlignment="1"/>
    <xf numFmtId="0" fontId="33" fillId="10" borderId="5" xfId="8" applyFont="1" applyFill="1" applyBorder="1" applyAlignment="1">
      <alignment horizontal="center"/>
    </xf>
    <xf numFmtId="0" fontId="39" fillId="10" borderId="10" xfId="8" applyFont="1" applyFill="1" applyBorder="1" applyAlignment="1">
      <alignment horizontal="center"/>
    </xf>
    <xf numFmtId="0" fontId="23" fillId="10" borderId="0" xfId="8" applyFont="1" applyFill="1" applyBorder="1" applyAlignment="1">
      <alignment horizontal="center"/>
    </xf>
    <xf numFmtId="0" fontId="23" fillId="10" borderId="12" xfId="8" applyFont="1" applyFill="1" applyBorder="1" applyAlignment="1">
      <alignment horizontal="center"/>
    </xf>
    <xf numFmtId="0" fontId="24" fillId="10" borderId="0" xfId="8" applyFont="1" applyFill="1" applyBorder="1" applyAlignment="1">
      <alignment horizontal="right"/>
    </xf>
    <xf numFmtId="0" fontId="13" fillId="10" borderId="0" xfId="8" applyFont="1" applyFill="1" applyBorder="1" applyAlignment="1">
      <alignment horizontal="center"/>
    </xf>
    <xf numFmtId="0" fontId="62" fillId="7" borderId="41" xfId="8" applyFont="1" applyFill="1" applyBorder="1"/>
    <xf numFmtId="0" fontId="62" fillId="7" borderId="41" xfId="8" applyFont="1" applyFill="1" applyBorder="1" applyAlignment="1">
      <alignment horizontal="left"/>
    </xf>
    <xf numFmtId="0" fontId="62" fillId="7" borderId="5" xfId="8" applyFont="1" applyFill="1" applyBorder="1" applyAlignment="1" applyProtection="1">
      <alignment horizontal="left"/>
    </xf>
    <xf numFmtId="0" fontId="33" fillId="10" borderId="3" xfId="8" applyFont="1" applyFill="1" applyBorder="1" applyAlignment="1">
      <alignment horizontal="center"/>
    </xf>
    <xf numFmtId="0" fontId="33" fillId="10" borderId="15" xfId="8" applyFont="1" applyFill="1" applyBorder="1" applyAlignment="1"/>
    <xf numFmtId="0" fontId="13" fillId="10" borderId="4" xfId="8" applyFont="1" applyFill="1" applyBorder="1" applyAlignment="1" applyProtection="1">
      <alignment horizontal="center"/>
      <protection locked="0"/>
    </xf>
    <xf numFmtId="0" fontId="34" fillId="10" borderId="0" xfId="4" applyFont="1" applyFill="1" applyBorder="1" applyAlignment="1">
      <alignment horizontal="left"/>
    </xf>
    <xf numFmtId="0" fontId="37" fillId="10" borderId="0" xfId="4" applyFont="1" applyFill="1" applyBorder="1" applyAlignment="1">
      <alignment horizontal="left"/>
    </xf>
    <xf numFmtId="0" fontId="37" fillId="10" borderId="0" xfId="4" applyFont="1" applyFill="1" applyBorder="1" applyAlignment="1">
      <alignment horizontal="left" vertical="center"/>
    </xf>
    <xf numFmtId="0" fontId="40" fillId="10" borderId="0" xfId="4" applyFont="1" applyFill="1" applyBorder="1" applyAlignment="1">
      <alignment horizontal="left"/>
    </xf>
    <xf numFmtId="0" fontId="19" fillId="10" borderId="0" xfId="8" applyFont="1" applyFill="1" applyBorder="1" applyAlignment="1">
      <alignment horizontal="left"/>
    </xf>
    <xf numFmtId="0" fontId="42" fillId="10" borderId="0" xfId="4" applyFont="1" applyFill="1" applyBorder="1" applyAlignment="1">
      <alignment horizontal="left"/>
    </xf>
    <xf numFmtId="0" fontId="46" fillId="10" borderId="0" xfId="8" applyFont="1" applyFill="1" applyBorder="1" applyAlignment="1">
      <alignment horizontal="left"/>
    </xf>
    <xf numFmtId="0" fontId="14" fillId="0" borderId="0" xfId="3"/>
    <xf numFmtId="0" fontId="55" fillId="5" borderId="1" xfId="3" applyFont="1" applyFill="1" applyBorder="1"/>
    <xf numFmtId="0" fontId="55" fillId="5" borderId="25" xfId="3" applyFont="1" applyFill="1" applyBorder="1" applyAlignment="1">
      <alignment horizontal="center"/>
    </xf>
    <xf numFmtId="0" fontId="55" fillId="5" borderId="0" xfId="3" applyFont="1" applyFill="1" applyBorder="1"/>
    <xf numFmtId="0" fontId="55" fillId="5" borderId="4" xfId="3" applyFont="1" applyFill="1" applyBorder="1" applyAlignment="1">
      <alignment horizontal="center"/>
    </xf>
    <xf numFmtId="0" fontId="55" fillId="7" borderId="1" xfId="3" applyFont="1" applyFill="1" applyBorder="1"/>
    <xf numFmtId="0" fontId="55" fillId="7" borderId="25" xfId="3" applyFont="1" applyFill="1" applyBorder="1" applyAlignment="1">
      <alignment horizontal="center"/>
    </xf>
    <xf numFmtId="0" fontId="55" fillId="7" borderId="0" xfId="3" applyFont="1" applyFill="1" applyBorder="1"/>
    <xf numFmtId="0" fontId="55" fillId="7" borderId="4" xfId="3" applyFont="1" applyFill="1" applyBorder="1" applyAlignment="1">
      <alignment horizontal="center"/>
    </xf>
    <xf numFmtId="0" fontId="55" fillId="5" borderId="12" xfId="3" applyFont="1" applyFill="1" applyBorder="1"/>
    <xf numFmtId="0" fontId="55" fillId="5" borderId="33" xfId="3" applyFont="1" applyFill="1" applyBorder="1" applyAlignment="1">
      <alignment horizontal="center"/>
    </xf>
    <xf numFmtId="0" fontId="55" fillId="7" borderId="12" xfId="3" applyFont="1" applyFill="1" applyBorder="1"/>
    <xf numFmtId="0" fontId="55" fillId="7" borderId="33" xfId="3" applyFont="1" applyFill="1" applyBorder="1" applyAlignment="1">
      <alignment horizontal="center"/>
    </xf>
    <xf numFmtId="0" fontId="0" fillId="5" borderId="25" xfId="0" applyFill="1" applyBorder="1" applyAlignment="1">
      <alignment horizontal="center" vertical="center" wrapText="1"/>
    </xf>
    <xf numFmtId="0" fontId="0" fillId="5" borderId="32" xfId="0" applyFill="1" applyBorder="1" applyAlignment="1">
      <alignment horizontal="center" vertical="center" wrapText="1"/>
    </xf>
    <xf numFmtId="0" fontId="33" fillId="7" borderId="29" xfId="7" applyFont="1" applyFill="1" applyBorder="1" applyAlignment="1">
      <alignment vertical="center" wrapText="1"/>
    </xf>
    <xf numFmtId="0" fontId="26" fillId="7" borderId="29" xfId="7" applyFont="1" applyFill="1" applyBorder="1" applyAlignment="1">
      <alignment horizontal="center" vertical="center" wrapText="1"/>
    </xf>
    <xf numFmtId="3" fontId="27" fillId="7" borderId="29" xfId="7" applyNumberFormat="1" applyFont="1" applyFill="1" applyBorder="1" applyAlignment="1">
      <alignment horizontal="center" vertical="center"/>
    </xf>
    <xf numFmtId="0" fontId="14" fillId="7" borderId="4" xfId="7" applyNumberFormat="1" applyFont="1" applyFill="1" applyBorder="1" applyAlignment="1">
      <alignment horizontal="center" vertical="center"/>
    </xf>
    <xf numFmtId="3" fontId="27" fillId="7" borderId="4" xfId="7" applyNumberFormat="1" applyFont="1" applyFill="1" applyBorder="1" applyAlignment="1">
      <alignment horizontal="center" vertical="center" wrapText="1"/>
    </xf>
    <xf numFmtId="3" fontId="27" fillId="7" borderId="33" xfId="7" applyNumberFormat="1" applyFont="1" applyFill="1" applyBorder="1" applyAlignment="1">
      <alignment horizontal="center" vertical="center"/>
    </xf>
    <xf numFmtId="3" fontId="14" fillId="7" borderId="4" xfId="7" applyNumberFormat="1" applyFont="1" applyFill="1" applyBorder="1" applyAlignment="1">
      <alignment horizontal="center" vertical="center" wrapText="1"/>
    </xf>
    <xf numFmtId="3" fontId="27" fillId="7" borderId="33" xfId="7" applyNumberFormat="1" applyFont="1" applyFill="1" applyBorder="1" applyAlignment="1">
      <alignment horizontal="center" vertical="center" wrapText="1"/>
    </xf>
    <xf numFmtId="0" fontId="27" fillId="7" borderId="30" xfId="7" applyNumberFormat="1" applyFont="1" applyFill="1" applyBorder="1" applyAlignment="1">
      <alignment horizontal="center" vertical="center"/>
    </xf>
    <xf numFmtId="3" fontId="14" fillId="7" borderId="9" xfId="7" applyNumberFormat="1" applyFont="1" applyFill="1" applyBorder="1" applyAlignment="1">
      <alignment horizontal="center" vertical="center" wrapText="1"/>
    </xf>
    <xf numFmtId="3" fontId="27" fillId="7" borderId="9" xfId="7" applyNumberFormat="1" applyFont="1" applyFill="1" applyBorder="1" applyAlignment="1">
      <alignment horizontal="center" vertical="center" wrapText="1"/>
    </xf>
    <xf numFmtId="3" fontId="27" fillId="7" borderId="34" xfId="7" applyNumberFormat="1" applyFont="1" applyFill="1" applyBorder="1" applyAlignment="1">
      <alignment horizontal="center" vertical="center" wrapText="1"/>
    </xf>
    <xf numFmtId="0" fontId="54" fillId="7" borderId="40" xfId="0" applyFont="1" applyFill="1" applyBorder="1" applyAlignment="1" applyProtection="1">
      <alignment horizontal="center" vertical="center"/>
    </xf>
    <xf numFmtId="0" fontId="13" fillId="5" borderId="49" xfId="4" applyFont="1" applyFill="1" applyBorder="1" applyAlignment="1">
      <alignment vertical="center" wrapText="1"/>
    </xf>
    <xf numFmtId="0" fontId="13" fillId="5" borderId="27" xfId="0" applyFont="1" applyFill="1" applyBorder="1" applyAlignment="1" applyProtection="1">
      <alignment wrapText="1"/>
      <protection locked="0"/>
    </xf>
    <xf numFmtId="0" fontId="32" fillId="0" borderId="2" xfId="3" applyFont="1" applyBorder="1"/>
    <xf numFmtId="0" fontId="27" fillId="0" borderId="2" xfId="3" applyFont="1" applyBorder="1" applyAlignment="1" applyProtection="1">
      <alignment horizontal="center"/>
    </xf>
    <xf numFmtId="0" fontId="14" fillId="0" borderId="2" xfId="3" applyBorder="1" applyProtection="1"/>
    <xf numFmtId="0" fontId="14" fillId="0" borderId="2" xfId="3" applyBorder="1" applyProtection="1">
      <protection locked="0"/>
    </xf>
    <xf numFmtId="0" fontId="27" fillId="0" borderId="2" xfId="3" applyFont="1" applyBorder="1" applyProtection="1">
      <protection locked="0"/>
    </xf>
    <xf numFmtId="0" fontId="14" fillId="0" borderId="50" xfId="3" applyBorder="1"/>
    <xf numFmtId="0" fontId="14" fillId="0" borderId="0" xfId="3" applyBorder="1"/>
    <xf numFmtId="0" fontId="55" fillId="5" borderId="18" xfId="0" applyFont="1" applyFill="1" applyBorder="1" applyAlignment="1">
      <alignment horizontal="center"/>
    </xf>
    <xf numFmtId="0" fontId="55" fillId="5" borderId="13" xfId="0" applyFont="1" applyFill="1" applyBorder="1" applyAlignment="1">
      <alignment horizontal="center"/>
    </xf>
    <xf numFmtId="0" fontId="55" fillId="5" borderId="14" xfId="0" applyFont="1" applyFill="1" applyBorder="1" applyAlignment="1">
      <alignment horizontal="center"/>
    </xf>
    <xf numFmtId="0" fontId="55" fillId="7" borderId="13" xfId="0" applyFont="1" applyFill="1" applyBorder="1" applyAlignment="1">
      <alignment horizontal="center"/>
    </xf>
    <xf numFmtId="0" fontId="55" fillId="5" borderId="9" xfId="0" applyFont="1" applyFill="1" applyBorder="1" applyAlignment="1">
      <alignment horizontal="center"/>
    </xf>
    <xf numFmtId="0" fontId="55" fillId="5" borderId="34" xfId="0" applyFont="1" applyFill="1" applyBorder="1" applyAlignment="1">
      <alignment horizontal="center"/>
    </xf>
    <xf numFmtId="0" fontId="55" fillId="7" borderId="9" xfId="0" applyFont="1" applyFill="1" applyBorder="1" applyAlignment="1">
      <alignment horizontal="center"/>
    </xf>
    <xf numFmtId="0" fontId="55" fillId="5" borderId="32" xfId="0" applyFont="1" applyFill="1" applyBorder="1" applyAlignment="1">
      <alignment horizontal="center"/>
    </xf>
    <xf numFmtId="0" fontId="55" fillId="5" borderId="32" xfId="3" applyFont="1" applyFill="1" applyBorder="1" applyAlignment="1">
      <alignment horizontal="center"/>
    </xf>
    <xf numFmtId="0" fontId="55" fillId="5" borderId="9" xfId="3" applyFont="1" applyFill="1" applyBorder="1" applyAlignment="1">
      <alignment horizontal="center"/>
    </xf>
    <xf numFmtId="0" fontId="55" fillId="5" borderId="34" xfId="3" applyFont="1" applyFill="1" applyBorder="1" applyAlignment="1">
      <alignment horizontal="center"/>
    </xf>
    <xf numFmtId="0" fontId="55" fillId="7" borderId="32" xfId="3" applyFont="1" applyFill="1" applyBorder="1" applyAlignment="1">
      <alignment horizontal="center"/>
    </xf>
    <xf numFmtId="0" fontId="55" fillId="7" borderId="9" xfId="3" applyFont="1" applyFill="1" applyBorder="1" applyAlignment="1">
      <alignment horizontal="center"/>
    </xf>
    <xf numFmtId="0" fontId="55" fillId="7" borderId="34" xfId="3" applyFont="1" applyFill="1" applyBorder="1" applyAlignment="1">
      <alignment horizontal="center"/>
    </xf>
    <xf numFmtId="0" fontId="64" fillId="5" borderId="4" xfId="0" applyFont="1" applyFill="1" applyBorder="1"/>
    <xf numFmtId="0" fontId="64" fillId="5" borderId="33" xfId="0" applyFont="1" applyFill="1" applyBorder="1"/>
    <xf numFmtId="0" fontId="64" fillId="5" borderId="25" xfId="0" applyFont="1" applyFill="1" applyBorder="1"/>
    <xf numFmtId="0" fontId="64" fillId="7" borderId="4" xfId="0" applyFont="1" applyFill="1" applyBorder="1"/>
    <xf numFmtId="0" fontId="55" fillId="5" borderId="24" xfId="0" applyFont="1" applyFill="1" applyBorder="1" applyAlignment="1">
      <alignment horizontal="center"/>
    </xf>
    <xf numFmtId="0" fontId="55" fillId="5" borderId="6" xfId="0" applyFont="1" applyFill="1" applyBorder="1" applyAlignment="1">
      <alignment horizontal="center"/>
    </xf>
    <xf numFmtId="0" fontId="55" fillId="5" borderId="35" xfId="0" applyFont="1" applyFill="1" applyBorder="1" applyAlignment="1">
      <alignment horizontal="center"/>
    </xf>
    <xf numFmtId="0" fontId="30" fillId="7" borderId="4" xfId="0" applyFont="1" applyFill="1" applyBorder="1" applyAlignment="1">
      <alignment horizontal="center"/>
    </xf>
    <xf numFmtId="0" fontId="30" fillId="7" borderId="33" xfId="0" applyFont="1" applyFill="1" applyBorder="1" applyAlignment="1">
      <alignment horizontal="center"/>
    </xf>
    <xf numFmtId="9" fontId="0" fillId="0" borderId="0" xfId="0" applyNumberFormat="1"/>
    <xf numFmtId="9" fontId="0" fillId="0" borderId="0" xfId="15" applyFont="1"/>
    <xf numFmtId="3" fontId="13" fillId="5" borderId="7" xfId="8" applyNumberFormat="1" applyFont="1" applyFill="1" applyBorder="1" applyAlignment="1" applyProtection="1">
      <alignment horizontal="center" vertical="center"/>
    </xf>
    <xf numFmtId="0" fontId="24" fillId="5" borderId="7" xfId="8" applyFont="1" applyFill="1" applyBorder="1" applyAlignment="1" applyProtection="1">
      <alignment horizontal="left" vertical="center"/>
    </xf>
    <xf numFmtId="0" fontId="13" fillId="5" borderId="51" xfId="0" applyFont="1" applyFill="1" applyBorder="1" applyAlignment="1" applyProtection="1">
      <alignment horizontal="center"/>
    </xf>
    <xf numFmtId="9" fontId="13" fillId="5" borderId="7" xfId="15" applyFont="1" applyFill="1" applyBorder="1" applyAlignment="1" applyProtection="1">
      <alignment horizontal="center"/>
    </xf>
    <xf numFmtId="3" fontId="13" fillId="5" borderId="2" xfId="8" applyNumberFormat="1" applyFont="1" applyFill="1" applyBorder="1" applyAlignment="1" applyProtection="1">
      <alignment horizontal="center" vertical="center"/>
    </xf>
    <xf numFmtId="0" fontId="24" fillId="5" borderId="2" xfId="8" applyFont="1" applyFill="1" applyBorder="1" applyAlignment="1" applyProtection="1">
      <alignment horizontal="left" vertical="center"/>
    </xf>
    <xf numFmtId="0" fontId="13" fillId="5" borderId="26" xfId="0" applyFont="1" applyFill="1" applyBorder="1" applyAlignment="1" applyProtection="1">
      <alignment horizontal="center"/>
    </xf>
    <xf numFmtId="0" fontId="13" fillId="5" borderId="26" xfId="0" applyFont="1" applyFill="1" applyBorder="1" applyAlignment="1" applyProtection="1">
      <alignment horizontal="center" vertical="center"/>
    </xf>
    <xf numFmtId="0" fontId="13" fillId="5" borderId="7" xfId="0" applyFont="1" applyFill="1" applyBorder="1" applyAlignment="1" applyProtection="1">
      <alignment horizontal="center"/>
      <protection locked="0"/>
    </xf>
    <xf numFmtId="9" fontId="13" fillId="5" borderId="2" xfId="15" applyFont="1" applyFill="1" applyBorder="1" applyAlignment="1" applyProtection="1">
      <alignment horizontal="center"/>
      <protection locked="0"/>
    </xf>
    <xf numFmtId="0" fontId="13" fillId="5" borderId="2" xfId="0" applyFont="1" applyFill="1" applyBorder="1" applyAlignment="1" applyProtection="1">
      <alignment horizontal="center"/>
      <protection locked="0"/>
    </xf>
    <xf numFmtId="0" fontId="13" fillId="5" borderId="7" xfId="0" applyFont="1" applyFill="1" applyBorder="1" applyAlignment="1" applyProtection="1">
      <alignment horizontal="center"/>
    </xf>
    <xf numFmtId="0" fontId="13" fillId="5" borderId="2" xfId="4" applyNumberFormat="1" applyFont="1" applyFill="1" applyBorder="1" applyAlignment="1">
      <alignment horizontal="center" vertical="center" wrapText="1"/>
    </xf>
    <xf numFmtId="0" fontId="13" fillId="5" borderId="2" xfId="4" applyFont="1" applyFill="1" applyBorder="1" applyAlignment="1">
      <alignment horizontal="center" vertical="center"/>
    </xf>
    <xf numFmtId="0" fontId="13" fillId="5" borderId="2" xfId="4" applyFont="1" applyFill="1" applyBorder="1" applyAlignment="1">
      <alignment horizontal="left" vertical="center" wrapText="1"/>
    </xf>
    <xf numFmtId="0" fontId="13" fillId="5" borderId="2" xfId="4" applyFont="1" applyFill="1" applyBorder="1" applyAlignment="1">
      <alignment horizontal="center" vertical="center" wrapText="1"/>
    </xf>
    <xf numFmtId="0" fontId="33" fillId="5" borderId="2" xfId="8" applyFont="1" applyFill="1" applyBorder="1" applyProtection="1">
      <protection locked="0"/>
    </xf>
    <xf numFmtId="0" fontId="13" fillId="5" borderId="2" xfId="0" applyFont="1" applyFill="1" applyBorder="1" applyAlignment="1">
      <alignment horizontal="left" vertical="center" wrapText="1"/>
    </xf>
    <xf numFmtId="0" fontId="13" fillId="5" borderId="2" xfId="4" applyNumberFormat="1" applyFont="1" applyFill="1" applyBorder="1" applyAlignment="1" applyProtection="1">
      <alignment horizontal="right" vertical="center"/>
      <protection locked="0"/>
    </xf>
    <xf numFmtId="3" fontId="13" fillId="5" borderId="2" xfId="8" applyNumberFormat="1" applyFont="1" applyFill="1" applyBorder="1" applyAlignment="1" applyProtection="1">
      <alignment horizontal="right" vertical="center"/>
      <protection locked="0"/>
    </xf>
    <xf numFmtId="0" fontId="13" fillId="5" borderId="2" xfId="0" applyFont="1" applyFill="1" applyBorder="1" applyProtection="1">
      <protection locked="0"/>
    </xf>
    <xf numFmtId="0" fontId="33" fillId="7" borderId="40" xfId="17" applyFont="1" applyFill="1" applyBorder="1" applyAlignment="1" applyProtection="1">
      <alignment horizontal="center"/>
      <protection locked="0"/>
    </xf>
    <xf numFmtId="0" fontId="13" fillId="7" borderId="37" xfId="17" applyFont="1" applyFill="1" applyBorder="1" applyAlignment="1" applyProtection="1">
      <alignment horizontal="center"/>
      <protection locked="0"/>
    </xf>
    <xf numFmtId="0" fontId="13" fillId="7" borderId="41" xfId="17" applyFont="1" applyFill="1" applyBorder="1" applyAlignment="1" applyProtection="1">
      <alignment horizontal="center"/>
      <protection locked="0"/>
    </xf>
    <xf numFmtId="0" fontId="13" fillId="7" borderId="17" xfId="17" applyFont="1" applyFill="1" applyBorder="1" applyAlignment="1" applyProtection="1">
      <alignment horizontal="center"/>
      <protection locked="0"/>
    </xf>
    <xf numFmtId="0" fontId="13" fillId="5" borderId="2" xfId="0" applyFont="1" applyFill="1" applyBorder="1" applyAlignment="1" applyProtection="1">
      <alignment vertical="center"/>
      <protection locked="0"/>
    </xf>
    <xf numFmtId="0" fontId="13" fillId="5" borderId="2" xfId="17" applyNumberFormat="1" applyFont="1" applyFill="1" applyBorder="1" applyAlignment="1" applyProtection="1">
      <alignment horizontal="right" vertical="center"/>
      <protection locked="0"/>
    </xf>
    <xf numFmtId="0" fontId="13" fillId="5" borderId="2" xfId="0" applyFont="1" applyFill="1" applyBorder="1" applyAlignment="1" applyProtection="1">
      <alignment wrapText="1"/>
      <protection locked="0"/>
    </xf>
    <xf numFmtId="0" fontId="13" fillId="5" borderId="2" xfId="17" applyNumberFormat="1" applyFont="1" applyFill="1" applyBorder="1" applyAlignment="1" applyProtection="1">
      <alignment vertical="center"/>
      <protection locked="0"/>
    </xf>
    <xf numFmtId="0" fontId="33" fillId="7" borderId="8" xfId="17" applyFont="1" applyFill="1" applyBorder="1" applyAlignment="1" applyProtection="1">
      <alignment horizontal="center"/>
      <protection locked="0"/>
    </xf>
    <xf numFmtId="0" fontId="13" fillId="5" borderId="2" xfId="0" applyNumberFormat="1" applyFont="1" applyFill="1" applyBorder="1" applyAlignment="1" applyProtection="1">
      <alignment horizontal="right" vertical="center"/>
      <protection locked="0"/>
    </xf>
    <xf numFmtId="0" fontId="19" fillId="9" borderId="2" xfId="7" applyFont="1" applyFill="1" applyBorder="1" applyAlignment="1">
      <alignment horizontal="center"/>
    </xf>
    <xf numFmtId="0" fontId="55" fillId="7" borderId="43" xfId="0" applyFont="1" applyFill="1" applyBorder="1" applyAlignment="1" applyProtection="1">
      <alignment vertical="center" wrapText="1"/>
      <protection locked="0"/>
    </xf>
    <xf numFmtId="0" fontId="48" fillId="15" borderId="29" xfId="8" applyFont="1" applyFill="1" applyBorder="1" applyAlignment="1">
      <alignment horizontal="center" vertical="center" wrapText="1"/>
    </xf>
    <xf numFmtId="0" fontId="32" fillId="15" borderId="23" xfId="8" applyFont="1" applyFill="1" applyBorder="1" applyAlignment="1">
      <alignment horizontal="center" vertical="center"/>
    </xf>
    <xf numFmtId="0" fontId="32" fillId="15" borderId="29" xfId="8" applyFont="1" applyFill="1" applyBorder="1" applyAlignment="1">
      <alignment horizontal="center" vertical="center"/>
    </xf>
    <xf numFmtId="0" fontId="32" fillId="15" borderId="20" xfId="8" applyFont="1" applyFill="1" applyBorder="1" applyAlignment="1">
      <alignment horizontal="center" vertical="center" wrapText="1"/>
    </xf>
    <xf numFmtId="0" fontId="32" fillId="15" borderId="29" xfId="8" applyFont="1" applyFill="1" applyBorder="1" applyAlignment="1">
      <alignment horizontal="center" vertical="center" wrapText="1"/>
    </xf>
    <xf numFmtId="0" fontId="32" fillId="15" borderId="44" xfId="8" applyFont="1" applyFill="1" applyBorder="1" applyAlignment="1">
      <alignment horizontal="center" vertical="center"/>
    </xf>
    <xf numFmtId="0" fontId="32" fillId="15" borderId="17" xfId="8" applyFont="1" applyFill="1" applyBorder="1" applyAlignment="1">
      <alignment horizontal="center" vertical="center" wrapText="1"/>
    </xf>
    <xf numFmtId="0" fontId="66" fillId="10" borderId="0" xfId="8" applyFont="1" applyFill="1"/>
    <xf numFmtId="0" fontId="67" fillId="10" borderId="0" xfId="8" applyFont="1" applyFill="1"/>
    <xf numFmtId="0" fontId="68" fillId="10" borderId="0" xfId="8" applyFont="1" applyFill="1" applyBorder="1" applyAlignment="1"/>
    <xf numFmtId="0" fontId="70" fillId="10" borderId="0" xfId="8" applyFont="1" applyFill="1" applyBorder="1"/>
    <xf numFmtId="0" fontId="15" fillId="15" borderId="31" xfId="7" applyFont="1" applyFill="1" applyBorder="1" applyAlignment="1" applyProtection="1">
      <alignment horizontal="center" vertical="center" wrapText="1"/>
    </xf>
    <xf numFmtId="0" fontId="15" fillId="15" borderId="31" xfId="7" applyFont="1" applyFill="1" applyBorder="1" applyAlignment="1" applyProtection="1">
      <alignment horizontal="center" vertical="center"/>
    </xf>
    <xf numFmtId="0" fontId="48" fillId="15" borderId="25" xfId="7" applyFont="1" applyFill="1" applyBorder="1" applyAlignment="1" applyProtection="1">
      <alignment horizontal="center" vertical="center"/>
    </xf>
    <xf numFmtId="0" fontId="15" fillId="15" borderId="25" xfId="7" applyFont="1" applyFill="1" applyBorder="1" applyAlignment="1" applyProtection="1">
      <alignment horizontal="center" vertical="center"/>
    </xf>
    <xf numFmtId="0" fontId="32" fillId="15" borderId="25" xfId="7" applyFont="1" applyFill="1" applyBorder="1" applyAlignment="1" applyProtection="1">
      <alignment horizontal="center" vertical="center" wrapText="1"/>
    </xf>
    <xf numFmtId="0" fontId="15" fillId="15" borderId="25" xfId="7" applyFont="1" applyFill="1" applyBorder="1" applyAlignment="1" applyProtection="1">
      <alignment horizontal="center" vertical="center" wrapText="1"/>
    </xf>
    <xf numFmtId="3" fontId="15" fillId="15" borderId="25" xfId="7" applyNumberFormat="1" applyFont="1" applyFill="1" applyBorder="1" applyAlignment="1" applyProtection="1">
      <alignment horizontal="center" vertical="center" wrapText="1"/>
    </xf>
    <xf numFmtId="0" fontId="15" fillId="15" borderId="32" xfId="7" applyFont="1" applyFill="1" applyBorder="1" applyAlignment="1" applyProtection="1">
      <alignment horizontal="center" vertical="center"/>
    </xf>
    <xf numFmtId="0" fontId="15" fillId="15" borderId="5" xfId="7" applyFont="1" applyFill="1" applyBorder="1" applyAlignment="1">
      <alignment horizontal="center" vertical="center"/>
    </xf>
    <xf numFmtId="0" fontId="15" fillId="15" borderId="0" xfId="7" applyFont="1" applyFill="1" applyBorder="1" applyAlignment="1">
      <alignment horizontal="center" vertical="center"/>
    </xf>
    <xf numFmtId="0" fontId="15" fillId="15" borderId="3" xfId="7" applyFont="1" applyFill="1" applyBorder="1" applyAlignment="1" applyProtection="1">
      <alignment horizontal="center" vertical="center"/>
    </xf>
    <xf numFmtId="0" fontId="51" fillId="13" borderId="36" xfId="7" applyFont="1" applyFill="1" applyBorder="1" applyAlignment="1">
      <alignment horizontal="center" vertical="center" wrapText="1"/>
    </xf>
    <xf numFmtId="0" fontId="19" fillId="0" borderId="2" xfId="18" applyFont="1" applyBorder="1"/>
    <xf numFmtId="3" fontId="54" fillId="7" borderId="40" xfId="0" applyNumberFormat="1" applyFont="1" applyFill="1" applyBorder="1" applyAlignment="1" applyProtection="1">
      <alignment horizontal="center" vertical="center"/>
    </xf>
    <xf numFmtId="0" fontId="0" fillId="0" borderId="2" xfId="0" applyFill="1" applyBorder="1"/>
    <xf numFmtId="0" fontId="15" fillId="0" borderId="2" xfId="0" applyFont="1" applyFill="1" applyBorder="1"/>
    <xf numFmtId="0" fontId="0" fillId="0" borderId="2" xfId="0" applyFill="1" applyBorder="1" applyAlignment="1">
      <alignment horizontal="center"/>
    </xf>
    <xf numFmtId="0" fontId="15" fillId="0" borderId="2" xfId="0" applyFont="1" applyFill="1" applyBorder="1" applyAlignment="1">
      <alignment horizontal="center"/>
    </xf>
    <xf numFmtId="0" fontId="15" fillId="0" borderId="2" xfId="0" applyFont="1" applyBorder="1"/>
    <xf numFmtId="0" fontId="15" fillId="0" borderId="2" xfId="0" applyFont="1" applyBorder="1" applyAlignment="1">
      <alignment horizontal="center"/>
    </xf>
    <xf numFmtId="0" fontId="73" fillId="16" borderId="56" xfId="19" applyFont="1" applyFill="1" applyBorder="1" applyAlignment="1">
      <alignment horizontal="center" vertical="center" wrapText="1"/>
    </xf>
    <xf numFmtId="0" fontId="73" fillId="16" borderId="4" xfId="19" applyFont="1" applyFill="1" applyBorder="1" applyAlignment="1">
      <alignment horizontal="center" vertical="center" wrapText="1"/>
    </xf>
    <xf numFmtId="0" fontId="73" fillId="16" borderId="53" xfId="19" applyFont="1" applyFill="1" applyBorder="1" applyAlignment="1">
      <alignment horizontal="center" vertical="center" wrapText="1"/>
    </xf>
    <xf numFmtId="0" fontId="73" fillId="16" borderId="2" xfId="19" applyFont="1" applyFill="1" applyBorder="1" applyAlignment="1">
      <alignment horizontal="center" vertical="center" wrapText="1"/>
    </xf>
    <xf numFmtId="0" fontId="15" fillId="16" borderId="53" xfId="19" applyFont="1" applyFill="1" applyBorder="1" applyAlignment="1">
      <alignment horizontal="center" vertical="center" wrapText="1"/>
    </xf>
    <xf numFmtId="0" fontId="72" fillId="16" borderId="5" xfId="19" applyFont="1" applyFill="1" applyBorder="1" applyAlignment="1">
      <alignment horizontal="center" vertical="center"/>
    </xf>
    <xf numFmtId="0" fontId="77" fillId="16" borderId="56" xfId="19" applyFont="1" applyFill="1" applyBorder="1" applyAlignment="1">
      <alignment horizontal="center" vertical="center" wrapText="1"/>
    </xf>
    <xf numFmtId="0" fontId="77" fillId="16" borderId="2" xfId="19" applyFont="1" applyFill="1" applyBorder="1" applyAlignment="1">
      <alignment horizontal="center" vertical="center" wrapText="1"/>
    </xf>
    <xf numFmtId="0" fontId="13" fillId="0" borderId="2" xfId="0" applyFont="1" applyFill="1" applyBorder="1" applyAlignment="1">
      <alignment horizontal="center"/>
    </xf>
    <xf numFmtId="0" fontId="15" fillId="0" borderId="2" xfId="0" applyFont="1" applyFill="1" applyBorder="1" applyAlignment="1" applyProtection="1">
      <alignment horizontal="center"/>
      <protection locked="0"/>
    </xf>
    <xf numFmtId="0" fontId="0" fillId="0" borderId="2" xfId="0" applyFill="1" applyBorder="1" applyProtection="1">
      <protection locked="0"/>
    </xf>
    <xf numFmtId="0" fontId="27" fillId="5" borderId="2" xfId="0" applyFont="1" applyFill="1" applyBorder="1" applyAlignment="1" applyProtection="1">
      <alignment horizontal="center"/>
    </xf>
    <xf numFmtId="0" fontId="33" fillId="7" borderId="51" xfId="8" applyFont="1" applyFill="1" applyBorder="1" applyAlignment="1" applyProtection="1">
      <alignment horizontal="center"/>
    </xf>
    <xf numFmtId="0" fontId="33" fillId="7" borderId="40" xfId="8" applyFont="1" applyFill="1" applyBorder="1" applyAlignment="1" applyProtection="1">
      <alignment horizontal="center"/>
    </xf>
    <xf numFmtId="0" fontId="27" fillId="5" borderId="7" xfId="0" applyFont="1" applyFill="1" applyBorder="1" applyAlignment="1" applyProtection="1">
      <alignment horizontal="center"/>
    </xf>
    <xf numFmtId="0" fontId="32" fillId="0" borderId="2" xfId="0" applyFont="1" applyBorder="1" applyAlignment="1">
      <alignment horizontal="center"/>
    </xf>
    <xf numFmtId="0" fontId="13" fillId="0" borderId="2" xfId="0" applyFont="1" applyBorder="1" applyAlignment="1" applyProtection="1">
      <alignment horizontal="center"/>
    </xf>
    <xf numFmtId="3" fontId="13" fillId="0" borderId="2" xfId="0" applyNumberFormat="1" applyFont="1" applyBorder="1" applyAlignment="1" applyProtection="1">
      <alignment horizontal="center"/>
    </xf>
    <xf numFmtId="0" fontId="24" fillId="7" borderId="51" xfId="8" applyFont="1" applyFill="1" applyBorder="1" applyAlignment="1" applyProtection="1">
      <alignment horizontal="center"/>
    </xf>
    <xf numFmtId="0" fontId="24" fillId="7" borderId="40" xfId="8" applyFont="1" applyFill="1" applyBorder="1" applyAlignment="1" applyProtection="1">
      <alignment horizontal="center"/>
    </xf>
    <xf numFmtId="0" fontId="32" fillId="15" borderId="28" xfId="0" applyFont="1" applyFill="1" applyBorder="1" applyAlignment="1">
      <alignment horizontal="center" vertical="center"/>
    </xf>
    <xf numFmtId="0" fontId="32" fillId="15" borderId="29" xfId="0" applyFont="1" applyFill="1" applyBorder="1" applyAlignment="1">
      <alignment horizontal="center" vertical="center"/>
    </xf>
    <xf numFmtId="0" fontId="32" fillId="15" borderId="36" xfId="0" applyFont="1" applyFill="1" applyBorder="1" applyAlignment="1">
      <alignment horizontal="center" vertical="center"/>
    </xf>
    <xf numFmtId="0" fontId="21" fillId="15" borderId="36" xfId="0" applyFont="1" applyFill="1" applyBorder="1" applyAlignment="1">
      <alignment horizontal="center" vertical="center"/>
    </xf>
    <xf numFmtId="0" fontId="21" fillId="15" borderId="29" xfId="0" applyFont="1" applyFill="1" applyBorder="1" applyAlignment="1">
      <alignment horizontal="center" vertical="center" wrapText="1"/>
    </xf>
    <xf numFmtId="0" fontId="21" fillId="15" borderId="30" xfId="0" applyFont="1" applyFill="1" applyBorder="1" applyAlignment="1">
      <alignment horizontal="center" vertical="center" wrapText="1"/>
    </xf>
    <xf numFmtId="0" fontId="24" fillId="5" borderId="51" xfId="8" applyFont="1" applyFill="1" applyBorder="1" applyAlignment="1" applyProtection="1">
      <alignment horizontal="center" vertical="center"/>
    </xf>
    <xf numFmtId="0" fontId="70" fillId="10" borderId="0" xfId="8" applyFont="1" applyFill="1" applyBorder="1" applyAlignment="1" applyProtection="1">
      <protection locked="0"/>
    </xf>
    <xf numFmtId="0" fontId="81" fillId="10" borderId="0" xfId="8" applyFont="1" applyFill="1"/>
    <xf numFmtId="0" fontId="82" fillId="10" borderId="0" xfId="8" applyFont="1" applyFill="1" applyBorder="1" applyAlignment="1"/>
    <xf numFmtId="0" fontId="83" fillId="10" borderId="0" xfId="8" applyFont="1" applyFill="1"/>
    <xf numFmtId="0" fontId="70" fillId="10" borderId="0" xfId="8" applyFont="1" applyFill="1" applyBorder="1" applyAlignment="1"/>
    <xf numFmtId="0" fontId="13" fillId="5" borderId="2" xfId="8" applyNumberFormat="1" applyFont="1" applyFill="1" applyBorder="1" applyAlignment="1">
      <alignment horizontal="center" vertical="center" wrapText="1"/>
    </xf>
    <xf numFmtId="0" fontId="13" fillId="5" borderId="2" xfId="0" applyFont="1" applyFill="1" applyBorder="1" applyAlignment="1">
      <alignment horizontal="left" vertical="center"/>
    </xf>
    <xf numFmtId="0" fontId="13" fillId="5" borderId="2" xfId="0" applyFont="1" applyFill="1" applyBorder="1" applyAlignment="1">
      <alignment horizontal="center" vertical="center" wrapText="1"/>
    </xf>
    <xf numFmtId="0" fontId="84" fillId="5" borderId="2" xfId="0" applyFont="1" applyFill="1" applyBorder="1" applyAlignment="1">
      <alignment horizontal="left" vertical="center"/>
    </xf>
    <xf numFmtId="9" fontId="13" fillId="5" borderId="2" xfId="0" applyNumberFormat="1" applyFont="1" applyFill="1" applyBorder="1" applyAlignment="1">
      <alignment vertical="center"/>
    </xf>
    <xf numFmtId="0" fontId="13" fillId="5" borderId="27" xfId="0" applyFont="1" applyFill="1" applyBorder="1" applyAlignment="1">
      <alignment vertical="center" wrapText="1"/>
    </xf>
    <xf numFmtId="0" fontId="13" fillId="5" borderId="38" xfId="0" applyFont="1" applyFill="1" applyBorder="1" applyAlignment="1">
      <alignment vertical="center" wrapText="1"/>
    </xf>
    <xf numFmtId="0" fontId="13" fillId="5" borderId="39" xfId="0" applyFont="1" applyFill="1" applyBorder="1" applyAlignment="1">
      <alignment vertical="center" wrapText="1"/>
    </xf>
    <xf numFmtId="0" fontId="13" fillId="5" borderId="39" xfId="0" applyFont="1" applyFill="1" applyBorder="1" applyAlignment="1">
      <alignment horizontal="left" vertical="center" wrapText="1"/>
    </xf>
    <xf numFmtId="0" fontId="32" fillId="15" borderId="3" xfId="0" applyFont="1" applyFill="1" applyBorder="1" applyAlignment="1">
      <alignment horizontal="center" vertical="center"/>
    </xf>
    <xf numFmtId="0" fontId="32" fillId="15" borderId="3" xfId="8" applyFont="1" applyFill="1" applyBorder="1" applyAlignment="1">
      <alignment horizontal="center" vertical="center"/>
    </xf>
    <xf numFmtId="0" fontId="13" fillId="5" borderId="37" xfId="8" applyNumberFormat="1" applyFont="1" applyFill="1" applyBorder="1" applyAlignment="1">
      <alignment horizontal="center" vertical="center"/>
    </xf>
    <xf numFmtId="0" fontId="13" fillId="5" borderId="49" xfId="0" applyFont="1" applyFill="1" applyBorder="1" applyAlignment="1">
      <alignment vertical="center" wrapText="1"/>
    </xf>
    <xf numFmtId="0" fontId="13" fillId="5" borderId="49" xfId="8" applyFont="1" applyFill="1" applyBorder="1" applyAlignment="1">
      <alignment horizontal="center" vertical="center" wrapText="1"/>
    </xf>
    <xf numFmtId="0" fontId="13" fillId="5" borderId="27" xfId="4" applyNumberFormat="1" applyFont="1" applyFill="1" applyBorder="1" applyAlignment="1">
      <alignment vertical="center"/>
    </xf>
    <xf numFmtId="0" fontId="13" fillId="5" borderId="27" xfId="0" applyFont="1" applyFill="1" applyBorder="1" applyAlignment="1">
      <alignment vertical="center"/>
    </xf>
    <xf numFmtId="0" fontId="13" fillId="5" borderId="49" xfId="0" applyFont="1" applyFill="1" applyBorder="1" applyAlignment="1">
      <alignment vertical="center"/>
    </xf>
    <xf numFmtId="0" fontId="13" fillId="5" borderId="62" xfId="0" applyFont="1" applyFill="1" applyBorder="1" applyAlignment="1">
      <alignment vertical="center" wrapText="1"/>
    </xf>
    <xf numFmtId="0" fontId="13" fillId="5" borderId="27" xfId="0" applyFont="1" applyFill="1" applyBorder="1" applyAlignment="1">
      <alignment horizontal="center" vertical="center" wrapText="1"/>
    </xf>
    <xf numFmtId="0" fontId="13" fillId="5" borderId="49" xfId="0" applyFont="1" applyFill="1" applyBorder="1" applyAlignment="1">
      <alignment horizontal="center" vertical="center" wrapText="1"/>
    </xf>
    <xf numFmtId="0" fontId="14" fillId="0" borderId="18" xfId="0" applyFont="1" applyFill="1" applyBorder="1"/>
    <xf numFmtId="0" fontId="15" fillId="13" borderId="19" xfId="0" applyFont="1" applyFill="1" applyBorder="1" applyAlignment="1">
      <alignment horizontal="center"/>
    </xf>
    <xf numFmtId="0" fontId="15" fillId="0" borderId="21" xfId="0" applyFont="1" applyFill="1" applyBorder="1" applyAlignment="1">
      <alignment horizontal="center"/>
    </xf>
    <xf numFmtId="1" fontId="32" fillId="0" borderId="19" xfId="0" applyNumberFormat="1" applyFont="1" applyFill="1" applyBorder="1" applyAlignment="1" applyProtection="1">
      <alignment horizontal="center"/>
    </xf>
    <xf numFmtId="0" fontId="13" fillId="0" borderId="16" xfId="0" applyFont="1" applyFill="1" applyBorder="1" applyAlignment="1" applyProtection="1">
      <alignment horizontal="center"/>
    </xf>
    <xf numFmtId="0" fontId="27" fillId="0" borderId="19" xfId="0" applyFont="1" applyFill="1" applyBorder="1" applyAlignment="1" applyProtection="1">
      <alignment horizontal="center"/>
    </xf>
    <xf numFmtId="0" fontId="15" fillId="0" borderId="16" xfId="0" applyFont="1" applyFill="1" applyBorder="1" applyAlignment="1">
      <alignment horizontal="center"/>
    </xf>
    <xf numFmtId="0" fontId="14" fillId="0" borderId="13" xfId="0" applyFont="1" applyFill="1" applyBorder="1"/>
    <xf numFmtId="0" fontId="15" fillId="13" borderId="21" xfId="0" applyFont="1" applyFill="1" applyBorder="1" applyAlignment="1">
      <alignment horizontal="center"/>
    </xf>
    <xf numFmtId="1" fontId="32" fillId="0" borderId="21" xfId="0" applyNumberFormat="1" applyFont="1" applyFill="1" applyBorder="1" applyAlignment="1" applyProtection="1">
      <alignment horizontal="center"/>
    </xf>
    <xf numFmtId="0" fontId="13" fillId="0" borderId="10" xfId="0" applyFont="1" applyFill="1" applyBorder="1" applyAlignment="1" applyProtection="1">
      <alignment horizontal="center"/>
    </xf>
    <xf numFmtId="0" fontId="27" fillId="0" borderId="21" xfId="0" applyFont="1" applyFill="1" applyBorder="1" applyAlignment="1" applyProtection="1">
      <alignment horizontal="center"/>
    </xf>
    <xf numFmtId="0" fontId="15" fillId="0" borderId="10" xfId="0" applyFont="1" applyBorder="1" applyAlignment="1">
      <alignment horizontal="center"/>
    </xf>
    <xf numFmtId="0" fontId="27" fillId="0" borderId="18" xfId="0" applyFont="1" applyFill="1" applyBorder="1" applyAlignment="1">
      <alignment horizontal="center"/>
    </xf>
    <xf numFmtId="0" fontId="15" fillId="0" borderId="19" xfId="0" applyFont="1" applyFill="1" applyBorder="1" applyAlignment="1">
      <alignment horizontal="center"/>
    </xf>
    <xf numFmtId="1" fontId="32" fillId="0" borderId="16" xfId="0" applyNumberFormat="1" applyFont="1" applyFill="1" applyBorder="1" applyAlignment="1" applyProtection="1">
      <alignment horizontal="center"/>
    </xf>
    <xf numFmtId="0" fontId="15" fillId="0" borderId="16" xfId="0" applyFont="1" applyBorder="1" applyAlignment="1">
      <alignment horizontal="center"/>
    </xf>
    <xf numFmtId="0" fontId="0" fillId="0" borderId="13" xfId="0" applyBorder="1"/>
    <xf numFmtId="1" fontId="32" fillId="0" borderId="10" xfId="0" applyNumberFormat="1" applyFont="1" applyFill="1" applyBorder="1" applyAlignment="1" applyProtection="1">
      <alignment horizontal="center"/>
    </xf>
    <xf numFmtId="0" fontId="32" fillId="8" borderId="52" xfId="0" applyFont="1" applyFill="1" applyBorder="1" applyAlignment="1">
      <alignment horizontal="center"/>
    </xf>
    <xf numFmtId="0" fontId="15" fillId="13" borderId="22" xfId="0" applyFont="1" applyFill="1" applyBorder="1" applyAlignment="1">
      <alignment horizontal="center"/>
    </xf>
    <xf numFmtId="0" fontId="15" fillId="0" borderId="22" xfId="0" applyFont="1" applyFill="1" applyBorder="1" applyAlignment="1">
      <alignment horizontal="center"/>
    </xf>
    <xf numFmtId="1" fontId="32" fillId="0" borderId="11" xfId="0" applyNumberFormat="1" applyFont="1" applyFill="1" applyBorder="1" applyAlignment="1" applyProtection="1">
      <alignment horizontal="center"/>
    </xf>
    <xf numFmtId="0" fontId="13" fillId="0" borderId="11" xfId="0" applyFont="1" applyFill="1" applyBorder="1" applyAlignment="1" applyProtection="1">
      <alignment horizontal="center"/>
    </xf>
    <xf numFmtId="0" fontId="27" fillId="0" borderId="22" xfId="0" applyFont="1" applyFill="1" applyBorder="1" applyAlignment="1" applyProtection="1">
      <alignment horizontal="center"/>
    </xf>
    <xf numFmtId="0" fontId="15" fillId="0" borderId="11" xfId="0" applyFont="1" applyBorder="1" applyAlignment="1">
      <alignment horizontal="center"/>
    </xf>
    <xf numFmtId="1" fontId="32" fillId="0" borderId="22" xfId="0" applyNumberFormat="1" applyFont="1" applyFill="1" applyBorder="1" applyAlignment="1" applyProtection="1">
      <alignment horizontal="center"/>
    </xf>
    <xf numFmtId="0" fontId="0" fillId="0" borderId="0" xfId="0" applyBorder="1"/>
    <xf numFmtId="0" fontId="55" fillId="5" borderId="21" xfId="0" applyFont="1" applyFill="1" applyBorder="1" applyAlignment="1">
      <alignment horizontal="center" vertical="center"/>
    </xf>
    <xf numFmtId="0" fontId="55" fillId="5" borderId="22" xfId="0" applyFont="1" applyFill="1" applyBorder="1" applyAlignment="1">
      <alignment horizontal="center" vertical="center"/>
    </xf>
    <xf numFmtId="0" fontId="27" fillId="0" borderId="0" xfId="0" applyFont="1" applyFill="1" applyBorder="1" applyAlignment="1">
      <alignment horizontal="center"/>
    </xf>
    <xf numFmtId="0" fontId="55" fillId="7" borderId="21" xfId="0" applyFont="1" applyFill="1" applyBorder="1" applyAlignment="1">
      <alignment horizontal="center" vertical="center"/>
    </xf>
    <xf numFmtId="0" fontId="55" fillId="7" borderId="11" xfId="0" applyFont="1" applyFill="1" applyBorder="1" applyAlignment="1">
      <alignment horizontal="center" vertical="center"/>
    </xf>
    <xf numFmtId="0" fontId="32" fillId="8" borderId="20" xfId="0" applyFont="1" applyFill="1" applyBorder="1" applyAlignment="1">
      <alignment horizontal="center"/>
    </xf>
    <xf numFmtId="0" fontId="32" fillId="0" borderId="0" xfId="0" applyFont="1" applyFill="1" applyBorder="1" applyAlignment="1">
      <alignment horizontal="center"/>
    </xf>
    <xf numFmtId="0" fontId="15" fillId="0" borderId="21" xfId="0" applyFont="1" applyBorder="1" applyAlignment="1">
      <alignment horizontal="center"/>
    </xf>
    <xf numFmtId="0" fontId="55" fillId="7" borderId="22" xfId="0" applyFont="1" applyFill="1" applyBorder="1" applyAlignment="1">
      <alignment horizontal="center" vertical="center"/>
    </xf>
    <xf numFmtId="1" fontId="32" fillId="0" borderId="12" xfId="0" applyNumberFormat="1" applyFont="1" applyFill="1" applyBorder="1" applyAlignment="1" applyProtection="1">
      <alignment horizontal="center"/>
    </xf>
    <xf numFmtId="0" fontId="15" fillId="0" borderId="22" xfId="0" applyFont="1" applyBorder="1" applyAlignment="1">
      <alignment horizontal="center"/>
    </xf>
    <xf numFmtId="1" fontId="32" fillId="0" borderId="14" xfId="0" applyNumberFormat="1" applyFont="1" applyFill="1" applyBorder="1" applyAlignment="1" applyProtection="1">
      <alignment horizontal="center"/>
    </xf>
    <xf numFmtId="0" fontId="55" fillId="5" borderId="11" xfId="0" applyFont="1" applyFill="1" applyBorder="1" applyAlignment="1">
      <alignment horizontal="center" vertical="center"/>
    </xf>
    <xf numFmtId="0" fontId="27" fillId="0" borderId="13" xfId="0" applyFont="1" applyFill="1" applyBorder="1" applyAlignment="1">
      <alignment horizontal="center"/>
    </xf>
    <xf numFmtId="0" fontId="15" fillId="0" borderId="0" xfId="0" applyFont="1" applyAlignment="1">
      <alignment horizontal="center"/>
    </xf>
    <xf numFmtId="0" fontId="0" fillId="0" borderId="50" xfId="0" applyBorder="1"/>
    <xf numFmtId="0" fontId="27" fillId="0" borderId="50" xfId="0" applyFont="1" applyBorder="1"/>
    <xf numFmtId="0" fontId="15" fillId="0" borderId="0" xfId="0" applyFont="1" applyAlignment="1"/>
    <xf numFmtId="0" fontId="32" fillId="0" borderId="50" xfId="0" applyFont="1" applyBorder="1" applyAlignment="1">
      <alignment horizontal="center"/>
    </xf>
    <xf numFmtId="0" fontId="33" fillId="5" borderId="2" xfId="8" applyFont="1" applyFill="1" applyBorder="1" applyAlignment="1">
      <alignment vertical="center" wrapText="1"/>
    </xf>
    <xf numFmtId="0" fontId="13" fillId="5" borderId="2" xfId="8" applyFont="1" applyFill="1" applyBorder="1" applyAlignment="1">
      <alignment vertical="center" wrapText="1"/>
    </xf>
    <xf numFmtId="0" fontId="33" fillId="5" borderId="2" xfId="8" applyFont="1" applyFill="1" applyBorder="1" applyAlignment="1">
      <alignment horizontal="left" vertical="center"/>
    </xf>
    <xf numFmtId="0" fontId="13" fillId="5" borderId="2" xfId="3" applyFont="1" applyFill="1" applyBorder="1" applyAlignment="1">
      <alignment vertical="center" wrapText="1"/>
    </xf>
    <xf numFmtId="3" fontId="13" fillId="5" borderId="2" xfId="4" applyNumberFormat="1" applyFont="1" applyFill="1" applyBorder="1" applyAlignment="1">
      <alignment vertical="center" wrapText="1"/>
    </xf>
    <xf numFmtId="3" fontId="13" fillId="5" borderId="2" xfId="4" applyNumberFormat="1" applyFont="1" applyFill="1" applyBorder="1" applyAlignment="1">
      <alignment vertical="center"/>
    </xf>
    <xf numFmtId="0" fontId="13" fillId="5" borderId="2" xfId="3" applyFont="1" applyFill="1" applyBorder="1" applyAlignment="1">
      <alignment vertical="center"/>
    </xf>
    <xf numFmtId="0" fontId="13" fillId="5" borderId="2" xfId="3" applyFont="1" applyFill="1" applyBorder="1" applyAlignment="1">
      <alignment horizontal="center" vertical="center" wrapText="1"/>
    </xf>
    <xf numFmtId="0" fontId="13" fillId="5" borderId="2" xfId="3" applyFont="1" applyFill="1" applyBorder="1" applyAlignment="1">
      <alignment horizontal="center" vertical="center"/>
    </xf>
    <xf numFmtId="0" fontId="13" fillId="5" borderId="2" xfId="3" applyFont="1" applyFill="1" applyBorder="1" applyAlignment="1">
      <alignment horizontal="left" vertical="center" wrapText="1"/>
    </xf>
    <xf numFmtId="0" fontId="13" fillId="5" borderId="2" xfId="8" applyFont="1" applyFill="1" applyBorder="1" applyAlignment="1">
      <alignment vertical="center"/>
    </xf>
    <xf numFmtId="0" fontId="13" fillId="5" borderId="2" xfId="3" applyNumberFormat="1" applyFont="1" applyFill="1" applyBorder="1" applyAlignment="1">
      <alignment horizontal="center" vertical="center"/>
    </xf>
    <xf numFmtId="0" fontId="13" fillId="5" borderId="2" xfId="3" applyFont="1" applyFill="1" applyBorder="1" applyAlignment="1">
      <alignment wrapText="1"/>
    </xf>
    <xf numFmtId="0" fontId="13" fillId="5" borderId="2" xfId="3" applyFont="1" applyFill="1" applyBorder="1" applyAlignment="1">
      <alignment horizontal="center" wrapText="1"/>
    </xf>
    <xf numFmtId="0" fontId="13" fillId="5" borderId="2" xfId="0" applyFont="1" applyFill="1" applyBorder="1" applyAlignment="1">
      <alignment wrapText="1"/>
    </xf>
    <xf numFmtId="0" fontId="13" fillId="5" borderId="2" xfId="0" applyFont="1" applyFill="1" applyBorder="1" applyAlignment="1">
      <alignment horizontal="center" wrapText="1"/>
    </xf>
    <xf numFmtId="3" fontId="13" fillId="5" borderId="27" xfId="0" applyNumberFormat="1" applyFont="1" applyFill="1" applyBorder="1" applyAlignment="1">
      <alignment wrapText="1"/>
    </xf>
    <xf numFmtId="0" fontId="13" fillId="5" borderId="49" xfId="0" applyFont="1" applyFill="1" applyBorder="1" applyAlignment="1">
      <alignment wrapText="1"/>
    </xf>
    <xf numFmtId="0" fontId="13" fillId="5" borderId="27" xfId="0" applyFont="1" applyFill="1" applyBorder="1" applyAlignment="1">
      <alignment wrapText="1"/>
    </xf>
    <xf numFmtId="0" fontId="13" fillId="5" borderId="2" xfId="0" applyFont="1" applyFill="1" applyBorder="1" applyAlignment="1"/>
    <xf numFmtId="0" fontId="13" fillId="5" borderId="2" xfId="8" applyNumberFormat="1" applyFont="1" applyFill="1" applyBorder="1" applyAlignment="1">
      <alignment vertical="center"/>
    </xf>
    <xf numFmtId="3" fontId="13" fillId="5" borderId="8" xfId="8" applyNumberFormat="1" applyFont="1" applyFill="1" applyBorder="1" applyAlignment="1">
      <alignment horizontal="right" vertical="center"/>
    </xf>
    <xf numFmtId="0" fontId="33" fillId="5" borderId="37" xfId="8" applyFont="1" applyFill="1" applyBorder="1" applyAlignment="1">
      <alignment vertical="center"/>
    </xf>
    <xf numFmtId="0" fontId="13" fillId="5" borderId="37" xfId="8" applyFont="1" applyFill="1" applyBorder="1" applyAlignment="1">
      <alignment vertical="center" wrapText="1"/>
    </xf>
    <xf numFmtId="0" fontId="13" fillId="5" borderId="37" xfId="8" applyFont="1" applyFill="1" applyBorder="1" applyAlignment="1">
      <alignment vertical="center"/>
    </xf>
    <xf numFmtId="0" fontId="13" fillId="5" borderId="37" xfId="3" applyFont="1" applyFill="1" applyBorder="1" applyAlignment="1">
      <alignment vertical="center" wrapText="1"/>
    </xf>
    <xf numFmtId="0" fontId="13" fillId="5" borderId="61" xfId="0" applyFont="1" applyFill="1" applyBorder="1" applyAlignment="1">
      <alignment vertical="center" wrapText="1"/>
    </xf>
    <xf numFmtId="3" fontId="13" fillId="5" borderId="27" xfId="4" applyNumberFormat="1" applyFont="1" applyFill="1" applyBorder="1" applyAlignment="1">
      <alignment horizontal="right" vertical="center"/>
    </xf>
    <xf numFmtId="0" fontId="13" fillId="5" borderId="49" xfId="4" applyFont="1" applyFill="1" applyBorder="1" applyAlignment="1">
      <alignment horizontal="left" vertical="center" wrapText="1"/>
    </xf>
    <xf numFmtId="3" fontId="13" fillId="5" borderId="27" xfId="8" applyNumberFormat="1" applyFont="1" applyFill="1" applyBorder="1" applyAlignment="1">
      <alignment horizontal="right" vertical="center"/>
    </xf>
    <xf numFmtId="0" fontId="13" fillId="5" borderId="49" xfId="8" applyFont="1" applyFill="1" applyBorder="1" applyAlignment="1">
      <alignment vertical="center" wrapText="1"/>
    </xf>
    <xf numFmtId="3" fontId="13" fillId="5" borderId="27" xfId="4" applyNumberFormat="1" applyFont="1" applyFill="1" applyBorder="1" applyAlignment="1">
      <alignment vertical="center"/>
    </xf>
    <xf numFmtId="3" fontId="13" fillId="5" borderId="27" xfId="3" applyNumberFormat="1" applyFont="1" applyFill="1" applyBorder="1" applyAlignment="1">
      <alignment vertical="center"/>
    </xf>
    <xf numFmtId="3" fontId="13" fillId="5" borderId="27" xfId="8" applyNumberFormat="1" applyFont="1" applyFill="1" applyBorder="1" applyAlignment="1">
      <alignment vertical="center"/>
    </xf>
    <xf numFmtId="3" fontId="13" fillId="5" borderId="27" xfId="3" applyNumberFormat="1" applyFont="1" applyFill="1" applyBorder="1" applyAlignment="1">
      <alignment horizontal="right" vertical="center"/>
    </xf>
    <xf numFmtId="3" fontId="13" fillId="5" borderId="27" xfId="3" applyNumberFormat="1" applyFont="1" applyFill="1" applyBorder="1" applyAlignment="1">
      <alignment wrapText="1"/>
    </xf>
    <xf numFmtId="0" fontId="55" fillId="5" borderId="16" xfId="0" applyFont="1" applyFill="1" applyBorder="1" applyAlignment="1">
      <alignment horizontal="center" vertical="center"/>
    </xf>
    <xf numFmtId="0" fontId="55" fillId="5" borderId="10" xfId="0" applyFont="1" applyFill="1" applyBorder="1" applyAlignment="1">
      <alignment horizontal="center" vertical="center"/>
    </xf>
    <xf numFmtId="0" fontId="30" fillId="7" borderId="6" xfId="0" applyFont="1" applyFill="1" applyBorder="1"/>
    <xf numFmtId="0" fontId="30" fillId="7" borderId="9" xfId="0" applyFont="1" applyFill="1" applyBorder="1" applyAlignment="1">
      <alignment horizontal="center" vertical="center"/>
    </xf>
    <xf numFmtId="0" fontId="30" fillId="7" borderId="35" xfId="0" applyFont="1" applyFill="1" applyBorder="1"/>
    <xf numFmtId="0" fontId="30" fillId="7" borderId="34" xfId="0" applyFont="1" applyFill="1" applyBorder="1" applyAlignment="1">
      <alignment horizontal="center" vertical="center"/>
    </xf>
    <xf numFmtId="0" fontId="0" fillId="0" borderId="12" xfId="0" applyBorder="1"/>
    <xf numFmtId="0" fontId="21" fillId="0" borderId="10" xfId="0" applyFont="1" applyBorder="1" applyAlignment="1">
      <alignment horizontal="center"/>
    </xf>
    <xf numFmtId="0" fontId="21" fillId="0" borderId="11" xfId="0" applyFont="1" applyBorder="1" applyAlignment="1">
      <alignment horizontal="center"/>
    </xf>
    <xf numFmtId="0" fontId="21" fillId="0" borderId="16" xfId="0" applyFont="1" applyBorder="1" applyAlignment="1">
      <alignment horizontal="center"/>
    </xf>
    <xf numFmtId="0" fontId="13" fillId="0" borderId="19" xfId="0" applyFont="1" applyFill="1" applyBorder="1" applyAlignment="1" applyProtection="1">
      <alignment horizontal="center"/>
    </xf>
    <xf numFmtId="0" fontId="13" fillId="0" borderId="22" xfId="0" applyFont="1" applyFill="1" applyBorder="1" applyAlignment="1" applyProtection="1">
      <alignment horizontal="center"/>
    </xf>
    <xf numFmtId="0" fontId="80" fillId="10" borderId="0" xfId="8" applyFont="1" applyFill="1" applyProtection="1">
      <protection locked="0"/>
    </xf>
    <xf numFmtId="0" fontId="59" fillId="10" borderId="0" xfId="0" applyFont="1" applyFill="1" applyAlignment="1"/>
    <xf numFmtId="0" fontId="14" fillId="0" borderId="10" xfId="3" applyBorder="1"/>
    <xf numFmtId="0" fontId="14" fillId="0" borderId="13" xfId="3" applyBorder="1"/>
    <xf numFmtId="0" fontId="15" fillId="0" borderId="0" xfId="3" applyFont="1" applyBorder="1" applyAlignment="1"/>
    <xf numFmtId="0" fontId="27" fillId="0" borderId="10" xfId="3" applyFont="1" applyBorder="1"/>
    <xf numFmtId="0" fontId="0" fillId="0" borderId="0" xfId="0" applyBorder="1" applyProtection="1">
      <protection locked="0"/>
    </xf>
    <xf numFmtId="0" fontId="27" fillId="0" borderId="0" xfId="3" applyFont="1" applyBorder="1"/>
    <xf numFmtId="0" fontId="32" fillId="0" borderId="0" xfId="3" applyFont="1" applyBorder="1" applyProtection="1"/>
    <xf numFmtId="0" fontId="32" fillId="0" borderId="0" xfId="3" applyFont="1" applyBorder="1"/>
    <xf numFmtId="0" fontId="32" fillId="0" borderId="27" xfId="3" applyFont="1" applyBorder="1" applyAlignment="1">
      <alignment horizontal="center"/>
    </xf>
    <xf numFmtId="0" fontId="32" fillId="0" borderId="49" xfId="3" applyFont="1" applyBorder="1" applyAlignment="1">
      <alignment horizontal="center"/>
    </xf>
    <xf numFmtId="0" fontId="27" fillId="0" borderId="27" xfId="0" applyFont="1" applyBorder="1" applyProtection="1">
      <protection locked="0"/>
    </xf>
    <xf numFmtId="0" fontId="14" fillId="0" borderId="49" xfId="3" applyBorder="1" applyProtection="1">
      <protection locked="0"/>
    </xf>
    <xf numFmtId="0" fontId="27" fillId="0" borderId="27" xfId="3" applyFont="1" applyBorder="1" applyProtection="1">
      <protection locked="0"/>
    </xf>
    <xf numFmtId="0" fontId="27" fillId="0" borderId="49" xfId="3" applyFont="1" applyBorder="1" applyProtection="1">
      <protection locked="0"/>
    </xf>
    <xf numFmtId="0" fontId="15" fillId="0" borderId="0" xfId="3" applyFont="1" applyBorder="1" applyAlignment="1">
      <alignment horizontal="center"/>
    </xf>
    <xf numFmtId="0" fontId="14" fillId="0" borderId="63" xfId="3" applyBorder="1"/>
    <xf numFmtId="0" fontId="14" fillId="0" borderId="10" xfId="3" applyFont="1" applyBorder="1"/>
    <xf numFmtId="0" fontId="14" fillId="0" borderId="0" xfId="3" applyFont="1" applyBorder="1"/>
    <xf numFmtId="0" fontId="14" fillId="0" borderId="11" xfId="3" applyBorder="1"/>
    <xf numFmtId="0" fontId="14" fillId="0" borderId="12" xfId="3" applyBorder="1"/>
    <xf numFmtId="0" fontId="14" fillId="0" borderId="14" xfId="3" applyBorder="1"/>
    <xf numFmtId="0" fontId="88" fillId="0" borderId="10" xfId="0" applyFont="1" applyBorder="1" applyAlignment="1">
      <alignment vertical="center"/>
    </xf>
    <xf numFmtId="0" fontId="13" fillId="0" borderId="21" xfId="0" applyFont="1" applyFill="1" applyBorder="1" applyAlignment="1" applyProtection="1">
      <alignment horizontal="center"/>
    </xf>
    <xf numFmtId="0" fontId="21" fillId="0" borderId="48" xfId="0" applyFont="1" applyBorder="1"/>
    <xf numFmtId="0" fontId="90" fillId="0" borderId="48" xfId="0" applyFont="1" applyFill="1" applyBorder="1" applyAlignment="1">
      <alignment horizontal="center" vertical="center"/>
    </xf>
    <xf numFmtId="0" fontId="0" fillId="0" borderId="2" xfId="0" applyBorder="1"/>
    <xf numFmtId="0" fontId="63" fillId="0" borderId="0" xfId="0" applyFont="1" applyBorder="1" applyAlignment="1">
      <alignment vertical="center" wrapText="1"/>
    </xf>
    <xf numFmtId="0" fontId="20" fillId="0" borderId="0" xfId="0" applyFont="1" applyBorder="1" applyAlignment="1">
      <alignment vertical="center" wrapText="1"/>
    </xf>
    <xf numFmtId="0" fontId="48" fillId="0" borderId="0" xfId="0" applyFont="1"/>
    <xf numFmtId="0" fontId="91" fillId="4" borderId="0" xfId="0" applyFont="1" applyFill="1" applyBorder="1" applyAlignment="1">
      <alignment horizontal="center"/>
    </xf>
    <xf numFmtId="0" fontId="92" fillId="10" borderId="1" xfId="0" applyFont="1" applyFill="1" applyBorder="1" applyAlignment="1">
      <alignment horizontal="center"/>
    </xf>
    <xf numFmtId="0" fontId="92" fillId="10" borderId="25" xfId="0" applyFont="1" applyFill="1" applyBorder="1" applyAlignment="1">
      <alignment horizontal="center"/>
    </xf>
    <xf numFmtId="0" fontId="92" fillId="10" borderId="25" xfId="0" applyFont="1" applyFill="1" applyBorder="1"/>
    <xf numFmtId="0" fontId="92" fillId="4" borderId="0" xfId="0" applyFont="1" applyFill="1" applyBorder="1" applyAlignment="1">
      <alignment horizontal="center"/>
    </xf>
    <xf numFmtId="0" fontId="92" fillId="4" borderId="0" xfId="0" applyFont="1" applyFill="1" applyBorder="1"/>
    <xf numFmtId="0" fontId="55" fillId="5" borderId="10" xfId="3" applyFont="1" applyFill="1" applyBorder="1" applyAlignment="1">
      <alignment horizontal="center"/>
    </xf>
    <xf numFmtId="0" fontId="55" fillId="5" borderId="13" xfId="3" applyFont="1" applyFill="1" applyBorder="1" applyAlignment="1">
      <alignment horizontal="center"/>
    </xf>
    <xf numFmtId="0" fontId="55" fillId="5" borderId="16" xfId="3" applyFont="1" applyFill="1" applyBorder="1" applyAlignment="1">
      <alignment horizontal="center"/>
    </xf>
    <xf numFmtId="0" fontId="55" fillId="5" borderId="18" xfId="3" applyFont="1" applyFill="1" applyBorder="1" applyAlignment="1">
      <alignment horizontal="center"/>
    </xf>
    <xf numFmtId="0" fontId="55" fillId="7" borderId="10" xfId="3" applyFont="1" applyFill="1" applyBorder="1" applyAlignment="1">
      <alignment horizontal="center"/>
    </xf>
    <xf numFmtId="0" fontId="55" fillId="7" borderId="13" xfId="3" applyFont="1" applyFill="1" applyBorder="1" applyAlignment="1">
      <alignment horizontal="center"/>
    </xf>
    <xf numFmtId="0" fontId="55" fillId="7" borderId="16" xfId="3" applyFont="1" applyFill="1" applyBorder="1" applyAlignment="1">
      <alignment horizontal="center"/>
    </xf>
    <xf numFmtId="0" fontId="55" fillId="7" borderId="18" xfId="3" applyFont="1" applyFill="1" applyBorder="1" applyAlignment="1">
      <alignment horizontal="center"/>
    </xf>
    <xf numFmtId="0" fontId="55" fillId="5" borderId="11" xfId="3" applyFont="1" applyFill="1" applyBorder="1" applyAlignment="1">
      <alignment horizontal="center"/>
    </xf>
    <xf numFmtId="0" fontId="55" fillId="5" borderId="14" xfId="3" applyFont="1" applyFill="1" applyBorder="1" applyAlignment="1">
      <alignment horizontal="center"/>
    </xf>
    <xf numFmtId="0" fontId="55" fillId="7" borderId="11" xfId="3" applyFont="1" applyFill="1" applyBorder="1" applyAlignment="1">
      <alignment horizontal="center"/>
    </xf>
    <xf numFmtId="0" fontId="55" fillId="7" borderId="14" xfId="3" applyFont="1" applyFill="1" applyBorder="1" applyAlignment="1">
      <alignment horizontal="center"/>
    </xf>
    <xf numFmtId="0" fontId="30" fillId="7" borderId="16" xfId="0" applyFont="1" applyFill="1" applyBorder="1" applyAlignment="1">
      <alignment horizontal="center"/>
    </xf>
    <xf numFmtId="0" fontId="30" fillId="7" borderId="18" xfId="0" applyFont="1" applyFill="1" applyBorder="1" applyAlignment="1">
      <alignment horizontal="center"/>
    </xf>
    <xf numFmtId="0" fontId="30" fillId="7" borderId="10" xfId="0" applyFont="1" applyFill="1" applyBorder="1" applyAlignment="1">
      <alignment horizontal="center"/>
    </xf>
    <xf numFmtId="0" fontId="30" fillId="7" borderId="13" xfId="0" applyFont="1" applyFill="1" applyBorder="1" applyAlignment="1">
      <alignment horizontal="center"/>
    </xf>
    <xf numFmtId="0" fontId="30" fillId="7" borderId="11" xfId="0" applyFont="1" applyFill="1" applyBorder="1" applyAlignment="1">
      <alignment horizontal="center"/>
    </xf>
    <xf numFmtId="0" fontId="30" fillId="7" borderId="14" xfId="0" applyFont="1" applyFill="1" applyBorder="1" applyAlignment="1">
      <alignment horizontal="center"/>
    </xf>
    <xf numFmtId="0" fontId="59" fillId="10" borderId="0" xfId="0" applyFont="1" applyFill="1" applyAlignment="1">
      <alignment horizontal="left"/>
    </xf>
    <xf numFmtId="0" fontId="0" fillId="0" borderId="58" xfId="0" applyBorder="1"/>
    <xf numFmtId="0" fontId="87" fillId="0" borderId="0" xfId="0" applyFont="1" applyBorder="1" applyAlignment="1">
      <alignment vertical="center"/>
    </xf>
    <xf numFmtId="0" fontId="89" fillId="0" borderId="0" xfId="3" applyFont="1" applyBorder="1" applyAlignment="1">
      <alignment vertical="center"/>
    </xf>
    <xf numFmtId="0" fontId="14" fillId="0" borderId="0" xfId="3" applyBorder="1" applyAlignment="1">
      <alignment vertical="center"/>
    </xf>
    <xf numFmtId="0" fontId="14" fillId="0" borderId="13" xfId="3" applyBorder="1" applyAlignment="1">
      <alignment vertical="center"/>
    </xf>
    <xf numFmtId="0" fontId="13" fillId="0" borderId="0" xfId="3" applyFont="1" applyBorder="1" applyAlignment="1">
      <alignment vertical="center"/>
    </xf>
    <xf numFmtId="0" fontId="21" fillId="0" borderId="0" xfId="3" applyFont="1" applyBorder="1" applyAlignment="1">
      <alignment vertical="center"/>
    </xf>
    <xf numFmtId="0" fontId="13" fillId="0" borderId="0" xfId="0" applyFont="1"/>
    <xf numFmtId="0" fontId="88" fillId="0" borderId="0" xfId="0" applyFont="1" applyBorder="1" applyAlignment="1">
      <alignment vertical="center"/>
    </xf>
    <xf numFmtId="0" fontId="21" fillId="0" borderId="0" xfId="0" applyFont="1"/>
    <xf numFmtId="0" fontId="32" fillId="0" borderId="2" xfId="3" applyFont="1" applyBorder="1" applyAlignment="1">
      <alignment horizontal="center"/>
    </xf>
    <xf numFmtId="0" fontId="15" fillId="0" borderId="0" xfId="0" applyFont="1" applyBorder="1" applyAlignment="1">
      <alignment horizontal="left" vertical="center" wrapText="1"/>
    </xf>
    <xf numFmtId="0" fontId="63" fillId="0" borderId="0" xfId="0" applyFont="1" applyBorder="1" applyAlignment="1">
      <alignment horizontal="left" vertical="center"/>
    </xf>
    <xf numFmtId="0" fontId="14" fillId="0" borderId="16" xfId="3" applyBorder="1"/>
    <xf numFmtId="0" fontId="14" fillId="0" borderId="1" xfId="3" applyBorder="1"/>
    <xf numFmtId="0" fontId="14" fillId="0" borderId="18" xfId="3" applyBorder="1"/>
    <xf numFmtId="0" fontId="0" fillId="0" borderId="15" xfId="0" applyBorder="1"/>
    <xf numFmtId="0" fontId="0" fillId="0" borderId="59" xfId="0" applyBorder="1"/>
    <xf numFmtId="0" fontId="0" fillId="0" borderId="45" xfId="0" applyBorder="1"/>
    <xf numFmtId="0" fontId="0" fillId="0" borderId="51" xfId="0" applyBorder="1"/>
    <xf numFmtId="49" fontId="14" fillId="0" borderId="0" xfId="0" applyNumberFormat="1" applyFont="1" applyAlignment="1">
      <alignment horizontal="right"/>
    </xf>
    <xf numFmtId="49" fontId="13" fillId="0" borderId="0" xfId="0" applyNumberFormat="1" applyFont="1" applyAlignment="1">
      <alignment horizontal="right"/>
    </xf>
    <xf numFmtId="49" fontId="27" fillId="0" borderId="0" xfId="0" applyNumberFormat="1" applyFont="1" applyAlignment="1">
      <alignment horizontal="right" vertical="center"/>
    </xf>
    <xf numFmtId="49" fontId="14" fillId="0" borderId="0" xfId="3" applyNumberFormat="1" applyBorder="1" applyAlignment="1">
      <alignment horizontal="right" vertical="center"/>
    </xf>
    <xf numFmtId="0" fontId="51" fillId="0" borderId="11" xfId="0" applyFont="1" applyBorder="1" applyAlignment="1">
      <alignment horizontal="center"/>
    </xf>
    <xf numFmtId="0" fontId="51" fillId="0" borderId="14" xfId="0" applyFont="1" applyBorder="1" applyAlignment="1">
      <alignment horizontal="center"/>
    </xf>
    <xf numFmtId="0" fontId="51" fillId="0" borderId="21" xfId="0" applyFont="1" applyBorder="1" applyAlignment="1">
      <alignment horizontal="center"/>
    </xf>
    <xf numFmtId="0" fontId="51" fillId="8" borderId="21" xfId="0" applyFont="1" applyFill="1" applyBorder="1" applyAlignment="1">
      <alignment horizontal="center"/>
    </xf>
    <xf numFmtId="0" fontId="51" fillId="0" borderId="10" xfId="0" applyFont="1" applyBorder="1" applyAlignment="1">
      <alignment horizontal="center"/>
    </xf>
    <xf numFmtId="0" fontId="51" fillId="13" borderId="21" xfId="0" applyFont="1" applyFill="1" applyBorder="1" applyAlignment="1">
      <alignment horizontal="center"/>
    </xf>
    <xf numFmtId="0" fontId="51" fillId="0" borderId="22" xfId="0" applyFont="1" applyBorder="1" applyAlignment="1">
      <alignment horizontal="center"/>
    </xf>
    <xf numFmtId="0" fontId="51" fillId="0" borderId="22" xfId="0" applyFont="1" applyFill="1" applyBorder="1" applyAlignment="1">
      <alignment horizontal="center"/>
    </xf>
    <xf numFmtId="0" fontId="51" fillId="0" borderId="43" xfId="0" applyFont="1" applyFill="1" applyBorder="1" applyAlignment="1">
      <alignment horizontal="center"/>
    </xf>
    <xf numFmtId="0" fontId="15" fillId="0" borderId="15" xfId="0" applyFont="1" applyBorder="1"/>
    <xf numFmtId="0" fontId="15" fillId="0" borderId="58" xfId="0" applyFont="1" applyBorder="1"/>
    <xf numFmtId="0" fontId="15" fillId="0" borderId="5" xfId="0" applyFont="1" applyBorder="1"/>
    <xf numFmtId="0" fontId="15" fillId="0" borderId="0" xfId="0" applyFont="1" applyBorder="1"/>
    <xf numFmtId="0" fontId="59" fillId="10" borderId="45" xfId="0" applyFont="1" applyFill="1" applyBorder="1" applyAlignment="1" applyProtection="1">
      <alignment horizontal="center"/>
      <protection locked="0"/>
    </xf>
    <xf numFmtId="0" fontId="59" fillId="10" borderId="50" xfId="0" applyFont="1" applyFill="1" applyBorder="1" applyAlignment="1" applyProtection="1">
      <alignment horizontal="center"/>
      <protection locked="0"/>
    </xf>
    <xf numFmtId="0" fontId="59" fillId="10" borderId="51" xfId="0" applyFont="1" applyFill="1" applyBorder="1" applyAlignment="1" applyProtection="1">
      <alignment horizontal="center"/>
      <protection locked="0"/>
    </xf>
    <xf numFmtId="49" fontId="21" fillId="0" borderId="0" xfId="0" applyNumberFormat="1" applyFont="1" applyBorder="1" applyAlignment="1">
      <alignment horizontal="right"/>
    </xf>
    <xf numFmtId="0" fontId="85" fillId="0" borderId="0" xfId="0" applyFont="1" applyBorder="1" applyAlignment="1">
      <alignment horizontal="center" vertical="center" wrapText="1"/>
    </xf>
    <xf numFmtId="0" fontId="20" fillId="0" borderId="0" xfId="0" applyFont="1" applyBorder="1" applyAlignment="1">
      <alignment horizontal="center" vertical="center" wrapText="1"/>
    </xf>
    <xf numFmtId="0" fontId="15" fillId="11" borderId="2" xfId="0" applyFont="1" applyFill="1" applyBorder="1" applyAlignment="1">
      <alignment horizontal="center"/>
    </xf>
    <xf numFmtId="0" fontId="63" fillId="0" borderId="0" xfId="0" applyFont="1" applyBorder="1" applyAlignment="1">
      <alignment horizontal="left" vertical="center" wrapText="1"/>
    </xf>
    <xf numFmtId="0" fontId="63" fillId="0" borderId="0" xfId="0" applyFont="1" applyBorder="1" applyAlignment="1">
      <alignment horizontal="left" vertical="center"/>
    </xf>
    <xf numFmtId="0" fontId="91" fillId="10" borderId="10" xfId="0" applyFont="1" applyFill="1" applyBorder="1" applyAlignment="1">
      <alignment horizontal="center"/>
    </xf>
    <xf numFmtId="0" fontId="91" fillId="10" borderId="0" xfId="0" applyFont="1" applyFill="1" applyBorder="1" applyAlignment="1">
      <alignment horizontal="center"/>
    </xf>
    <xf numFmtId="0" fontId="79" fillId="12" borderId="0" xfId="0" applyFont="1" applyFill="1" applyAlignment="1">
      <alignment horizontal="left"/>
    </xf>
    <xf numFmtId="0" fontId="63" fillId="0" borderId="0" xfId="0" applyFont="1" applyBorder="1" applyAlignment="1">
      <alignment horizontal="center" vertical="center" wrapText="1"/>
    </xf>
    <xf numFmtId="0" fontId="15" fillId="0" borderId="0" xfId="0" applyFont="1" applyAlignment="1">
      <alignment horizontal="center"/>
    </xf>
    <xf numFmtId="0" fontId="15" fillId="0" borderId="0" xfId="0" applyFont="1" applyBorder="1" applyAlignment="1">
      <alignment horizontal="left" vertical="center" wrapText="1"/>
    </xf>
    <xf numFmtId="0" fontId="62" fillId="0" borderId="0" xfId="7" applyFont="1" applyFill="1" applyBorder="1" applyAlignment="1">
      <alignment horizontal="left" vertical="center"/>
    </xf>
    <xf numFmtId="0" fontId="86" fillId="0" borderId="0" xfId="7" applyFont="1" applyFill="1" applyBorder="1" applyAlignment="1">
      <alignment horizontal="center" vertical="center"/>
    </xf>
    <xf numFmtId="0" fontId="70" fillId="10" borderId="0" xfId="7" applyFont="1" applyFill="1" applyBorder="1" applyAlignment="1" applyProtection="1">
      <alignment horizontal="left"/>
      <protection locked="0"/>
    </xf>
    <xf numFmtId="0" fontId="19" fillId="8" borderId="17" xfId="7" applyFont="1" applyFill="1" applyBorder="1" applyAlignment="1">
      <alignment horizontal="center"/>
    </xf>
    <xf numFmtId="0" fontId="19" fillId="8" borderId="26" xfId="7" applyFont="1" applyFill="1" applyBorder="1" applyAlignment="1">
      <alignment horizontal="center"/>
    </xf>
    <xf numFmtId="0" fontId="69" fillId="10" borderId="0" xfId="7" applyFont="1" applyFill="1" applyBorder="1" applyAlignment="1" applyProtection="1">
      <alignment horizontal="left"/>
      <protection locked="0"/>
    </xf>
    <xf numFmtId="0" fontId="19" fillId="9" borderId="2" xfId="7" applyFont="1" applyFill="1" applyBorder="1" applyAlignment="1">
      <alignment horizontal="center"/>
    </xf>
    <xf numFmtId="0" fontId="78" fillId="10" borderId="0" xfId="19" applyFont="1" applyFill="1" applyBorder="1" applyAlignment="1">
      <alignment horizontal="center"/>
    </xf>
    <xf numFmtId="0" fontId="79" fillId="10" borderId="0" xfId="19" applyFont="1" applyFill="1" applyBorder="1" applyAlignment="1">
      <alignment horizontal="center"/>
    </xf>
    <xf numFmtId="0" fontId="75" fillId="14" borderId="2" xfId="0" applyFont="1" applyFill="1" applyBorder="1" applyAlignment="1">
      <alignment horizontal="center"/>
    </xf>
    <xf numFmtId="0" fontId="15" fillId="16" borderId="2" xfId="0" applyFont="1" applyFill="1" applyBorder="1" applyAlignment="1">
      <alignment horizontal="center"/>
    </xf>
    <xf numFmtId="0" fontId="15" fillId="16" borderId="17" xfId="0" applyFont="1" applyFill="1" applyBorder="1" applyAlignment="1">
      <alignment horizontal="center"/>
    </xf>
    <xf numFmtId="0" fontId="15" fillId="16" borderId="54" xfId="0" applyFont="1" applyFill="1" applyBorder="1" applyAlignment="1">
      <alignment horizontal="center"/>
    </xf>
    <xf numFmtId="0" fontId="15" fillId="16" borderId="26" xfId="0" applyFont="1" applyFill="1" applyBorder="1" applyAlignment="1">
      <alignment horizontal="center"/>
    </xf>
    <xf numFmtId="0" fontId="15" fillId="0" borderId="0" xfId="0" applyFont="1" applyBorder="1" applyAlignment="1">
      <alignment horizontal="left" vertical="center"/>
    </xf>
    <xf numFmtId="0" fontId="15" fillId="0" borderId="17" xfId="0" applyFont="1" applyFill="1" applyBorder="1" applyAlignment="1">
      <alignment horizontal="center"/>
    </xf>
    <xf numFmtId="0" fontId="15" fillId="0" borderId="26" xfId="0" applyFont="1" applyFill="1" applyBorder="1" applyAlignment="1">
      <alignment horizontal="center"/>
    </xf>
    <xf numFmtId="0" fontId="15" fillId="0" borderId="2" xfId="0" applyFont="1" applyFill="1" applyBorder="1" applyAlignment="1">
      <alignment horizontal="center"/>
    </xf>
    <xf numFmtId="0" fontId="76" fillId="14" borderId="2" xfId="19" applyFont="1" applyFill="1" applyBorder="1" applyAlignment="1">
      <alignment horizontal="center"/>
    </xf>
    <xf numFmtId="0" fontId="0" fillId="0" borderId="17" xfId="0" applyFill="1" applyBorder="1" applyAlignment="1">
      <alignment horizontal="center"/>
    </xf>
    <xf numFmtId="0" fontId="0" fillId="0" borderId="26" xfId="0" applyFill="1" applyBorder="1" applyAlignment="1">
      <alignment horizontal="center"/>
    </xf>
    <xf numFmtId="0" fontId="15" fillId="0" borderId="54" xfId="0" applyFont="1" applyFill="1" applyBorder="1" applyAlignment="1">
      <alignment horizontal="center"/>
    </xf>
    <xf numFmtId="0" fontId="75" fillId="14" borderId="2" xfId="19" applyFont="1" applyFill="1" applyBorder="1" applyAlignment="1">
      <alignment horizontal="center"/>
    </xf>
    <xf numFmtId="0" fontId="73" fillId="16" borderId="17" xfId="19" applyFont="1" applyFill="1" applyBorder="1" applyAlignment="1">
      <alignment horizontal="center" vertical="center" wrapText="1"/>
    </xf>
    <xf numFmtId="0" fontId="73" fillId="16" borderId="26" xfId="19" applyFont="1" applyFill="1" applyBorder="1" applyAlignment="1">
      <alignment horizontal="center" vertical="center" wrapText="1"/>
    </xf>
    <xf numFmtId="0" fontId="73" fillId="16" borderId="54" xfId="19" applyFont="1" applyFill="1" applyBorder="1" applyAlignment="1">
      <alignment horizontal="center" vertical="center" wrapText="1"/>
    </xf>
    <xf numFmtId="0" fontId="77" fillId="16" borderId="17" xfId="19" applyFont="1" applyFill="1" applyBorder="1" applyAlignment="1">
      <alignment horizontal="center" vertical="center" wrapText="1"/>
    </xf>
    <xf numFmtId="0" fontId="77" fillId="16" borderId="54" xfId="19" applyFont="1" applyFill="1" applyBorder="1" applyAlignment="1">
      <alignment horizontal="center" vertical="center" wrapText="1"/>
    </xf>
    <xf numFmtId="0" fontId="77" fillId="16" borderId="26" xfId="19" applyFont="1" applyFill="1" applyBorder="1" applyAlignment="1">
      <alignment horizontal="center" vertical="center" wrapText="1"/>
    </xf>
    <xf numFmtId="0" fontId="73" fillId="16" borderId="53" xfId="19" applyFont="1" applyFill="1" applyBorder="1" applyAlignment="1">
      <alignment horizontal="center" vertical="center" wrapText="1"/>
    </xf>
    <xf numFmtId="0" fontId="73" fillId="16" borderId="55" xfId="19" applyFont="1" applyFill="1" applyBorder="1" applyAlignment="1">
      <alignment horizontal="center" vertical="center" wrapText="1"/>
    </xf>
    <xf numFmtId="0" fontId="0" fillId="0" borderId="17" xfId="0" applyFill="1" applyBorder="1" applyAlignment="1" applyProtection="1">
      <alignment horizontal="center"/>
      <protection locked="0"/>
    </xf>
    <xf numFmtId="0" fontId="0" fillId="0" borderId="54" xfId="0" applyFill="1" applyBorder="1" applyAlignment="1" applyProtection="1">
      <alignment horizontal="center"/>
      <protection locked="0"/>
    </xf>
    <xf numFmtId="0" fontId="0" fillId="0" borderId="26" xfId="0" applyFill="1" applyBorder="1" applyAlignment="1" applyProtection="1">
      <alignment horizontal="center"/>
      <protection locked="0"/>
    </xf>
    <xf numFmtId="0" fontId="15" fillId="16" borderId="4" xfId="19" applyFont="1" applyFill="1" applyBorder="1" applyAlignment="1">
      <alignment horizontal="center" vertical="center"/>
    </xf>
    <xf numFmtId="0" fontId="72" fillId="16" borderId="4" xfId="19" applyFont="1" applyFill="1" applyBorder="1" applyAlignment="1">
      <alignment horizontal="center" vertical="center" wrapText="1"/>
    </xf>
    <xf numFmtId="0" fontId="73" fillId="16" borderId="53" xfId="19" applyFont="1" applyFill="1" applyBorder="1" applyAlignment="1">
      <alignment horizontal="center" vertical="center"/>
    </xf>
    <xf numFmtId="0" fontId="73" fillId="16" borderId="0" xfId="19" applyFont="1" applyFill="1" applyBorder="1" applyAlignment="1">
      <alignment horizontal="center" vertical="center"/>
    </xf>
    <xf numFmtId="0" fontId="73" fillId="16" borderId="4" xfId="19" applyFont="1" applyFill="1" applyBorder="1" applyAlignment="1">
      <alignment horizontal="center" vertical="center"/>
    </xf>
    <xf numFmtId="0" fontId="72" fillId="16" borderId="5" xfId="19" applyFont="1" applyFill="1" applyBorder="1" applyAlignment="1">
      <alignment horizontal="center" vertical="center" wrapText="1"/>
    </xf>
    <xf numFmtId="0" fontId="72" fillId="16" borderId="55" xfId="19" applyFont="1" applyFill="1" applyBorder="1" applyAlignment="1">
      <alignment horizontal="center" vertical="center" wrapText="1"/>
    </xf>
    <xf numFmtId="0" fontId="72" fillId="16" borderId="53" xfId="19" applyFont="1" applyFill="1" applyBorder="1" applyAlignment="1">
      <alignment horizontal="center" vertical="center" wrapText="1"/>
    </xf>
    <xf numFmtId="0" fontId="73" fillId="16" borderId="57" xfId="19" applyFont="1" applyFill="1" applyBorder="1" applyAlignment="1">
      <alignment horizontal="center" vertical="center" wrapText="1"/>
    </xf>
    <xf numFmtId="0" fontId="73" fillId="16" borderId="60" xfId="19" applyFont="1" applyFill="1" applyBorder="1" applyAlignment="1">
      <alignment horizontal="center" vertical="center" wrapText="1"/>
    </xf>
    <xf numFmtId="0" fontId="73" fillId="16" borderId="58" xfId="19" applyFont="1" applyFill="1" applyBorder="1" applyAlignment="1">
      <alignment horizontal="center" vertical="center" wrapText="1"/>
    </xf>
    <xf numFmtId="0" fontId="73" fillId="16" borderId="59" xfId="19" applyFont="1" applyFill="1" applyBorder="1" applyAlignment="1">
      <alignment horizontal="center" vertical="center" wrapText="1"/>
    </xf>
    <xf numFmtId="0" fontId="73" fillId="16" borderId="5" xfId="19" applyFont="1" applyFill="1" applyBorder="1" applyAlignment="1">
      <alignment horizontal="center" vertical="center"/>
    </xf>
    <xf numFmtId="0" fontId="73" fillId="16" borderId="6" xfId="19" applyFont="1" applyFill="1" applyBorder="1" applyAlignment="1">
      <alignment horizontal="center" vertical="center"/>
    </xf>
    <xf numFmtId="0" fontId="75" fillId="14" borderId="0" xfId="19" applyFont="1" applyFill="1" applyBorder="1" applyAlignment="1">
      <alignment horizontal="center"/>
    </xf>
    <xf numFmtId="0" fontId="72" fillId="16" borderId="2" xfId="19" applyFont="1" applyFill="1" applyBorder="1" applyAlignment="1">
      <alignment horizontal="center" vertical="center"/>
    </xf>
    <xf numFmtId="0" fontId="72" fillId="16" borderId="54" xfId="19" applyFont="1" applyFill="1" applyBorder="1" applyAlignment="1">
      <alignment horizontal="center" vertical="center"/>
    </xf>
    <xf numFmtId="0" fontId="72" fillId="16" borderId="26" xfId="19" applyFont="1" applyFill="1" applyBorder="1" applyAlignment="1">
      <alignment horizontal="center" vertical="center"/>
    </xf>
    <xf numFmtId="0" fontId="74" fillId="16" borderId="2" xfId="19" applyFont="1" applyFill="1" applyBorder="1" applyAlignment="1">
      <alignment horizontal="center" vertical="center" wrapText="1"/>
    </xf>
    <xf numFmtId="0" fontId="73" fillId="16" borderId="2" xfId="19" applyFont="1" applyFill="1" applyBorder="1" applyAlignment="1">
      <alignment horizontal="center" vertical="center" wrapText="1"/>
    </xf>
    <xf numFmtId="0" fontId="27" fillId="0" borderId="17" xfId="3" applyFont="1" applyBorder="1" applyAlignment="1" applyProtection="1"/>
    <xf numFmtId="0" fontId="27" fillId="0" borderId="26" xfId="3" applyFont="1" applyBorder="1" applyAlignment="1" applyProtection="1"/>
    <xf numFmtId="0" fontId="27" fillId="0" borderId="17" xfId="3" applyFont="1" applyBorder="1" applyAlignment="1" applyProtection="1">
      <alignment horizontal="center"/>
    </xf>
    <xf numFmtId="0" fontId="27" fillId="0" borderId="26" xfId="3" applyFont="1" applyBorder="1" applyAlignment="1" applyProtection="1">
      <alignment horizontal="center"/>
    </xf>
    <xf numFmtId="0" fontId="15" fillId="0" borderId="64" xfId="3" applyFont="1" applyBorder="1" applyAlignment="1">
      <alignment horizontal="center"/>
    </xf>
    <xf numFmtId="0" fontId="15" fillId="0" borderId="54" xfId="3" applyFont="1" applyBorder="1" applyAlignment="1">
      <alignment horizontal="center"/>
    </xf>
    <xf numFmtId="0" fontId="15" fillId="0" borderId="65" xfId="3" applyFont="1" applyBorder="1" applyAlignment="1">
      <alignment horizontal="center"/>
    </xf>
    <xf numFmtId="0" fontId="32" fillId="0" borderId="2" xfId="3" applyFont="1" applyBorder="1" applyAlignment="1">
      <alignment horizontal="center"/>
    </xf>
    <xf numFmtId="0" fontId="59" fillId="10" borderId="68" xfId="0" applyFont="1" applyFill="1" applyBorder="1" applyAlignment="1">
      <alignment horizontal="center"/>
    </xf>
    <xf numFmtId="0" fontId="59" fillId="10" borderId="66" xfId="0" applyFont="1" applyFill="1" applyBorder="1" applyAlignment="1">
      <alignment horizontal="center"/>
    </xf>
    <xf numFmtId="0" fontId="59" fillId="10" borderId="67" xfId="0" applyFont="1" applyFill="1" applyBorder="1" applyAlignment="1">
      <alignment horizontal="center"/>
    </xf>
    <xf numFmtId="0" fontId="15" fillId="0" borderId="5" xfId="0" applyFont="1" applyBorder="1" applyAlignment="1">
      <alignment horizontal="left"/>
    </xf>
    <xf numFmtId="0" fontId="15" fillId="0" borderId="0" xfId="0" applyFont="1" applyBorder="1" applyAlignment="1">
      <alignment horizontal="left"/>
    </xf>
    <xf numFmtId="0" fontId="15" fillId="0" borderId="6" xfId="0" applyFont="1" applyBorder="1" applyAlignment="1">
      <alignment horizontal="left"/>
    </xf>
    <xf numFmtId="0" fontId="15" fillId="0" borderId="0" xfId="0" applyFont="1" applyBorder="1" applyAlignment="1">
      <alignment horizontal="center" vertical="center" wrapText="1"/>
    </xf>
  </cellXfs>
  <cellStyles count="21">
    <cellStyle name="Millares 2" xfId="2"/>
    <cellStyle name="Millares 3" xfId="20"/>
    <cellStyle name="Normal" xfId="0" builtinId="0"/>
    <cellStyle name="Normal 10" xfId="13"/>
    <cellStyle name="Normal 11" xfId="16"/>
    <cellStyle name="Normal 12" xfId="14"/>
    <cellStyle name="Normal 13" xfId="18"/>
    <cellStyle name="Normal 14" xfId="19"/>
    <cellStyle name="Normal 2" xfId="1"/>
    <cellStyle name="Normal 2 2" xfId="3"/>
    <cellStyle name="Normal 2 3" xfId="10"/>
    <cellStyle name="Normal 3" xfId="5"/>
    <cellStyle name="Normal 4" xfId="6"/>
    <cellStyle name="Normal 4 2" xfId="7"/>
    <cellStyle name="Normal 5" xfId="4"/>
    <cellStyle name="Normal 6" xfId="8"/>
    <cellStyle name="Normal 6 2" xfId="17"/>
    <cellStyle name="Normal 7" xfId="9"/>
    <cellStyle name="Normal 8" xfId="11"/>
    <cellStyle name="Normal 9" xfId="12"/>
    <cellStyle name="Porcentaje" xfId="15" builtinId="5"/>
  </cellStyles>
  <dxfs count="2371">
    <dxf>
      <font>
        <color rgb="FF9C0006"/>
      </font>
      <fill>
        <patternFill>
          <bgColor rgb="FFFFC7CE"/>
        </patternFill>
      </fill>
    </dxf>
    <dxf>
      <fill>
        <patternFill>
          <bgColor theme="1" tint="0.499984740745262"/>
        </patternFill>
      </fill>
    </dxf>
    <dxf>
      <font>
        <b/>
        <i val="0"/>
        <color theme="0"/>
      </font>
      <fill>
        <patternFill patternType="solid">
          <bgColor theme="0" tint="-0.14996795556505021"/>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s>
  <tableStyles count="0" defaultTableStyle="TableStyleMedium9" defaultPivotStyle="PivotStyleLight16"/>
  <colors>
    <mruColors>
      <color rgb="FF044A2E"/>
      <color rgb="FF003300"/>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1790700</xdr:colOff>
      <xdr:row>0</xdr:row>
      <xdr:rowOff>28575</xdr:rowOff>
    </xdr:from>
    <xdr:to>
      <xdr:col>8</xdr:col>
      <xdr:colOff>676275</xdr:colOff>
      <xdr:row>2</xdr:row>
      <xdr:rowOff>295636</xdr:rowOff>
    </xdr:to>
    <xdr:grpSp>
      <xdr:nvGrpSpPr>
        <xdr:cNvPr id="13" name="Grupo 12">
          <a:extLst>
            <a:ext uri="{FF2B5EF4-FFF2-40B4-BE49-F238E27FC236}">
              <a16:creationId xmlns:a16="http://schemas.microsoft.com/office/drawing/2014/main" id="{00000000-0008-0000-0000-00000C000000}"/>
            </a:ext>
          </a:extLst>
        </xdr:cNvPr>
        <xdr:cNvGrpSpPr/>
      </xdr:nvGrpSpPr>
      <xdr:grpSpPr>
        <a:xfrm>
          <a:off x="4495800" y="28575"/>
          <a:ext cx="6410325" cy="1000486"/>
          <a:chOff x="104775" y="75840"/>
          <a:chExt cx="6410325" cy="1000486"/>
        </a:xfrm>
      </xdr:grpSpPr>
      <xdr:sp macro="" textlink="">
        <xdr:nvSpPr>
          <xdr:cNvPr id="14" name="CuadroTexto 13">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15" name="CuadroTexto 14">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DOCENCIA</a:t>
            </a:r>
          </a:p>
        </xdr:txBody>
      </xdr:sp>
      <xdr:sp macro="" textlink="">
        <xdr:nvSpPr>
          <xdr:cNvPr id="16" name="CuadroTexto 15">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BASE DATOS DOCENTES - COORDINACIÓN GENERAL ACADÉMICA</a:t>
            </a:r>
          </a:p>
        </xdr:txBody>
      </xdr:sp>
      <xdr:pic>
        <xdr:nvPicPr>
          <xdr:cNvPr id="17" name="Imagen 16">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18" name="CuadroTexto 17">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FO-DO-061</a:t>
            </a:r>
          </a:p>
        </xdr:txBody>
      </xdr:sp>
      <xdr:sp macro="" textlink="">
        <xdr:nvSpPr>
          <xdr:cNvPr id="19" name="CuadroTexto 18">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03</a:t>
            </a:r>
          </a:p>
        </xdr:txBody>
      </xdr:sp>
      <xdr:sp macro="" textlink="">
        <xdr:nvSpPr>
          <xdr:cNvPr id="20" name="CuadroTexto 19">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a:t>
            </a:r>
            <a:r>
              <a:rPr lang="es-CO" sz="1000" b="1" baseline="0">
                <a:latin typeface="Arial" panose="020B0604020202020204" pitchFamily="34" charset="0"/>
                <a:cs typeface="Arial" panose="020B0604020202020204" pitchFamily="34" charset="0"/>
              </a:rPr>
              <a:t>Marzo 2023</a:t>
            </a:r>
            <a:endParaRPr lang="es-CO" sz="1000" b="1">
              <a:latin typeface="Arial" panose="020B0604020202020204" pitchFamily="34" charset="0"/>
              <a:cs typeface="Arial" panose="020B0604020202020204" pitchFamily="34"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6</xdr:col>
      <xdr:colOff>57150</xdr:colOff>
      <xdr:row>2</xdr:row>
      <xdr:rowOff>324211</xdr:rowOff>
    </xdr:to>
    <xdr:grpSp>
      <xdr:nvGrpSpPr>
        <xdr:cNvPr id="4" name="Grupo 3">
          <a:extLst>
            <a:ext uri="{FF2B5EF4-FFF2-40B4-BE49-F238E27FC236}">
              <a16:creationId xmlns:a16="http://schemas.microsoft.com/office/drawing/2014/main" id="{00000000-0008-0000-0000-00000C000000}"/>
            </a:ext>
          </a:extLst>
        </xdr:cNvPr>
        <xdr:cNvGrpSpPr/>
      </xdr:nvGrpSpPr>
      <xdr:grpSpPr>
        <a:xfrm>
          <a:off x="0" y="28575"/>
          <a:ext cx="6410325" cy="1000486"/>
          <a:chOff x="104775" y="75840"/>
          <a:chExt cx="6410325" cy="1000486"/>
        </a:xfrm>
      </xdr:grpSpPr>
      <xdr:sp macro="" textlink="">
        <xdr:nvSpPr>
          <xdr:cNvPr id="6" name="CuadroTexto 5">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8" name="CuadroTexto 7">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DOCENCIA</a:t>
            </a:r>
          </a:p>
        </xdr:txBody>
      </xdr:sp>
      <xdr:sp macro="" textlink="">
        <xdr:nvSpPr>
          <xdr:cNvPr id="9" name="CuadroTexto 8">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OFERTA ACADÉMICA</a:t>
            </a:r>
          </a:p>
        </xdr:txBody>
      </xdr:sp>
      <xdr:pic>
        <xdr:nvPicPr>
          <xdr:cNvPr id="10" name="Imagen 9">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11" name="CuadroTexto 10">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FO-DO-062</a:t>
            </a:r>
          </a:p>
        </xdr:txBody>
      </xdr:sp>
      <xdr:sp macro="" textlink="">
        <xdr:nvSpPr>
          <xdr:cNvPr id="12" name="CuadroTexto 11">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03</a:t>
            </a:r>
          </a:p>
        </xdr:txBody>
      </xdr:sp>
      <xdr:sp macro="" textlink="">
        <xdr:nvSpPr>
          <xdr:cNvPr id="13" name="CuadroTexto 12">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Marzo</a:t>
            </a:r>
            <a:r>
              <a:rPr lang="es-CO" sz="1000" b="1" baseline="0">
                <a:latin typeface="Arial" panose="020B0604020202020204" pitchFamily="34" charset="0"/>
                <a:cs typeface="Arial" panose="020B0604020202020204" pitchFamily="34" charset="0"/>
              </a:rPr>
              <a:t> 2023</a:t>
            </a:r>
            <a:endParaRPr lang="es-CO" sz="1000" b="1">
              <a:latin typeface="Arial" panose="020B0604020202020204" pitchFamily="34" charset="0"/>
              <a:cs typeface="Arial" panose="020B0604020202020204" pitchFamily="34"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1472054</xdr:colOff>
      <xdr:row>0</xdr:row>
      <xdr:rowOff>191737</xdr:rowOff>
    </xdr:from>
    <xdr:to>
      <xdr:col>10</xdr:col>
      <xdr:colOff>2525982</xdr:colOff>
      <xdr:row>2</xdr:row>
      <xdr:rowOff>300337</xdr:rowOff>
    </xdr:to>
    <xdr:grpSp>
      <xdr:nvGrpSpPr>
        <xdr:cNvPr id="5" name="Grupo 4">
          <a:extLst>
            <a:ext uri="{FF2B5EF4-FFF2-40B4-BE49-F238E27FC236}">
              <a16:creationId xmlns:a16="http://schemas.microsoft.com/office/drawing/2014/main" id="{00000000-0008-0000-0000-00000C000000}"/>
            </a:ext>
          </a:extLst>
        </xdr:cNvPr>
        <xdr:cNvGrpSpPr/>
      </xdr:nvGrpSpPr>
      <xdr:grpSpPr>
        <a:xfrm>
          <a:off x="3988659" y="191737"/>
          <a:ext cx="6407981" cy="1000942"/>
          <a:chOff x="104775" y="75840"/>
          <a:chExt cx="6410325" cy="1000486"/>
        </a:xfrm>
      </xdr:grpSpPr>
      <xdr:sp macro="" textlink="">
        <xdr:nvSpPr>
          <xdr:cNvPr id="6" name="CuadroTexto 5">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7" name="CuadroTexto 6">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DOCENCIA</a:t>
            </a:r>
          </a:p>
        </xdr:txBody>
      </xdr:sp>
      <xdr:sp macro="" textlink="">
        <xdr:nvSpPr>
          <xdr:cNvPr id="8" name="CuadroTexto 7">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CARGA DOCENTE - COORDINACIÓN GENERAL ACADÉMICA</a:t>
            </a:r>
          </a:p>
        </xdr:txBody>
      </xdr:sp>
      <xdr:pic>
        <xdr:nvPicPr>
          <xdr:cNvPr id="9" name="Imagen 8">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10" name="CuadroTexto 9">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FO-DO-063</a:t>
            </a:r>
          </a:p>
        </xdr:txBody>
      </xdr:sp>
      <xdr:sp macro="" textlink="">
        <xdr:nvSpPr>
          <xdr:cNvPr id="11" name="CuadroTexto 10">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03</a:t>
            </a:r>
          </a:p>
        </xdr:txBody>
      </xdr:sp>
      <xdr:sp macro="" textlink="">
        <xdr:nvSpPr>
          <xdr:cNvPr id="12" name="CuadroTexto 11">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Marzo</a:t>
            </a:r>
            <a:r>
              <a:rPr lang="es-CO" sz="1000" b="1" baseline="0">
                <a:latin typeface="Arial" panose="020B0604020202020204" pitchFamily="34" charset="0"/>
                <a:cs typeface="Arial" panose="020B0604020202020204" pitchFamily="34" charset="0"/>
              </a:rPr>
              <a:t> 2023</a:t>
            </a:r>
            <a:endParaRPr lang="es-CO" sz="1000" b="1">
              <a:latin typeface="Arial" panose="020B0604020202020204" pitchFamily="34" charset="0"/>
              <a:cs typeface="Arial" panose="020B0604020202020204" pitchFamily="34" charset="0"/>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2465297</xdr:colOff>
      <xdr:row>0</xdr:row>
      <xdr:rowOff>112059</xdr:rowOff>
    </xdr:from>
    <xdr:to>
      <xdr:col>15</xdr:col>
      <xdr:colOff>373159</xdr:colOff>
      <xdr:row>2</xdr:row>
      <xdr:rowOff>216074</xdr:rowOff>
    </xdr:to>
    <xdr:grpSp>
      <xdr:nvGrpSpPr>
        <xdr:cNvPr id="6" name="Grupo 5">
          <a:extLst>
            <a:ext uri="{FF2B5EF4-FFF2-40B4-BE49-F238E27FC236}">
              <a16:creationId xmlns:a16="http://schemas.microsoft.com/office/drawing/2014/main" id="{00000000-0008-0000-0000-00000C000000}"/>
            </a:ext>
          </a:extLst>
        </xdr:cNvPr>
        <xdr:cNvGrpSpPr/>
      </xdr:nvGrpSpPr>
      <xdr:grpSpPr>
        <a:xfrm>
          <a:off x="4928659" y="112059"/>
          <a:ext cx="6425621" cy="1001774"/>
          <a:chOff x="104775" y="75840"/>
          <a:chExt cx="6410325" cy="1000486"/>
        </a:xfrm>
      </xdr:grpSpPr>
      <xdr:sp macro="" textlink="">
        <xdr:nvSpPr>
          <xdr:cNvPr id="7" name="CuadroTexto 6">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8" name="CuadroTexto 7">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DOCENCIA</a:t>
            </a:r>
          </a:p>
        </xdr:txBody>
      </xdr:sp>
      <xdr:sp macro="" textlink="">
        <xdr:nvSpPr>
          <xdr:cNvPr id="9" name="CuadroTexto 8">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RESUMEN</a:t>
            </a:r>
            <a:r>
              <a:rPr lang="es-CO" sz="1100" b="1" baseline="0">
                <a:latin typeface="Arial" panose="020B0604020202020204" pitchFamily="34" charset="0"/>
                <a:cs typeface="Arial" panose="020B0604020202020204" pitchFamily="34" charset="0"/>
              </a:rPr>
              <a:t> DE LA CONTRATACIÓN</a:t>
            </a:r>
            <a:endParaRPr lang="es-CO" sz="1100" b="1">
              <a:latin typeface="Arial" panose="020B0604020202020204" pitchFamily="34" charset="0"/>
              <a:cs typeface="Arial" panose="020B0604020202020204" pitchFamily="34" charset="0"/>
            </a:endParaRPr>
          </a:p>
        </xdr:txBody>
      </xdr:sp>
      <xdr:pic>
        <xdr:nvPicPr>
          <xdr:cNvPr id="10" name="Imagen 9">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11" name="CuadroTexto 10">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FO-DO-064</a:t>
            </a:r>
          </a:p>
        </xdr:txBody>
      </xdr:sp>
      <xdr:sp macro="" textlink="">
        <xdr:nvSpPr>
          <xdr:cNvPr id="12" name="CuadroTexto 11">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03</a:t>
            </a:r>
          </a:p>
        </xdr:txBody>
      </xdr:sp>
      <xdr:sp macro="" textlink="">
        <xdr:nvSpPr>
          <xdr:cNvPr id="13" name="CuadroTexto 12">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Marzo</a:t>
            </a:r>
            <a:r>
              <a:rPr lang="es-CO" sz="1000" b="1" baseline="0">
                <a:latin typeface="Arial" panose="020B0604020202020204" pitchFamily="34" charset="0"/>
                <a:cs typeface="Arial" panose="020B0604020202020204" pitchFamily="34" charset="0"/>
              </a:rPr>
              <a:t> 2023</a:t>
            </a:r>
            <a:endParaRPr lang="es-CO" sz="1000" b="1">
              <a:latin typeface="Arial" panose="020B0604020202020204" pitchFamily="34" charset="0"/>
              <a:cs typeface="Arial" panose="020B0604020202020204"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1295400</xdr:colOff>
      <xdr:row>0</xdr:row>
      <xdr:rowOff>0</xdr:rowOff>
    </xdr:from>
    <xdr:to>
      <xdr:col>7</xdr:col>
      <xdr:colOff>28575</xdr:colOff>
      <xdr:row>2</xdr:row>
      <xdr:rowOff>286111</xdr:rowOff>
    </xdr:to>
    <xdr:grpSp>
      <xdr:nvGrpSpPr>
        <xdr:cNvPr id="6" name="Grupo 5">
          <a:extLst>
            <a:ext uri="{FF2B5EF4-FFF2-40B4-BE49-F238E27FC236}">
              <a16:creationId xmlns:a16="http://schemas.microsoft.com/office/drawing/2014/main" id="{00000000-0008-0000-0000-00000C000000}"/>
            </a:ext>
          </a:extLst>
        </xdr:cNvPr>
        <xdr:cNvGrpSpPr/>
      </xdr:nvGrpSpPr>
      <xdr:grpSpPr>
        <a:xfrm>
          <a:off x="2828925" y="0"/>
          <a:ext cx="6410325" cy="1000486"/>
          <a:chOff x="104775" y="75840"/>
          <a:chExt cx="6410325" cy="1000486"/>
        </a:xfrm>
      </xdr:grpSpPr>
      <xdr:sp macro="" textlink="">
        <xdr:nvSpPr>
          <xdr:cNvPr id="7" name="CuadroTexto 6">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8" name="CuadroTexto 7">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DOCENCIA</a:t>
            </a:r>
          </a:p>
        </xdr:txBody>
      </xdr:sp>
      <xdr:sp macro="" textlink="">
        <xdr:nvSpPr>
          <xdr:cNvPr id="9" name="CuadroTexto 8">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LABOR</a:t>
            </a:r>
            <a:r>
              <a:rPr lang="es-CO" sz="1100" b="1" baseline="0">
                <a:latin typeface="Arial" panose="020B0604020202020204" pitchFamily="34" charset="0"/>
                <a:cs typeface="Arial" panose="020B0604020202020204" pitchFamily="34" charset="0"/>
              </a:rPr>
              <a:t> ACADÉMICA</a:t>
            </a:r>
            <a:endParaRPr lang="es-CO" sz="1100" b="1">
              <a:latin typeface="Arial" panose="020B0604020202020204" pitchFamily="34" charset="0"/>
              <a:cs typeface="Arial" panose="020B0604020202020204" pitchFamily="34" charset="0"/>
            </a:endParaRPr>
          </a:p>
        </xdr:txBody>
      </xdr:sp>
      <xdr:pic>
        <xdr:nvPicPr>
          <xdr:cNvPr id="10" name="Imagen 9">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11" name="CuadroTexto 10">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FO-DO-065</a:t>
            </a:r>
          </a:p>
        </xdr:txBody>
      </xdr:sp>
      <xdr:sp macro="" textlink="">
        <xdr:nvSpPr>
          <xdr:cNvPr id="12" name="CuadroTexto 11">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03</a:t>
            </a:r>
          </a:p>
        </xdr:txBody>
      </xdr:sp>
      <xdr:sp macro="" textlink="">
        <xdr:nvSpPr>
          <xdr:cNvPr id="13" name="CuadroTexto 12">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Marzo</a:t>
            </a:r>
            <a:r>
              <a:rPr lang="es-CO" sz="1000" b="1" baseline="0">
                <a:latin typeface="Arial" panose="020B0604020202020204" pitchFamily="34" charset="0"/>
                <a:cs typeface="Arial" panose="020B0604020202020204" pitchFamily="34" charset="0"/>
              </a:rPr>
              <a:t> 2023</a:t>
            </a:r>
            <a:endParaRPr lang="es-CO" sz="1000" b="1">
              <a:latin typeface="Arial" panose="020B0604020202020204" pitchFamily="34" charset="0"/>
              <a:cs typeface="Arial" panose="020B0604020202020204"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333375</xdr:colOff>
      <xdr:row>0</xdr:row>
      <xdr:rowOff>9525</xdr:rowOff>
    </xdr:from>
    <xdr:to>
      <xdr:col>10</xdr:col>
      <xdr:colOff>47625</xdr:colOff>
      <xdr:row>2</xdr:row>
      <xdr:rowOff>276586</xdr:rowOff>
    </xdr:to>
    <xdr:grpSp>
      <xdr:nvGrpSpPr>
        <xdr:cNvPr id="5" name="Grupo 4">
          <a:extLst>
            <a:ext uri="{FF2B5EF4-FFF2-40B4-BE49-F238E27FC236}">
              <a16:creationId xmlns:a16="http://schemas.microsoft.com/office/drawing/2014/main" id="{00000000-0008-0000-0000-00000C000000}"/>
            </a:ext>
          </a:extLst>
        </xdr:cNvPr>
        <xdr:cNvGrpSpPr/>
      </xdr:nvGrpSpPr>
      <xdr:grpSpPr>
        <a:xfrm>
          <a:off x="333375" y="9525"/>
          <a:ext cx="6410325" cy="1000486"/>
          <a:chOff x="104775" y="75840"/>
          <a:chExt cx="6410325" cy="1000486"/>
        </a:xfrm>
      </xdr:grpSpPr>
      <xdr:sp macro="" textlink="">
        <xdr:nvSpPr>
          <xdr:cNvPr id="6" name="CuadroTexto 5">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7" name="CuadroTexto 6">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DOCENCIA</a:t>
            </a:r>
          </a:p>
        </xdr:txBody>
      </xdr:sp>
      <xdr:sp macro="" textlink="">
        <xdr:nvSpPr>
          <xdr:cNvPr id="8" name="CuadroTexto 7">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REGISTRO DE MATERIAS</a:t>
            </a:r>
          </a:p>
        </xdr:txBody>
      </xdr:sp>
      <xdr:pic>
        <xdr:nvPicPr>
          <xdr:cNvPr id="9" name="Imagen 8">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10" name="CuadroTexto 9">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FO-DO-066</a:t>
            </a:r>
          </a:p>
        </xdr:txBody>
      </xdr:sp>
      <xdr:sp macro="" textlink="">
        <xdr:nvSpPr>
          <xdr:cNvPr id="11" name="CuadroTexto 10">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05</a:t>
            </a:r>
          </a:p>
        </xdr:txBody>
      </xdr:sp>
      <xdr:sp macro="" textlink="">
        <xdr:nvSpPr>
          <xdr:cNvPr id="12" name="CuadroTexto 11">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Marzo</a:t>
            </a:r>
            <a:r>
              <a:rPr lang="es-CO" sz="1000" b="1" baseline="0">
                <a:latin typeface="Arial" panose="020B0604020202020204" pitchFamily="34" charset="0"/>
                <a:cs typeface="Arial" panose="020B0604020202020204" pitchFamily="34" charset="0"/>
              </a:rPr>
              <a:t> 2023</a:t>
            </a:r>
            <a:endParaRPr lang="es-CO" sz="1000" b="1">
              <a:latin typeface="Arial" panose="020B0604020202020204" pitchFamily="34" charset="0"/>
              <a:cs typeface="Arial" panose="020B0604020202020204" pitchFamily="34" charset="0"/>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28575</xdr:colOff>
      <xdr:row>0</xdr:row>
      <xdr:rowOff>114300</xdr:rowOff>
    </xdr:from>
    <xdr:to>
      <xdr:col>15</xdr:col>
      <xdr:colOff>285750</xdr:colOff>
      <xdr:row>3</xdr:row>
      <xdr:rowOff>57511</xdr:rowOff>
    </xdr:to>
    <xdr:grpSp>
      <xdr:nvGrpSpPr>
        <xdr:cNvPr id="5" name="Grupo 4">
          <a:extLst>
            <a:ext uri="{FF2B5EF4-FFF2-40B4-BE49-F238E27FC236}">
              <a16:creationId xmlns:a16="http://schemas.microsoft.com/office/drawing/2014/main" id="{00000000-0008-0000-0000-00000C000000}"/>
            </a:ext>
          </a:extLst>
        </xdr:cNvPr>
        <xdr:cNvGrpSpPr/>
      </xdr:nvGrpSpPr>
      <xdr:grpSpPr>
        <a:xfrm>
          <a:off x="523875" y="114300"/>
          <a:ext cx="6410325" cy="1000486"/>
          <a:chOff x="104775" y="75840"/>
          <a:chExt cx="6410325" cy="1000486"/>
        </a:xfrm>
      </xdr:grpSpPr>
      <xdr:sp macro="" textlink="">
        <xdr:nvSpPr>
          <xdr:cNvPr id="6" name="CuadroTexto 5">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7" name="CuadroTexto 6">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DOCENCIA</a:t>
            </a:r>
          </a:p>
        </xdr:txBody>
      </xdr:sp>
      <xdr:sp macro="" textlink="">
        <xdr:nvSpPr>
          <xdr:cNvPr id="8" name="CuadroTexto 7">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PROYECCIÓN NÚMERO</a:t>
            </a:r>
            <a:r>
              <a:rPr lang="es-CO" sz="1100" b="1" baseline="0">
                <a:latin typeface="Arial" panose="020B0604020202020204" pitchFamily="34" charset="0"/>
                <a:cs typeface="Arial" panose="020B0604020202020204" pitchFamily="34" charset="0"/>
              </a:rPr>
              <a:t> DE ESTUDIANTES POR ASIGNATURA</a:t>
            </a:r>
            <a:endParaRPr lang="es-CO" sz="1100" b="1">
              <a:latin typeface="Arial" panose="020B0604020202020204" pitchFamily="34" charset="0"/>
              <a:cs typeface="Arial" panose="020B0604020202020204" pitchFamily="34" charset="0"/>
            </a:endParaRPr>
          </a:p>
        </xdr:txBody>
      </xdr:sp>
      <xdr:pic>
        <xdr:nvPicPr>
          <xdr:cNvPr id="9" name="Imagen 8">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10" name="CuadroTexto 9">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FO-DO-067</a:t>
            </a:r>
          </a:p>
        </xdr:txBody>
      </xdr:sp>
      <xdr:sp macro="" textlink="">
        <xdr:nvSpPr>
          <xdr:cNvPr id="11" name="CuadroTexto 10">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03</a:t>
            </a:r>
          </a:p>
        </xdr:txBody>
      </xdr:sp>
      <xdr:sp macro="" textlink="">
        <xdr:nvSpPr>
          <xdr:cNvPr id="12" name="CuadroTexto 11">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Marzo</a:t>
            </a:r>
            <a:r>
              <a:rPr lang="es-CO" sz="1000" b="1" baseline="0">
                <a:latin typeface="Arial" panose="020B0604020202020204" pitchFamily="34" charset="0"/>
                <a:cs typeface="Arial" panose="020B0604020202020204" pitchFamily="34" charset="0"/>
              </a:rPr>
              <a:t> 2023</a:t>
            </a:r>
            <a:endParaRPr lang="es-CO" sz="1000" b="1">
              <a:latin typeface="Arial" panose="020B0604020202020204" pitchFamily="34" charset="0"/>
              <a:cs typeface="Arial" panose="020B0604020202020204" pitchFamily="34" charset="0"/>
            </a:endParaRP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466725</xdr:colOff>
      <xdr:row>0</xdr:row>
      <xdr:rowOff>114300</xdr:rowOff>
    </xdr:from>
    <xdr:to>
      <xdr:col>11</xdr:col>
      <xdr:colOff>19050</xdr:colOff>
      <xdr:row>2</xdr:row>
      <xdr:rowOff>428986</xdr:rowOff>
    </xdr:to>
    <xdr:grpSp>
      <xdr:nvGrpSpPr>
        <xdr:cNvPr id="5" name="Grupo 4">
          <a:extLst>
            <a:ext uri="{FF2B5EF4-FFF2-40B4-BE49-F238E27FC236}">
              <a16:creationId xmlns:a16="http://schemas.microsoft.com/office/drawing/2014/main" id="{00000000-0008-0000-0000-00000C000000}"/>
            </a:ext>
          </a:extLst>
        </xdr:cNvPr>
        <xdr:cNvGrpSpPr/>
      </xdr:nvGrpSpPr>
      <xdr:grpSpPr>
        <a:xfrm>
          <a:off x="1990725" y="114300"/>
          <a:ext cx="6410325" cy="1000486"/>
          <a:chOff x="104775" y="75840"/>
          <a:chExt cx="6410325" cy="1000486"/>
        </a:xfrm>
      </xdr:grpSpPr>
      <xdr:sp macro="" textlink="">
        <xdr:nvSpPr>
          <xdr:cNvPr id="6" name="CuadroTexto 5">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7" name="CuadroTexto 6">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DOCENCIA</a:t>
            </a:r>
          </a:p>
        </xdr:txBody>
      </xdr:sp>
      <xdr:sp macro="" textlink="">
        <xdr:nvSpPr>
          <xdr:cNvPr id="8" name="CuadroTexto 7">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ESTUDIANTES</a:t>
            </a:r>
            <a:r>
              <a:rPr lang="es-CO" sz="1100" b="1" baseline="0">
                <a:latin typeface="Arial" panose="020B0604020202020204" pitchFamily="34" charset="0"/>
                <a:cs typeface="Arial" panose="020B0604020202020204" pitchFamily="34" charset="0"/>
              </a:rPr>
              <a:t> MATRICULADOS</a:t>
            </a:r>
            <a:endParaRPr lang="es-CO" sz="1100" b="1">
              <a:latin typeface="Arial" panose="020B0604020202020204" pitchFamily="34" charset="0"/>
              <a:cs typeface="Arial" panose="020B0604020202020204" pitchFamily="34" charset="0"/>
            </a:endParaRPr>
          </a:p>
        </xdr:txBody>
      </xdr:sp>
      <xdr:pic>
        <xdr:nvPicPr>
          <xdr:cNvPr id="9" name="Imagen 8">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10" name="CuadroTexto 9">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FO-DO-068</a:t>
            </a:r>
          </a:p>
        </xdr:txBody>
      </xdr:sp>
      <xdr:sp macro="" textlink="">
        <xdr:nvSpPr>
          <xdr:cNvPr id="11" name="CuadroTexto 10">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08</a:t>
            </a:r>
          </a:p>
        </xdr:txBody>
      </xdr:sp>
      <xdr:sp macro="" textlink="">
        <xdr:nvSpPr>
          <xdr:cNvPr id="12" name="CuadroTexto 11">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Marzo</a:t>
            </a:r>
            <a:r>
              <a:rPr lang="es-CO" sz="1000" b="1" baseline="0">
                <a:latin typeface="Arial" panose="020B0604020202020204" pitchFamily="34" charset="0"/>
                <a:cs typeface="Arial" panose="020B0604020202020204" pitchFamily="34" charset="0"/>
              </a:rPr>
              <a:t> 2023</a:t>
            </a:r>
            <a:endParaRPr lang="es-CO" sz="1000" b="1">
              <a:latin typeface="Arial" panose="020B0604020202020204" pitchFamily="34" charset="0"/>
              <a:cs typeface="Arial" panose="020B0604020202020204" pitchFamily="34" charset="0"/>
            </a:endParaRPr>
          </a:p>
        </xdr:txBody>
      </xdr: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171450</xdr:colOff>
      <xdr:row>0</xdr:row>
      <xdr:rowOff>114300</xdr:rowOff>
    </xdr:from>
    <xdr:to>
      <xdr:col>17</xdr:col>
      <xdr:colOff>485775</xdr:colOff>
      <xdr:row>2</xdr:row>
      <xdr:rowOff>305161</xdr:rowOff>
    </xdr:to>
    <xdr:grpSp>
      <xdr:nvGrpSpPr>
        <xdr:cNvPr id="5" name="Grupo 4">
          <a:extLst>
            <a:ext uri="{FF2B5EF4-FFF2-40B4-BE49-F238E27FC236}">
              <a16:creationId xmlns:a16="http://schemas.microsoft.com/office/drawing/2014/main" id="{00000000-0008-0000-0000-00000C000000}"/>
            </a:ext>
          </a:extLst>
        </xdr:cNvPr>
        <xdr:cNvGrpSpPr/>
      </xdr:nvGrpSpPr>
      <xdr:grpSpPr>
        <a:xfrm>
          <a:off x="7905750" y="114300"/>
          <a:ext cx="6410325" cy="1000486"/>
          <a:chOff x="104775" y="75840"/>
          <a:chExt cx="6410325" cy="1000486"/>
        </a:xfrm>
      </xdr:grpSpPr>
      <xdr:sp macro="" textlink="">
        <xdr:nvSpPr>
          <xdr:cNvPr id="6" name="CuadroTexto 5">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7" name="CuadroTexto 6">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DOCENCIA</a:t>
            </a:r>
          </a:p>
        </xdr:txBody>
      </xdr:sp>
      <xdr:sp macro="" textlink="">
        <xdr:nvSpPr>
          <xdr:cNvPr id="8" name="CuadroTexto 7">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BASE DE DATOS SNIES</a:t>
            </a:r>
          </a:p>
        </xdr:txBody>
      </xdr:sp>
      <xdr:pic>
        <xdr:nvPicPr>
          <xdr:cNvPr id="9" name="Imagen 8">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04774"/>
            <a:ext cx="910590" cy="952501"/>
          </a:xfrm>
          <a:prstGeom prst="rect">
            <a:avLst/>
          </a:prstGeom>
          <a:ln>
            <a:noFill/>
          </a:ln>
          <a:extLst>
            <a:ext uri="{53640926-AAD7-44D8-BBD7-CCE9431645EC}">
              <a14:shadowObscured xmlns:a14="http://schemas.microsoft.com/office/drawing/2010/main"/>
            </a:ext>
          </a:extLst>
        </xdr:spPr>
      </xdr:pic>
      <xdr:sp macro="" textlink="">
        <xdr:nvSpPr>
          <xdr:cNvPr id="10" name="CuadroTexto 9">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FO-DO-069</a:t>
            </a:r>
          </a:p>
        </xdr:txBody>
      </xdr:sp>
      <xdr:sp macro="" textlink="">
        <xdr:nvSpPr>
          <xdr:cNvPr id="11" name="CuadroTexto 10">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03</a:t>
            </a:r>
          </a:p>
        </xdr:txBody>
      </xdr:sp>
      <xdr:sp macro="" textlink="">
        <xdr:nvSpPr>
          <xdr:cNvPr id="12" name="CuadroTexto 11">
            <a:extLst>
              <a:ext uri="{FF2B5EF4-FFF2-40B4-BE49-F238E27FC236}">
                <a16:creationId xmlns:a16="http://schemas.microsoft.com/office/drawing/2014/main" id="{00000000-0008-0000-0000-000009000000}"/>
              </a:ext>
            </a:extLst>
          </xdr:cNvPr>
          <xdr:cNvSpPr txBox="1">
            <a:spLocks noChangeAspect="1"/>
          </xdr:cNvSpPr>
        </xdr:nvSpPr>
        <xdr:spPr>
          <a:xfrm>
            <a:off x="4981575"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00" b="1">
                <a:latin typeface="Arial" panose="020B0604020202020204" pitchFamily="34" charset="0"/>
                <a:cs typeface="Arial" panose="020B0604020202020204" pitchFamily="34" charset="0"/>
              </a:rPr>
              <a:t>Fecha: Marzo</a:t>
            </a:r>
            <a:r>
              <a:rPr lang="es-CO" sz="1000" b="1" baseline="0">
                <a:latin typeface="Arial" panose="020B0604020202020204" pitchFamily="34" charset="0"/>
                <a:cs typeface="Arial" panose="020B0604020202020204" pitchFamily="34" charset="0"/>
              </a:rPr>
              <a:t> 2023</a:t>
            </a:r>
            <a:endParaRPr lang="es-CO" sz="1000" b="1">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
  <dimension ref="A1:L105"/>
  <sheetViews>
    <sheetView showGridLines="0" zoomScaleNormal="100" workbookViewId="0">
      <pane xSplit="2" ySplit="9" topLeftCell="D10" activePane="bottomRight" state="frozen"/>
      <selection pane="topRight" activeCell="C1" sqref="C1"/>
      <selection pane="bottomLeft" activeCell="A10" sqref="A10"/>
      <selection pane="bottomRight" activeCell="N7" sqref="N7"/>
    </sheetView>
  </sheetViews>
  <sheetFormatPr baseColWidth="10" defaultColWidth="11.42578125" defaultRowHeight="12.75" x14ac:dyDescent="0.2"/>
  <cols>
    <col min="1" max="1" width="11.85546875" customWidth="1"/>
    <col min="2" max="2" width="28.7109375" bestFit="1" customWidth="1"/>
    <col min="3" max="3" width="27.5703125" customWidth="1"/>
    <col min="4" max="4" width="10" customWidth="1"/>
    <col min="5" max="5" width="9.7109375" customWidth="1"/>
    <col min="6" max="6" width="28.85546875" customWidth="1"/>
    <col min="7" max="7" width="18.42578125" customWidth="1"/>
    <col min="8" max="9" width="18.28515625" customWidth="1"/>
    <col min="10" max="10" width="17.42578125" customWidth="1"/>
    <col min="11" max="11" width="19.140625" customWidth="1"/>
    <col min="12" max="12" width="20" customWidth="1"/>
  </cols>
  <sheetData>
    <row r="1" spans="1:12" ht="31.15" customHeight="1" x14ac:dyDescent="0.2">
      <c r="A1" s="605"/>
      <c r="B1" s="605"/>
      <c r="C1" s="606"/>
      <c r="D1" s="606"/>
      <c r="E1" s="606"/>
      <c r="F1" s="606"/>
      <c r="G1" s="606"/>
      <c r="H1" s="606"/>
      <c r="I1" s="606"/>
      <c r="J1" s="606"/>
      <c r="K1" s="608"/>
      <c r="L1" s="608"/>
    </row>
    <row r="2" spans="1:12" ht="27.6" customHeight="1" x14ac:dyDescent="0.2">
      <c r="A2" s="605"/>
      <c r="B2" s="605"/>
      <c r="C2" s="606"/>
      <c r="D2" s="606"/>
      <c r="E2" s="606"/>
      <c r="F2" s="606"/>
      <c r="G2" s="606"/>
      <c r="H2" s="606"/>
      <c r="I2" s="606"/>
      <c r="J2" s="606"/>
      <c r="K2" s="608"/>
      <c r="L2" s="608"/>
    </row>
    <row r="3" spans="1:12" ht="26.45" customHeight="1" x14ac:dyDescent="0.2">
      <c r="A3" s="605"/>
      <c r="B3" s="605"/>
      <c r="C3" s="606"/>
      <c r="D3" s="606"/>
      <c r="E3" s="606"/>
      <c r="F3" s="606"/>
      <c r="G3" s="606"/>
      <c r="H3" s="606"/>
      <c r="I3" s="606"/>
      <c r="J3" s="606"/>
      <c r="K3" s="609"/>
      <c r="L3" s="609"/>
    </row>
    <row r="4" spans="1:12" x14ac:dyDescent="0.2">
      <c r="A4" s="509" t="s">
        <v>193</v>
      </c>
      <c r="B4" s="509"/>
      <c r="C4" s="509"/>
      <c r="D4" s="509"/>
      <c r="E4" s="509"/>
      <c r="F4" s="509"/>
      <c r="G4" s="142"/>
      <c r="H4" s="142"/>
      <c r="I4" s="142"/>
      <c r="J4" s="142"/>
      <c r="K4" s="142"/>
      <c r="L4" s="142"/>
    </row>
    <row r="5" spans="1:12" ht="5.0999999999999996" customHeight="1" x14ac:dyDescent="0.2">
      <c r="A5" s="141"/>
      <c r="B5" s="142"/>
      <c r="C5" s="142"/>
      <c r="D5" s="142"/>
      <c r="E5" s="142"/>
      <c r="F5" s="142"/>
      <c r="G5" s="142"/>
      <c r="H5" s="142"/>
      <c r="I5" s="142"/>
      <c r="J5" s="142"/>
      <c r="K5" s="142"/>
      <c r="L5" s="142"/>
    </row>
    <row r="6" spans="1:12" ht="5.0999999999999996" customHeight="1" x14ac:dyDescent="0.2">
      <c r="A6" s="143"/>
      <c r="B6" s="144"/>
      <c r="C6" s="144"/>
      <c r="D6" s="144"/>
      <c r="E6" s="144"/>
      <c r="F6" s="144"/>
      <c r="G6" s="144"/>
      <c r="H6" s="144"/>
      <c r="I6" s="144"/>
      <c r="J6" s="144"/>
      <c r="K6" s="144"/>
      <c r="L6" s="144"/>
    </row>
    <row r="7" spans="1:12" x14ac:dyDescent="0.2">
      <c r="A7" s="140"/>
      <c r="B7" s="140"/>
      <c r="C7" s="140"/>
      <c r="D7" s="140"/>
      <c r="E7" s="140"/>
      <c r="F7" s="140"/>
      <c r="G7" s="607" t="s">
        <v>1</v>
      </c>
      <c r="H7" s="607"/>
      <c r="I7" s="607" t="s">
        <v>2</v>
      </c>
      <c r="J7" s="607"/>
      <c r="K7" s="140"/>
      <c r="L7" s="140"/>
    </row>
    <row r="8" spans="1:12" ht="5.0999999999999996" customHeight="1" x14ac:dyDescent="0.2">
      <c r="G8" s="146"/>
      <c r="H8" s="146"/>
      <c r="I8" s="146"/>
      <c r="J8" s="146"/>
    </row>
    <row r="9" spans="1:12" ht="13.5" thickBot="1" x14ac:dyDescent="0.25">
      <c r="A9" s="402" t="s">
        <v>3</v>
      </c>
      <c r="B9" s="402" t="s">
        <v>4</v>
      </c>
      <c r="C9" s="403" t="s">
        <v>5</v>
      </c>
      <c r="D9" s="403" t="s">
        <v>6</v>
      </c>
      <c r="E9" s="403" t="s">
        <v>7</v>
      </c>
      <c r="F9" s="403" t="s">
        <v>8</v>
      </c>
      <c r="G9" s="403" t="s">
        <v>9</v>
      </c>
      <c r="H9" s="403" t="s">
        <v>10</v>
      </c>
      <c r="I9" s="403" t="s">
        <v>9</v>
      </c>
      <c r="J9" s="403" t="s">
        <v>10</v>
      </c>
      <c r="K9" s="403" t="s">
        <v>11</v>
      </c>
      <c r="L9" s="403" t="s">
        <v>12</v>
      </c>
    </row>
    <row r="10" spans="1:12" x14ac:dyDescent="0.2">
      <c r="A10" s="481"/>
      <c r="B10" s="482"/>
      <c r="C10" s="483"/>
      <c r="D10" s="404"/>
      <c r="E10" s="404"/>
      <c r="F10" s="484"/>
      <c r="G10" s="483"/>
      <c r="H10" s="484"/>
      <c r="I10" s="483"/>
      <c r="J10" s="483"/>
      <c r="K10" s="485"/>
      <c r="L10" s="486"/>
    </row>
    <row r="11" spans="1:12" x14ac:dyDescent="0.2">
      <c r="A11" s="487"/>
      <c r="B11" s="156"/>
      <c r="C11" s="155"/>
      <c r="D11" s="309"/>
      <c r="E11" s="153"/>
      <c r="F11" s="152"/>
      <c r="G11" s="460"/>
      <c r="H11" s="156"/>
      <c r="I11" s="461"/>
      <c r="J11" s="461"/>
      <c r="K11" s="311"/>
      <c r="L11" s="405"/>
    </row>
    <row r="12" spans="1:12" x14ac:dyDescent="0.2">
      <c r="A12" s="487"/>
      <c r="B12" s="156"/>
      <c r="C12" s="155"/>
      <c r="D12" s="153"/>
      <c r="E12" s="309"/>
      <c r="F12" s="470"/>
      <c r="G12" s="155"/>
      <c r="H12" s="310"/>
      <c r="I12" s="461"/>
      <c r="J12" s="461"/>
      <c r="K12" s="461"/>
      <c r="L12" s="488"/>
    </row>
    <row r="13" spans="1:12" x14ac:dyDescent="0.2">
      <c r="A13" s="489"/>
      <c r="B13" s="462"/>
      <c r="C13" s="461"/>
      <c r="D13" s="157"/>
      <c r="E13" s="393"/>
      <c r="F13" s="470"/>
      <c r="G13" s="461"/>
      <c r="H13" s="158"/>
      <c r="I13" s="463"/>
      <c r="J13" s="463"/>
      <c r="K13" s="463"/>
      <c r="L13" s="263"/>
    </row>
    <row r="14" spans="1:12" x14ac:dyDescent="0.2">
      <c r="A14" s="487"/>
      <c r="B14" s="156"/>
      <c r="C14" s="464"/>
      <c r="D14" s="309"/>
      <c r="E14" s="153"/>
      <c r="F14" s="470"/>
      <c r="G14" s="155"/>
      <c r="H14" s="310"/>
      <c r="I14" s="155"/>
      <c r="J14" s="155"/>
      <c r="K14" s="461"/>
      <c r="L14" s="490"/>
    </row>
    <row r="15" spans="1:12" x14ac:dyDescent="0.2">
      <c r="A15" s="487"/>
      <c r="B15" s="156"/>
      <c r="C15" s="465"/>
      <c r="D15" s="309"/>
      <c r="E15" s="153"/>
      <c r="F15" s="470"/>
      <c r="G15" s="155"/>
      <c r="H15" s="466"/>
      <c r="I15" s="155"/>
      <c r="J15" s="312"/>
      <c r="K15" s="461"/>
      <c r="L15" s="405"/>
    </row>
    <row r="16" spans="1:12" x14ac:dyDescent="0.2">
      <c r="A16" s="487"/>
      <c r="B16" s="156"/>
      <c r="C16" s="155"/>
      <c r="D16" s="153"/>
      <c r="E16" s="153"/>
      <c r="F16" s="470"/>
      <c r="G16" s="155"/>
      <c r="H16" s="152"/>
      <c r="I16" s="155"/>
      <c r="J16" s="155"/>
      <c r="K16" s="461"/>
      <c r="L16" s="490"/>
    </row>
    <row r="17" spans="1:12" x14ac:dyDescent="0.2">
      <c r="A17" s="491"/>
      <c r="B17" s="156"/>
      <c r="C17" s="152"/>
      <c r="D17" s="153"/>
      <c r="E17" s="153"/>
      <c r="F17" s="470"/>
      <c r="G17" s="155"/>
      <c r="H17" s="152"/>
      <c r="I17" s="155"/>
      <c r="J17" s="155"/>
      <c r="K17" s="461"/>
      <c r="L17" s="490"/>
    </row>
    <row r="18" spans="1:12" x14ac:dyDescent="0.2">
      <c r="A18" s="487"/>
      <c r="B18" s="156"/>
      <c r="C18" s="465"/>
      <c r="D18" s="153"/>
      <c r="E18" s="153"/>
      <c r="F18" s="470"/>
      <c r="G18" s="155"/>
      <c r="H18" s="310"/>
      <c r="I18" s="155"/>
      <c r="J18" s="155"/>
      <c r="K18" s="461"/>
      <c r="L18" s="406"/>
    </row>
    <row r="19" spans="1:12" x14ac:dyDescent="0.2">
      <c r="A19" s="487"/>
      <c r="B19" s="156"/>
      <c r="C19" s="463"/>
      <c r="D19" s="153"/>
      <c r="E19" s="467"/>
      <c r="F19" s="470"/>
      <c r="G19" s="463"/>
      <c r="H19" s="466"/>
      <c r="I19" s="463"/>
      <c r="J19" s="463"/>
      <c r="K19" s="463"/>
      <c r="L19" s="490"/>
    </row>
    <row r="20" spans="1:12" x14ac:dyDescent="0.2">
      <c r="A20" s="492"/>
      <c r="B20" s="466"/>
      <c r="C20" s="466"/>
      <c r="D20" s="153"/>
      <c r="E20" s="468"/>
      <c r="F20" s="470"/>
      <c r="G20" s="155"/>
      <c r="H20" s="312"/>
      <c r="I20" s="461"/>
      <c r="J20" s="312"/>
      <c r="K20" s="461"/>
      <c r="L20" s="406"/>
    </row>
    <row r="21" spans="1:12" x14ac:dyDescent="0.2">
      <c r="A21" s="492"/>
      <c r="B21" s="466"/>
      <c r="C21" s="463"/>
      <c r="D21" s="153"/>
      <c r="E21" s="468"/>
      <c r="F21" s="470"/>
      <c r="G21" s="461"/>
      <c r="H21" s="466"/>
      <c r="I21" s="463"/>
      <c r="J21" s="159"/>
      <c r="K21" s="159"/>
      <c r="L21" s="490"/>
    </row>
    <row r="22" spans="1:12" ht="12.75" customHeight="1" x14ac:dyDescent="0.2">
      <c r="A22" s="492"/>
      <c r="B22" s="469"/>
      <c r="C22" s="463"/>
      <c r="D22" s="157"/>
      <c r="E22" s="468"/>
      <c r="F22" s="470"/>
      <c r="G22" s="463"/>
      <c r="H22" s="466"/>
      <c r="I22" s="463"/>
      <c r="J22" s="463"/>
      <c r="K22" s="463"/>
      <c r="L22" s="405"/>
    </row>
    <row r="23" spans="1:12" x14ac:dyDescent="0.2">
      <c r="A23" s="493"/>
      <c r="B23" s="156"/>
      <c r="C23" s="461"/>
      <c r="D23" s="157"/>
      <c r="E23" s="157"/>
      <c r="F23" s="470"/>
      <c r="G23" s="461"/>
      <c r="H23" s="470"/>
      <c r="I23" s="461"/>
      <c r="J23" s="461"/>
      <c r="K23" s="463"/>
      <c r="L23" s="490"/>
    </row>
    <row r="24" spans="1:12" x14ac:dyDescent="0.2">
      <c r="A24" s="493"/>
      <c r="B24" s="156"/>
      <c r="C24" s="461"/>
      <c r="D24" s="157"/>
      <c r="E24" s="393"/>
      <c r="F24" s="470"/>
      <c r="G24" s="461"/>
      <c r="H24" s="470"/>
      <c r="I24" s="461"/>
      <c r="J24" s="461"/>
      <c r="K24" s="461"/>
      <c r="L24" s="406"/>
    </row>
    <row r="25" spans="1:12" x14ac:dyDescent="0.2">
      <c r="A25" s="493"/>
      <c r="B25" s="156"/>
      <c r="C25" s="470"/>
      <c r="D25" s="157"/>
      <c r="E25" s="393"/>
      <c r="F25" s="470"/>
      <c r="G25" s="461"/>
      <c r="H25" s="470"/>
      <c r="I25" s="461"/>
      <c r="J25" s="461"/>
      <c r="K25" s="461"/>
      <c r="L25" s="405"/>
    </row>
    <row r="26" spans="1:12" x14ac:dyDescent="0.2">
      <c r="A26" s="489"/>
      <c r="B26" s="470"/>
      <c r="C26" s="470"/>
      <c r="D26" s="157"/>
      <c r="E26" s="157"/>
      <c r="F26" s="463"/>
      <c r="G26" s="461"/>
      <c r="H26" s="470"/>
      <c r="I26" s="461"/>
      <c r="J26" s="461"/>
      <c r="K26" s="461"/>
      <c r="L26" s="405"/>
    </row>
    <row r="27" spans="1:12" x14ac:dyDescent="0.2">
      <c r="A27" s="489"/>
      <c r="B27" s="466"/>
      <c r="C27" s="470"/>
      <c r="D27" s="471"/>
      <c r="E27" s="157"/>
      <c r="F27" s="463"/>
      <c r="G27" s="463"/>
      <c r="H27" s="470"/>
      <c r="I27" s="461"/>
      <c r="J27" s="461"/>
      <c r="K27" s="461"/>
      <c r="L27" s="490"/>
    </row>
    <row r="28" spans="1:12" x14ac:dyDescent="0.2">
      <c r="A28" s="494"/>
      <c r="B28" s="156"/>
      <c r="C28" s="466"/>
      <c r="D28" s="471"/>
      <c r="E28" s="471"/>
      <c r="F28" s="463"/>
      <c r="G28" s="463"/>
      <c r="H28" s="466"/>
      <c r="I28" s="463"/>
      <c r="J28" s="463"/>
      <c r="K28" s="461"/>
      <c r="L28" s="490"/>
    </row>
    <row r="29" spans="1:12" x14ac:dyDescent="0.2">
      <c r="A29" s="489"/>
      <c r="B29" s="156"/>
      <c r="C29" s="466"/>
      <c r="D29" s="157"/>
      <c r="E29" s="157"/>
      <c r="F29" s="463"/>
      <c r="G29" s="461"/>
      <c r="H29" s="470"/>
      <c r="I29" s="461"/>
      <c r="J29" s="461"/>
      <c r="K29" s="461"/>
      <c r="L29" s="490"/>
    </row>
    <row r="30" spans="1:12" x14ac:dyDescent="0.2">
      <c r="A30" s="494"/>
      <c r="B30" s="460"/>
      <c r="C30" s="472"/>
      <c r="D30" s="473"/>
      <c r="E30" s="473"/>
      <c r="F30" s="463"/>
      <c r="G30" s="472"/>
      <c r="H30" s="472"/>
      <c r="I30" s="472"/>
      <c r="J30" s="472"/>
      <c r="K30" s="472"/>
      <c r="L30" s="477"/>
    </row>
    <row r="31" spans="1:12" x14ac:dyDescent="0.2">
      <c r="A31" s="495"/>
      <c r="B31" s="472"/>
      <c r="C31" s="472"/>
      <c r="D31" s="473"/>
      <c r="E31" s="473"/>
      <c r="F31" s="463"/>
      <c r="G31" s="472"/>
      <c r="H31" s="472"/>
      <c r="I31" s="472"/>
      <c r="J31" s="461"/>
      <c r="K31" s="472"/>
      <c r="L31" s="477"/>
    </row>
    <row r="32" spans="1:12" x14ac:dyDescent="0.2">
      <c r="A32" s="476"/>
      <c r="B32" s="474"/>
      <c r="C32" s="474"/>
      <c r="D32" s="474"/>
      <c r="E32" s="475"/>
      <c r="F32" s="161"/>
      <c r="G32" s="472"/>
      <c r="H32" s="472"/>
      <c r="I32" s="472"/>
      <c r="J32" s="472"/>
      <c r="K32" s="472"/>
      <c r="L32" s="477"/>
    </row>
    <row r="33" spans="1:12" x14ac:dyDescent="0.2">
      <c r="A33" s="489"/>
      <c r="B33" s="472"/>
      <c r="C33" s="472"/>
      <c r="D33" s="472"/>
      <c r="E33" s="473"/>
      <c r="F33" s="472"/>
      <c r="G33" s="472"/>
      <c r="H33" s="472"/>
      <c r="I33" s="472"/>
      <c r="J33" s="472"/>
      <c r="K33" s="472"/>
      <c r="L33" s="477"/>
    </row>
    <row r="34" spans="1:12" x14ac:dyDescent="0.2">
      <c r="A34" s="489"/>
      <c r="B34" s="462"/>
      <c r="C34" s="461"/>
      <c r="D34" s="157"/>
      <c r="E34" s="157"/>
      <c r="F34" s="470"/>
      <c r="G34" s="461"/>
      <c r="H34" s="158"/>
      <c r="I34" s="461"/>
      <c r="J34" s="461"/>
      <c r="K34" s="159"/>
      <c r="L34" s="477"/>
    </row>
    <row r="35" spans="1:12" x14ac:dyDescent="0.2">
      <c r="A35" s="476"/>
      <c r="B35" s="474"/>
      <c r="C35" s="474"/>
      <c r="D35" s="474"/>
      <c r="E35" s="475"/>
      <c r="F35" s="474"/>
      <c r="G35" s="474"/>
      <c r="H35" s="474"/>
      <c r="I35" s="474"/>
      <c r="J35" s="474"/>
      <c r="K35" s="474"/>
      <c r="L35" s="477"/>
    </row>
    <row r="36" spans="1:12" x14ac:dyDescent="0.2">
      <c r="A36" s="476"/>
      <c r="B36" s="474"/>
      <c r="C36" s="474"/>
      <c r="D36" s="474"/>
      <c r="E36" s="475"/>
      <c r="F36" s="474"/>
      <c r="G36" s="474"/>
      <c r="H36" s="474"/>
      <c r="I36" s="474"/>
      <c r="J36" s="474"/>
      <c r="K36" s="474"/>
      <c r="L36" s="477"/>
    </row>
    <row r="37" spans="1:12" x14ac:dyDescent="0.2">
      <c r="A37" s="476"/>
      <c r="B37" s="474"/>
      <c r="C37" s="474"/>
      <c r="D37" s="474"/>
      <c r="E37" s="475"/>
      <c r="F37" s="474"/>
      <c r="G37" s="474"/>
      <c r="H37" s="474"/>
      <c r="I37" s="474"/>
      <c r="J37" s="474"/>
      <c r="K37" s="474"/>
      <c r="L37" s="477"/>
    </row>
    <row r="38" spans="1:12" x14ac:dyDescent="0.2">
      <c r="A38" s="476"/>
      <c r="B38" s="474"/>
      <c r="C38" s="474"/>
      <c r="D38" s="474"/>
      <c r="E38" s="475"/>
      <c r="F38" s="474"/>
      <c r="G38" s="474"/>
      <c r="H38" s="474"/>
      <c r="I38" s="474"/>
      <c r="J38" s="474"/>
      <c r="K38" s="474"/>
      <c r="L38" s="477"/>
    </row>
    <row r="39" spans="1:12" x14ac:dyDescent="0.2">
      <c r="A39" s="476"/>
      <c r="B39" s="474"/>
      <c r="C39" s="474"/>
      <c r="D39" s="474"/>
      <c r="E39" s="475"/>
      <c r="F39" s="474"/>
      <c r="G39" s="474"/>
      <c r="H39" s="474"/>
      <c r="I39" s="474"/>
      <c r="J39" s="474"/>
      <c r="K39" s="474"/>
      <c r="L39" s="477"/>
    </row>
    <row r="40" spans="1:12" x14ac:dyDescent="0.2">
      <c r="A40" s="476"/>
      <c r="B40" s="474"/>
      <c r="C40" s="474"/>
      <c r="D40" s="474"/>
      <c r="E40" s="475"/>
      <c r="F40" s="474"/>
      <c r="G40" s="474"/>
      <c r="H40" s="474"/>
      <c r="I40" s="474"/>
      <c r="J40" s="474"/>
      <c r="K40" s="474"/>
      <c r="L40" s="477"/>
    </row>
    <row r="41" spans="1:12" x14ac:dyDescent="0.2">
      <c r="A41" s="476"/>
      <c r="B41" s="474"/>
      <c r="C41" s="474"/>
      <c r="D41" s="474"/>
      <c r="E41" s="475"/>
      <c r="F41" s="474"/>
      <c r="G41" s="474"/>
      <c r="H41" s="474"/>
      <c r="I41" s="474"/>
      <c r="J41" s="474"/>
      <c r="K41" s="474"/>
      <c r="L41" s="477"/>
    </row>
    <row r="42" spans="1:12" x14ac:dyDescent="0.2">
      <c r="A42" s="478"/>
      <c r="B42" s="474"/>
      <c r="C42" s="474"/>
      <c r="D42" s="474"/>
      <c r="E42" s="475"/>
      <c r="F42" s="474"/>
      <c r="G42" s="474"/>
      <c r="H42" s="474"/>
      <c r="I42" s="474"/>
      <c r="J42" s="474"/>
      <c r="K42" s="474"/>
      <c r="L42" s="477"/>
    </row>
    <row r="43" spans="1:12" x14ac:dyDescent="0.2">
      <c r="A43" s="476"/>
      <c r="B43" s="479"/>
      <c r="C43" s="474"/>
      <c r="D43" s="474"/>
      <c r="E43" s="475"/>
      <c r="F43" s="474"/>
      <c r="G43" s="474"/>
      <c r="H43" s="474"/>
      <c r="I43" s="474"/>
      <c r="J43" s="474"/>
      <c r="K43" s="474"/>
      <c r="L43" s="477"/>
    </row>
    <row r="44" spans="1:12" x14ac:dyDescent="0.2">
      <c r="A44" s="478"/>
      <c r="B44" s="474"/>
      <c r="C44" s="474"/>
      <c r="D44" s="474"/>
      <c r="E44" s="474"/>
      <c r="F44" s="474"/>
      <c r="G44" s="474"/>
      <c r="H44" s="474"/>
      <c r="I44" s="474"/>
      <c r="J44" s="474"/>
      <c r="K44" s="474"/>
      <c r="L44" s="477"/>
    </row>
    <row r="45" spans="1:12" x14ac:dyDescent="0.2">
      <c r="A45" s="476"/>
      <c r="B45" s="474"/>
      <c r="C45" s="474"/>
      <c r="D45" s="474"/>
      <c r="E45" s="475"/>
      <c r="F45" s="474"/>
      <c r="G45" s="474"/>
      <c r="H45" s="474"/>
      <c r="I45" s="474"/>
      <c r="J45" s="474"/>
      <c r="K45" s="474"/>
      <c r="L45" s="477"/>
    </row>
    <row r="46" spans="1:12" x14ac:dyDescent="0.2">
      <c r="A46" s="489"/>
      <c r="B46" s="156"/>
      <c r="C46" s="470"/>
      <c r="D46" s="157"/>
      <c r="E46" s="480"/>
      <c r="F46" s="470"/>
      <c r="G46" s="461"/>
      <c r="H46" s="461"/>
      <c r="I46" s="461"/>
      <c r="J46" s="461"/>
      <c r="K46" s="461"/>
      <c r="L46" s="477"/>
    </row>
    <row r="47" spans="1:12" x14ac:dyDescent="0.2">
      <c r="A47" s="476"/>
      <c r="B47" s="474"/>
      <c r="C47" s="474"/>
      <c r="D47" s="474"/>
      <c r="E47" s="474"/>
      <c r="F47" s="474"/>
      <c r="G47" s="474"/>
      <c r="H47" s="474"/>
      <c r="I47" s="474"/>
      <c r="J47" s="474"/>
      <c r="K47" s="474"/>
      <c r="L47" s="477"/>
    </row>
    <row r="48" spans="1:12" x14ac:dyDescent="0.2">
      <c r="A48" s="476"/>
      <c r="B48" s="474"/>
      <c r="C48" s="474"/>
      <c r="D48" s="474"/>
      <c r="E48" s="474"/>
      <c r="F48" s="474"/>
      <c r="G48" s="474"/>
      <c r="H48" s="474"/>
      <c r="I48" s="474"/>
      <c r="J48" s="474"/>
      <c r="K48" s="474"/>
      <c r="L48" s="477"/>
    </row>
    <row r="49" spans="1:12" x14ac:dyDescent="0.2">
      <c r="A49" s="476"/>
      <c r="B49" s="474"/>
      <c r="C49" s="474"/>
      <c r="D49" s="474"/>
      <c r="E49" s="474"/>
      <c r="F49" s="474"/>
      <c r="G49" s="474"/>
      <c r="H49" s="474"/>
      <c r="I49" s="474"/>
      <c r="J49" s="474"/>
      <c r="K49" s="474"/>
      <c r="L49" s="477"/>
    </row>
    <row r="50" spans="1:12" x14ac:dyDescent="0.2">
      <c r="A50" s="476"/>
      <c r="B50" s="474"/>
      <c r="C50" s="474"/>
      <c r="D50" s="474"/>
      <c r="E50" s="474"/>
      <c r="F50" s="474"/>
      <c r="G50" s="474"/>
      <c r="H50" s="474"/>
      <c r="I50" s="474"/>
      <c r="J50" s="474"/>
      <c r="K50" s="474"/>
      <c r="L50" s="477"/>
    </row>
    <row r="51" spans="1:12" x14ac:dyDescent="0.2">
      <c r="A51" s="476"/>
      <c r="B51" s="474"/>
      <c r="C51" s="474"/>
      <c r="D51" s="474"/>
      <c r="E51" s="474"/>
      <c r="F51" s="474"/>
      <c r="G51" s="474"/>
      <c r="H51" s="474"/>
      <c r="I51" s="474"/>
      <c r="J51" s="474"/>
      <c r="K51" s="474"/>
      <c r="L51" s="477"/>
    </row>
    <row r="52" spans="1:12" x14ac:dyDescent="0.2">
      <c r="A52" s="478"/>
      <c r="B52" s="474"/>
      <c r="C52" s="474"/>
      <c r="D52" s="474"/>
      <c r="E52" s="474"/>
      <c r="F52" s="474"/>
      <c r="G52" s="474"/>
      <c r="H52" s="474"/>
      <c r="I52" s="474"/>
      <c r="J52" s="474"/>
      <c r="K52" s="474"/>
      <c r="L52" s="263"/>
    </row>
    <row r="53" spans="1:12" x14ac:dyDescent="0.2">
      <c r="A53" s="478"/>
      <c r="B53" s="474"/>
      <c r="C53" s="474"/>
      <c r="D53" s="474"/>
      <c r="E53" s="474"/>
      <c r="F53" s="474"/>
      <c r="G53" s="474"/>
      <c r="H53" s="474"/>
      <c r="I53" s="474"/>
      <c r="J53" s="474"/>
      <c r="K53" s="474"/>
      <c r="L53" s="477"/>
    </row>
    <row r="54" spans="1:12" x14ac:dyDescent="0.2">
      <c r="A54" s="491"/>
      <c r="B54" s="156"/>
      <c r="C54" s="155"/>
      <c r="D54" s="153"/>
      <c r="E54" s="154"/>
      <c r="F54" s="474"/>
      <c r="G54" s="155"/>
      <c r="H54" s="152"/>
      <c r="I54" s="161"/>
      <c r="J54" s="155"/>
      <c r="K54" s="155"/>
      <c r="L54" s="477"/>
    </row>
    <row r="55" spans="1:12" x14ac:dyDescent="0.2">
      <c r="A55" s="411"/>
      <c r="B55" s="395"/>
      <c r="C55" s="395"/>
      <c r="D55" s="395"/>
      <c r="E55" s="395"/>
      <c r="F55" s="395"/>
      <c r="G55" s="395"/>
      <c r="H55" s="395"/>
      <c r="I55" s="395"/>
      <c r="J55" s="395"/>
      <c r="K55" s="395"/>
      <c r="L55" s="412"/>
    </row>
    <row r="56" spans="1:12" x14ac:dyDescent="0.2">
      <c r="A56" s="411"/>
      <c r="B56" s="395"/>
      <c r="C56" s="395"/>
      <c r="D56" s="395"/>
      <c r="E56" s="395"/>
      <c r="F56" s="395"/>
      <c r="G56" s="395"/>
      <c r="H56" s="395"/>
      <c r="I56" s="395"/>
      <c r="J56" s="395"/>
      <c r="K56" s="395"/>
      <c r="L56" s="412"/>
    </row>
    <row r="57" spans="1:12" x14ac:dyDescent="0.2">
      <c r="A57" s="411"/>
      <c r="B57" s="395"/>
      <c r="C57" s="395"/>
      <c r="D57" s="395"/>
      <c r="E57" s="395"/>
      <c r="F57" s="395"/>
      <c r="G57" s="395"/>
      <c r="H57" s="395"/>
      <c r="I57" s="395"/>
      <c r="J57" s="395"/>
      <c r="K57" s="395"/>
      <c r="L57" s="412"/>
    </row>
    <row r="58" spans="1:12" x14ac:dyDescent="0.2">
      <c r="A58" s="411"/>
      <c r="B58" s="395"/>
      <c r="C58" s="395"/>
      <c r="D58" s="395"/>
      <c r="E58" s="395"/>
      <c r="F58" s="395"/>
      <c r="G58" s="395"/>
      <c r="H58" s="395"/>
      <c r="I58" s="395"/>
      <c r="J58" s="395"/>
      <c r="K58" s="395"/>
      <c r="L58" s="412"/>
    </row>
    <row r="59" spans="1:12" x14ac:dyDescent="0.2">
      <c r="A59" s="411"/>
      <c r="B59" s="395"/>
      <c r="C59" s="395"/>
      <c r="D59" s="395"/>
      <c r="E59" s="395"/>
      <c r="F59" s="395"/>
      <c r="G59" s="395"/>
      <c r="H59" s="395"/>
      <c r="I59" s="395"/>
      <c r="J59" s="395"/>
      <c r="K59" s="395"/>
      <c r="L59" s="412"/>
    </row>
    <row r="60" spans="1:12" x14ac:dyDescent="0.2">
      <c r="A60" s="411"/>
      <c r="B60" s="395"/>
      <c r="C60" s="395"/>
      <c r="D60" s="395"/>
      <c r="E60" s="395"/>
      <c r="F60" s="395"/>
      <c r="G60" s="395"/>
      <c r="H60" s="395"/>
      <c r="I60" s="395"/>
      <c r="J60" s="395"/>
      <c r="K60" s="395"/>
      <c r="L60" s="412"/>
    </row>
    <row r="61" spans="1:12" x14ac:dyDescent="0.2">
      <c r="A61" s="411"/>
      <c r="B61" s="395"/>
      <c r="C61" s="395"/>
      <c r="D61" s="395"/>
      <c r="E61" s="395"/>
      <c r="F61" s="395"/>
      <c r="G61" s="395"/>
      <c r="H61" s="395"/>
      <c r="I61" s="395"/>
      <c r="J61" s="395"/>
      <c r="K61" s="395"/>
      <c r="L61" s="412"/>
    </row>
    <row r="62" spans="1:12" x14ac:dyDescent="0.2">
      <c r="A62" s="411"/>
      <c r="B62" s="395"/>
      <c r="C62" s="395"/>
      <c r="D62" s="395"/>
      <c r="E62" s="395"/>
      <c r="F62" s="395"/>
      <c r="G62" s="395"/>
      <c r="H62" s="395"/>
      <c r="I62" s="395"/>
      <c r="J62" s="395"/>
      <c r="K62" s="395"/>
      <c r="L62" s="412"/>
    </row>
    <row r="63" spans="1:12" x14ac:dyDescent="0.2">
      <c r="A63" s="411"/>
      <c r="B63" s="395"/>
      <c r="C63" s="395"/>
      <c r="D63" s="395"/>
      <c r="E63" s="395"/>
      <c r="F63" s="395"/>
      <c r="G63" s="395"/>
      <c r="H63" s="395"/>
      <c r="I63" s="395"/>
      <c r="J63" s="395"/>
      <c r="K63" s="395"/>
      <c r="L63" s="412"/>
    </row>
    <row r="64" spans="1:12" x14ac:dyDescent="0.2">
      <c r="A64" s="411"/>
      <c r="B64" s="395"/>
      <c r="C64" s="395"/>
      <c r="D64" s="395"/>
      <c r="E64" s="395"/>
      <c r="F64" s="395"/>
      <c r="G64" s="395"/>
      <c r="H64" s="395"/>
      <c r="I64" s="395"/>
      <c r="J64" s="395"/>
      <c r="K64" s="395"/>
      <c r="L64" s="412"/>
    </row>
    <row r="65" spans="1:12" x14ac:dyDescent="0.2">
      <c r="A65" s="398"/>
      <c r="B65" s="314"/>
      <c r="C65" s="394"/>
      <c r="D65" s="160"/>
      <c r="E65" s="160"/>
      <c r="F65" s="161"/>
      <c r="G65" s="160"/>
      <c r="H65" s="160"/>
      <c r="I65" s="160"/>
      <c r="J65" s="161"/>
      <c r="K65" s="161"/>
      <c r="L65" s="405"/>
    </row>
    <row r="66" spans="1:12" x14ac:dyDescent="0.2">
      <c r="A66" s="398"/>
      <c r="B66" s="314"/>
      <c r="C66" s="314"/>
      <c r="D66" s="161"/>
      <c r="E66" s="161"/>
      <c r="F66" s="161"/>
      <c r="G66" s="161"/>
      <c r="H66" s="161"/>
      <c r="I66" s="161"/>
      <c r="J66" s="161"/>
      <c r="K66" s="161"/>
      <c r="L66" s="405"/>
    </row>
    <row r="67" spans="1:12" x14ac:dyDescent="0.2">
      <c r="A67" s="398"/>
      <c r="B67" s="314"/>
      <c r="C67" s="314"/>
      <c r="D67" s="161"/>
      <c r="E67" s="161"/>
      <c r="F67" s="161"/>
      <c r="G67" s="161"/>
      <c r="H67" s="161"/>
      <c r="I67" s="161"/>
      <c r="J67" s="161"/>
      <c r="K67" s="161"/>
      <c r="L67" s="405"/>
    </row>
    <row r="68" spans="1:12" x14ac:dyDescent="0.2">
      <c r="A68" s="398"/>
      <c r="B68" s="314"/>
      <c r="C68" s="394"/>
      <c r="D68" s="160"/>
      <c r="E68" s="160"/>
      <c r="F68" s="161"/>
      <c r="G68" s="161"/>
      <c r="H68" s="161"/>
      <c r="I68" s="161"/>
      <c r="J68" s="161"/>
      <c r="K68" s="161"/>
      <c r="L68" s="405"/>
    </row>
    <row r="69" spans="1:12" x14ac:dyDescent="0.2">
      <c r="A69" s="398"/>
      <c r="B69" s="314"/>
      <c r="C69" s="394"/>
      <c r="D69" s="160"/>
      <c r="E69" s="160"/>
      <c r="F69" s="161"/>
      <c r="G69" s="161"/>
      <c r="H69" s="160"/>
      <c r="I69" s="160"/>
      <c r="J69" s="161"/>
      <c r="K69" s="161"/>
      <c r="L69" s="405"/>
    </row>
    <row r="70" spans="1:12" x14ac:dyDescent="0.2">
      <c r="A70" s="398"/>
      <c r="B70" s="314"/>
      <c r="C70" s="396"/>
      <c r="D70" s="161"/>
      <c r="E70" s="161"/>
      <c r="F70" s="161"/>
      <c r="G70" s="161"/>
      <c r="H70" s="161"/>
      <c r="I70" s="161"/>
      <c r="J70" s="161"/>
      <c r="K70" s="161"/>
      <c r="L70" s="405"/>
    </row>
    <row r="71" spans="1:12" x14ac:dyDescent="0.2">
      <c r="A71" s="398"/>
      <c r="B71" s="314"/>
      <c r="C71" s="314"/>
      <c r="D71" s="161"/>
      <c r="E71" s="161"/>
      <c r="F71" s="161"/>
      <c r="G71" s="161"/>
      <c r="H71" s="161"/>
      <c r="I71" s="161"/>
      <c r="J71" s="161"/>
      <c r="K71" s="161"/>
      <c r="L71" s="405"/>
    </row>
    <row r="72" spans="1:12" x14ac:dyDescent="0.2">
      <c r="A72" s="398"/>
      <c r="B72" s="314"/>
      <c r="C72" s="314"/>
      <c r="D72" s="161"/>
      <c r="E72" s="161"/>
      <c r="F72" s="161"/>
      <c r="G72" s="161"/>
      <c r="H72" s="161"/>
      <c r="I72" s="161"/>
      <c r="J72" s="161"/>
      <c r="K72" s="161"/>
      <c r="L72" s="405"/>
    </row>
    <row r="73" spans="1:12" x14ac:dyDescent="0.2">
      <c r="A73" s="398"/>
      <c r="B73" s="314"/>
      <c r="C73" s="394"/>
      <c r="D73" s="161"/>
      <c r="E73" s="161"/>
      <c r="F73" s="161"/>
      <c r="G73" s="161"/>
      <c r="H73" s="160"/>
      <c r="I73" s="160"/>
      <c r="J73" s="161"/>
      <c r="K73" s="160"/>
      <c r="L73" s="409"/>
    </row>
    <row r="74" spans="1:12" x14ac:dyDescent="0.2">
      <c r="A74" s="408"/>
      <c r="B74" s="314"/>
      <c r="C74" s="394"/>
      <c r="D74" s="161"/>
      <c r="E74" s="161"/>
      <c r="F74" s="161"/>
      <c r="G74" s="161"/>
      <c r="H74" s="160"/>
      <c r="I74" s="160"/>
      <c r="J74" s="160"/>
      <c r="K74" s="160"/>
      <c r="L74" s="409"/>
    </row>
    <row r="75" spans="1:12" x14ac:dyDescent="0.2">
      <c r="A75" s="398"/>
      <c r="B75" s="314"/>
      <c r="C75" s="394"/>
      <c r="D75" s="160"/>
      <c r="E75" s="161"/>
      <c r="F75" s="161"/>
      <c r="G75" s="160"/>
      <c r="H75" s="160"/>
      <c r="I75" s="160"/>
      <c r="J75" s="160"/>
      <c r="K75" s="160"/>
      <c r="L75" s="409"/>
    </row>
    <row r="76" spans="1:12" x14ac:dyDescent="0.2">
      <c r="A76" s="398"/>
      <c r="B76" s="314"/>
      <c r="C76" s="394"/>
      <c r="D76" s="160"/>
      <c r="E76" s="397"/>
      <c r="F76" s="161"/>
      <c r="G76" s="161"/>
      <c r="H76" s="160"/>
      <c r="I76" s="160"/>
      <c r="J76" s="160"/>
      <c r="K76" s="160"/>
      <c r="L76" s="409"/>
    </row>
    <row r="77" spans="1:12" x14ac:dyDescent="0.2">
      <c r="A77" s="398"/>
      <c r="B77" s="161"/>
      <c r="C77" s="314"/>
      <c r="D77" s="161"/>
      <c r="E77" s="161"/>
      <c r="F77" s="161"/>
      <c r="G77" s="161"/>
      <c r="H77" s="161"/>
      <c r="I77" s="161"/>
      <c r="J77" s="161"/>
      <c r="K77" s="161"/>
      <c r="L77" s="405"/>
    </row>
    <row r="78" spans="1:12" x14ac:dyDescent="0.2">
      <c r="A78" s="398"/>
      <c r="B78" s="161"/>
      <c r="C78" s="314"/>
      <c r="D78" s="161"/>
      <c r="E78" s="161"/>
      <c r="F78" s="161"/>
      <c r="G78" s="161"/>
      <c r="H78" s="161"/>
      <c r="I78" s="161"/>
      <c r="J78" s="161"/>
      <c r="K78" s="161"/>
      <c r="L78" s="405"/>
    </row>
    <row r="79" spans="1:12" x14ac:dyDescent="0.2">
      <c r="A79" s="398"/>
      <c r="B79" s="161"/>
      <c r="C79" s="314"/>
      <c r="D79" s="161"/>
      <c r="E79" s="161"/>
      <c r="F79" s="161"/>
      <c r="G79" s="161"/>
      <c r="H79" s="161"/>
      <c r="I79" s="161"/>
      <c r="J79" s="161"/>
      <c r="K79" s="161"/>
      <c r="L79" s="405"/>
    </row>
    <row r="80" spans="1:12" x14ac:dyDescent="0.2">
      <c r="A80" s="398"/>
      <c r="B80" s="161"/>
      <c r="C80" s="314"/>
      <c r="D80" s="161"/>
      <c r="E80" s="161"/>
      <c r="F80" s="161"/>
      <c r="G80" s="161"/>
      <c r="H80" s="161"/>
      <c r="I80" s="161"/>
      <c r="J80" s="161"/>
      <c r="K80" s="161"/>
      <c r="L80" s="405"/>
    </row>
    <row r="81" spans="1:12" x14ac:dyDescent="0.2">
      <c r="A81" s="407"/>
      <c r="B81" s="156"/>
      <c r="C81" s="311"/>
      <c r="D81" s="153"/>
      <c r="E81" s="154"/>
      <c r="F81" s="152"/>
      <c r="G81" s="155"/>
      <c r="H81" s="152"/>
      <c r="I81" s="161"/>
      <c r="J81" s="155"/>
      <c r="K81" s="155"/>
      <c r="L81" s="263"/>
    </row>
    <row r="82" spans="1:12" x14ac:dyDescent="0.2">
      <c r="A82" s="407"/>
      <c r="B82" s="156"/>
      <c r="C82" s="311"/>
      <c r="D82" s="153"/>
      <c r="E82" s="154"/>
      <c r="F82" s="152"/>
      <c r="G82" s="155"/>
      <c r="H82" s="152"/>
      <c r="I82" s="161"/>
      <c r="J82" s="155"/>
      <c r="K82" s="155"/>
      <c r="L82" s="263"/>
    </row>
    <row r="83" spans="1:12" x14ac:dyDescent="0.2">
      <c r="A83" s="407"/>
      <c r="B83" s="156"/>
      <c r="C83" s="311"/>
      <c r="D83" s="153"/>
      <c r="E83" s="154"/>
      <c r="F83" s="152"/>
      <c r="G83" s="155"/>
      <c r="H83" s="152"/>
      <c r="I83" s="161"/>
      <c r="J83" s="155"/>
      <c r="K83" s="155"/>
      <c r="L83" s="263"/>
    </row>
    <row r="84" spans="1:12" x14ac:dyDescent="0.2">
      <c r="A84" s="407"/>
      <c r="B84" s="156"/>
      <c r="C84" s="311"/>
      <c r="D84" s="153"/>
      <c r="E84" s="154"/>
      <c r="F84" s="152"/>
      <c r="G84" s="155"/>
      <c r="H84" s="152"/>
      <c r="I84" s="161"/>
      <c r="J84" s="155"/>
      <c r="K84" s="155"/>
      <c r="L84" s="263"/>
    </row>
    <row r="85" spans="1:12" x14ac:dyDescent="0.2">
      <c r="A85" s="407"/>
      <c r="B85" s="156"/>
      <c r="C85" s="311"/>
      <c r="D85" s="153"/>
      <c r="E85" s="154"/>
      <c r="F85" s="152"/>
      <c r="G85" s="155"/>
      <c r="H85" s="152"/>
      <c r="I85" s="161"/>
      <c r="J85" s="155"/>
      <c r="K85" s="155"/>
      <c r="L85" s="263"/>
    </row>
    <row r="86" spans="1:12" x14ac:dyDescent="0.2">
      <c r="A86" s="407"/>
      <c r="B86" s="156"/>
      <c r="C86" s="311"/>
      <c r="D86" s="153"/>
      <c r="E86" s="154"/>
      <c r="F86" s="152"/>
      <c r="G86" s="155"/>
      <c r="H86" s="152"/>
      <c r="I86" s="161"/>
      <c r="J86" s="155"/>
      <c r="K86" s="155"/>
      <c r="L86" s="263"/>
    </row>
    <row r="87" spans="1:12" x14ac:dyDescent="0.2">
      <c r="A87" s="407"/>
      <c r="B87" s="156"/>
      <c r="C87" s="311"/>
      <c r="D87" s="153"/>
      <c r="E87" s="154"/>
      <c r="F87" s="152"/>
      <c r="G87" s="155"/>
      <c r="H87" s="152"/>
      <c r="I87" s="161"/>
      <c r="J87" s="155"/>
      <c r="K87" s="155"/>
      <c r="L87" s="263"/>
    </row>
    <row r="88" spans="1:12" x14ac:dyDescent="0.2">
      <c r="A88" s="398"/>
      <c r="B88" s="161"/>
      <c r="C88" s="314"/>
      <c r="D88" s="161"/>
      <c r="E88" s="161"/>
      <c r="F88" s="161"/>
      <c r="G88" s="161"/>
      <c r="H88" s="161"/>
      <c r="I88" s="161"/>
      <c r="J88" s="161"/>
      <c r="K88" s="161"/>
      <c r="L88" s="405"/>
    </row>
    <row r="89" spans="1:12" x14ac:dyDescent="0.2">
      <c r="A89" s="398"/>
      <c r="B89" s="161"/>
      <c r="C89" s="314"/>
      <c r="D89" s="161"/>
      <c r="E89" s="161"/>
      <c r="F89" s="161"/>
      <c r="G89" s="161"/>
      <c r="H89" s="161"/>
      <c r="I89" s="161"/>
      <c r="J89" s="161"/>
      <c r="K89" s="161"/>
      <c r="L89" s="405"/>
    </row>
    <row r="90" spans="1:12" x14ac:dyDescent="0.2">
      <c r="A90" s="398"/>
      <c r="B90" s="161"/>
      <c r="C90" s="314"/>
      <c r="D90" s="161"/>
      <c r="E90" s="161"/>
      <c r="F90" s="161"/>
      <c r="G90" s="161"/>
      <c r="H90" s="161"/>
      <c r="I90" s="161"/>
      <c r="J90" s="161"/>
      <c r="K90" s="161"/>
      <c r="L90" s="405"/>
    </row>
    <row r="91" spans="1:12" x14ac:dyDescent="0.2">
      <c r="A91" s="398"/>
      <c r="B91" s="161"/>
      <c r="C91" s="314"/>
      <c r="D91" s="161"/>
      <c r="E91" s="161"/>
      <c r="F91" s="161"/>
      <c r="G91" s="161"/>
      <c r="H91" s="161"/>
      <c r="I91" s="161"/>
      <c r="J91" s="161"/>
      <c r="K91" s="161"/>
      <c r="L91" s="405"/>
    </row>
    <row r="92" spans="1:12" x14ac:dyDescent="0.2">
      <c r="A92" s="398"/>
      <c r="B92" s="161"/>
      <c r="C92" s="314"/>
      <c r="D92" s="161"/>
      <c r="E92" s="161"/>
      <c r="F92" s="161"/>
      <c r="G92" s="161"/>
      <c r="H92" s="161"/>
      <c r="I92" s="161"/>
      <c r="J92" s="161"/>
      <c r="K92" s="161"/>
      <c r="L92" s="405"/>
    </row>
    <row r="93" spans="1:12" x14ac:dyDescent="0.2">
      <c r="A93" s="398"/>
      <c r="B93" s="161"/>
      <c r="C93" s="314"/>
      <c r="D93" s="161"/>
      <c r="E93" s="161"/>
      <c r="F93" s="161"/>
      <c r="G93" s="161"/>
      <c r="H93" s="161"/>
      <c r="I93" s="161"/>
      <c r="J93" s="161"/>
      <c r="K93" s="161"/>
      <c r="L93" s="405"/>
    </row>
    <row r="94" spans="1:12" x14ac:dyDescent="0.2">
      <c r="A94" s="398"/>
      <c r="B94" s="161"/>
      <c r="C94" s="314"/>
      <c r="D94" s="161"/>
      <c r="E94" s="161"/>
      <c r="F94" s="161"/>
      <c r="G94" s="161"/>
      <c r="H94" s="161"/>
      <c r="I94" s="161"/>
      <c r="J94" s="161"/>
      <c r="K94" s="161"/>
      <c r="L94" s="405"/>
    </row>
    <row r="95" spans="1:12" x14ac:dyDescent="0.2">
      <c r="A95" s="398"/>
      <c r="B95" s="161"/>
      <c r="C95" s="314"/>
      <c r="D95" s="161"/>
      <c r="E95" s="161"/>
      <c r="F95" s="161"/>
      <c r="G95" s="161"/>
      <c r="H95" s="161"/>
      <c r="I95" s="161"/>
      <c r="J95" s="161"/>
      <c r="K95" s="161"/>
      <c r="L95" s="405"/>
    </row>
    <row r="96" spans="1:12" x14ac:dyDescent="0.2">
      <c r="A96" s="398"/>
      <c r="B96" s="161"/>
      <c r="C96" s="314"/>
      <c r="D96" s="161"/>
      <c r="E96" s="161"/>
      <c r="F96" s="161"/>
      <c r="G96" s="161"/>
      <c r="H96" s="161"/>
      <c r="I96" s="161"/>
      <c r="J96" s="161"/>
      <c r="K96" s="161"/>
      <c r="L96" s="405"/>
    </row>
    <row r="97" spans="1:12" x14ac:dyDescent="0.2">
      <c r="A97" s="398"/>
      <c r="B97" s="161"/>
      <c r="C97" s="314"/>
      <c r="D97" s="161"/>
      <c r="E97" s="161"/>
      <c r="F97" s="161"/>
      <c r="G97" s="161"/>
      <c r="H97" s="161"/>
      <c r="I97" s="161"/>
      <c r="J97" s="161"/>
      <c r="K97" s="161"/>
      <c r="L97" s="405"/>
    </row>
    <row r="98" spans="1:12" x14ac:dyDescent="0.2">
      <c r="A98" s="398"/>
      <c r="B98" s="161"/>
      <c r="C98" s="314"/>
      <c r="D98" s="161"/>
      <c r="E98" s="161"/>
      <c r="F98" s="161"/>
      <c r="G98" s="161"/>
      <c r="H98" s="161"/>
      <c r="I98" s="161"/>
      <c r="J98" s="161"/>
      <c r="K98" s="161"/>
      <c r="L98" s="405"/>
    </row>
    <row r="99" spans="1:12" x14ac:dyDescent="0.2">
      <c r="A99" s="398"/>
      <c r="B99" s="161"/>
      <c r="C99" s="314"/>
      <c r="D99" s="161"/>
      <c r="E99" s="161"/>
      <c r="F99" s="161"/>
      <c r="G99" s="161"/>
      <c r="H99" s="161"/>
      <c r="I99" s="161"/>
      <c r="J99" s="161"/>
      <c r="K99" s="161"/>
      <c r="L99" s="405"/>
    </row>
    <row r="100" spans="1:12" ht="13.5" thickBot="1" x14ac:dyDescent="0.25">
      <c r="A100" s="399">
        <v>1</v>
      </c>
      <c r="B100" s="400" t="s">
        <v>13</v>
      </c>
      <c r="C100" s="401"/>
      <c r="D100" s="400"/>
      <c r="E100" s="400"/>
      <c r="F100" s="400"/>
      <c r="G100" s="400"/>
      <c r="H100" s="400"/>
      <c r="I100" s="400"/>
      <c r="J100" s="400"/>
      <c r="K100" s="400"/>
      <c r="L100" s="410"/>
    </row>
    <row r="102" spans="1:12" x14ac:dyDescent="0.2">
      <c r="L102" s="584" t="s">
        <v>200</v>
      </c>
    </row>
    <row r="103" spans="1:12" x14ac:dyDescent="0.2">
      <c r="L103" s="573"/>
    </row>
    <row r="104" spans="1:12" x14ac:dyDescent="0.2">
      <c r="E104" s="295"/>
    </row>
    <row r="105" spans="1:12" x14ac:dyDescent="0.2">
      <c r="F105" s="296"/>
    </row>
  </sheetData>
  <mergeCells count="8">
    <mergeCell ref="A1:B3"/>
    <mergeCell ref="C2:J3"/>
    <mergeCell ref="G7:H7"/>
    <mergeCell ref="I7:J7"/>
    <mergeCell ref="K1:L1"/>
    <mergeCell ref="K2:L2"/>
    <mergeCell ref="C1:J1"/>
    <mergeCell ref="K3:L3"/>
  </mergeCells>
  <conditionalFormatting sqref="A18">
    <cfRule type="cellIs" dxfId="2370" priority="1" operator="equal">
      <formula>0</formula>
    </cfRule>
  </conditionalFormatting>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dimension ref="A1:F56"/>
  <sheetViews>
    <sheetView showGridLines="0" zoomScaleNormal="100" workbookViewId="0">
      <pane xSplit="1" ySplit="7" topLeftCell="B8" activePane="bottomRight" state="frozen"/>
      <selection pane="topRight" activeCell="B1" sqref="B1"/>
      <selection pane="bottomLeft" activeCell="A4" sqref="A4"/>
      <selection pane="bottomRight" activeCell="I15" sqref="I15"/>
    </sheetView>
  </sheetViews>
  <sheetFormatPr baseColWidth="10" defaultColWidth="11.42578125" defaultRowHeight="12.75" x14ac:dyDescent="0.2"/>
  <cols>
    <col min="1" max="1" width="14.7109375" customWidth="1"/>
    <col min="2" max="2" width="48.140625" bestFit="1" customWidth="1"/>
    <col min="3" max="4" width="4.7109375" customWidth="1"/>
    <col min="5" max="5" width="8.7109375" customWidth="1"/>
    <col min="6" max="6" width="14.28515625" customWidth="1"/>
  </cols>
  <sheetData>
    <row r="1" spans="1:6" ht="23.25" customHeight="1" x14ac:dyDescent="0.2">
      <c r="A1" s="605"/>
      <c r="B1" s="613"/>
      <c r="C1" s="613"/>
      <c r="D1" s="613"/>
      <c r="E1" s="608"/>
      <c r="F1" s="608"/>
    </row>
    <row r="2" spans="1:6" ht="32.25" customHeight="1" x14ac:dyDescent="0.2">
      <c r="A2" s="605"/>
      <c r="B2" s="613"/>
      <c r="C2" s="613"/>
      <c r="D2" s="613"/>
      <c r="E2" s="608"/>
      <c r="F2" s="608"/>
    </row>
    <row r="3" spans="1:6" ht="27.6" customHeight="1" x14ac:dyDescent="0.2">
      <c r="A3" s="605"/>
      <c r="B3" s="613"/>
      <c r="C3" s="613"/>
      <c r="D3" s="613"/>
      <c r="E3" s="609"/>
      <c r="F3" s="609"/>
    </row>
    <row r="4" spans="1:6" ht="18" x14ac:dyDescent="0.25">
      <c r="A4" s="610" t="s">
        <v>199</v>
      </c>
      <c r="B4" s="611"/>
      <c r="C4" s="611"/>
      <c r="D4" s="611"/>
      <c r="E4" s="611"/>
      <c r="F4" s="611"/>
    </row>
    <row r="5" spans="1:6" ht="1.5" customHeight="1" thickBot="1" x14ac:dyDescent="0.3">
      <c r="A5" s="539"/>
      <c r="B5" s="539"/>
      <c r="C5" s="539"/>
      <c r="D5" s="539"/>
      <c r="E5" s="539"/>
      <c r="F5" s="539"/>
    </row>
    <row r="6" spans="1:6" ht="17.25" customHeight="1" x14ac:dyDescent="0.2">
      <c r="A6" s="540" t="s">
        <v>14</v>
      </c>
      <c r="B6" s="541" t="s">
        <v>15</v>
      </c>
      <c r="C6" s="540" t="s">
        <v>16</v>
      </c>
      <c r="D6" s="540" t="s">
        <v>17</v>
      </c>
      <c r="E6" s="542" t="s">
        <v>18</v>
      </c>
      <c r="F6" s="540" t="s">
        <v>19</v>
      </c>
    </row>
    <row r="7" spans="1:6" ht="2.1" customHeight="1" x14ac:dyDescent="0.2">
      <c r="A7" s="543"/>
      <c r="B7" s="543"/>
      <c r="C7" s="543"/>
      <c r="D7" s="543"/>
      <c r="E7" s="544"/>
      <c r="F7" s="543"/>
    </row>
    <row r="8" spans="1:6" ht="16.5" customHeight="1" thickBot="1" x14ac:dyDescent="0.3">
      <c r="A8" s="612" t="s">
        <v>193</v>
      </c>
      <c r="B8" s="612"/>
      <c r="C8" s="612"/>
      <c r="D8" s="612"/>
      <c r="E8" s="612"/>
      <c r="F8" s="612"/>
    </row>
    <row r="9" spans="1:6" ht="12" customHeight="1" x14ac:dyDescent="0.2">
      <c r="A9" s="89"/>
      <c r="B9" s="288"/>
      <c r="C9" s="100"/>
      <c r="D9" s="90"/>
      <c r="E9" s="100"/>
      <c r="F9" s="272"/>
    </row>
    <row r="10" spans="1:6" ht="12" customHeight="1" x14ac:dyDescent="0.2">
      <c r="A10" s="91"/>
      <c r="B10" s="286"/>
      <c r="C10" s="99"/>
      <c r="D10" s="92"/>
      <c r="E10" s="99"/>
      <c r="F10" s="273"/>
    </row>
    <row r="11" spans="1:6" ht="12" customHeight="1" x14ac:dyDescent="0.2">
      <c r="A11" s="91"/>
      <c r="B11" s="286"/>
      <c r="C11" s="99"/>
      <c r="D11" s="92"/>
      <c r="E11" s="99"/>
      <c r="F11" s="273"/>
    </row>
    <row r="12" spans="1:6" ht="12" customHeight="1" x14ac:dyDescent="0.2">
      <c r="A12" s="91"/>
      <c r="B12" s="286"/>
      <c r="C12" s="99"/>
      <c r="D12" s="92"/>
      <c r="E12" s="99"/>
      <c r="F12" s="273"/>
    </row>
    <row r="13" spans="1:6" ht="12" customHeight="1" thickBot="1" x14ac:dyDescent="0.25">
      <c r="A13" s="93"/>
      <c r="B13" s="287"/>
      <c r="C13" s="103"/>
      <c r="D13" s="94"/>
      <c r="E13" s="103"/>
      <c r="F13" s="274"/>
    </row>
    <row r="14" spans="1:6" ht="12" customHeight="1" x14ac:dyDescent="0.2">
      <c r="A14" s="98"/>
      <c r="B14" s="289"/>
      <c r="C14" s="104"/>
      <c r="D14" s="97"/>
      <c r="E14" s="104"/>
      <c r="F14" s="275"/>
    </row>
    <row r="15" spans="1:6" ht="12" customHeight="1" x14ac:dyDescent="0.2">
      <c r="A15" s="98"/>
      <c r="B15" s="289"/>
      <c r="C15" s="104"/>
      <c r="D15" s="97"/>
      <c r="E15" s="104"/>
      <c r="F15" s="275"/>
    </row>
    <row r="16" spans="1:6" ht="12" customHeight="1" x14ac:dyDescent="0.2">
      <c r="A16" s="98"/>
      <c r="B16" s="289"/>
      <c r="C16" s="104"/>
      <c r="D16" s="97"/>
      <c r="E16" s="104"/>
      <c r="F16" s="275"/>
    </row>
    <row r="17" spans="1:6" ht="12" customHeight="1" x14ac:dyDescent="0.2">
      <c r="A17" s="98"/>
      <c r="B17" s="289"/>
      <c r="C17" s="104"/>
      <c r="D17" s="97"/>
      <c r="E17" s="104"/>
      <c r="F17" s="275"/>
    </row>
    <row r="18" spans="1:6" ht="12" customHeight="1" thickBot="1" x14ac:dyDescent="0.25">
      <c r="A18" s="98"/>
      <c r="B18" s="289"/>
      <c r="C18" s="104"/>
      <c r="D18" s="97"/>
      <c r="E18" s="104"/>
      <c r="F18" s="275"/>
    </row>
    <row r="19" spans="1:6" ht="12" customHeight="1" x14ac:dyDescent="0.2">
      <c r="A19" s="89"/>
      <c r="B19" s="101"/>
      <c r="C19" s="100"/>
      <c r="D19" s="290"/>
      <c r="E19" s="100"/>
      <c r="F19" s="272"/>
    </row>
    <row r="20" spans="1:6" ht="12" customHeight="1" x14ac:dyDescent="0.2">
      <c r="A20" s="91"/>
      <c r="B20" s="95"/>
      <c r="C20" s="99"/>
      <c r="D20" s="291"/>
      <c r="E20" s="99"/>
      <c r="F20" s="273"/>
    </row>
    <row r="21" spans="1:6" ht="12" customHeight="1" x14ac:dyDescent="0.2">
      <c r="A21" s="91"/>
      <c r="B21" s="95"/>
      <c r="C21" s="99"/>
      <c r="D21" s="291"/>
      <c r="E21" s="99"/>
      <c r="F21" s="273"/>
    </row>
    <row r="22" spans="1:6" ht="12" customHeight="1" x14ac:dyDescent="0.2">
      <c r="A22" s="91"/>
      <c r="B22" s="95"/>
      <c r="C22" s="99"/>
      <c r="D22" s="291"/>
      <c r="E22" s="99"/>
      <c r="F22" s="276"/>
    </row>
    <row r="23" spans="1:6" ht="12" customHeight="1" thickBot="1" x14ac:dyDescent="0.25">
      <c r="A23" s="93"/>
      <c r="B23" s="102"/>
      <c r="C23" s="103"/>
      <c r="D23" s="292"/>
      <c r="E23" s="103"/>
      <c r="F23" s="277"/>
    </row>
    <row r="24" spans="1:6" ht="12" customHeight="1" x14ac:dyDescent="0.2">
      <c r="A24" s="98"/>
      <c r="B24" s="96"/>
      <c r="C24" s="106"/>
      <c r="D24" s="97"/>
      <c r="E24" s="104"/>
      <c r="F24" s="275"/>
    </row>
    <row r="25" spans="1:6" ht="12" customHeight="1" x14ac:dyDescent="0.2">
      <c r="A25" s="98"/>
      <c r="B25" s="96"/>
      <c r="C25" s="104"/>
      <c r="D25" s="97"/>
      <c r="E25" s="104"/>
      <c r="F25" s="275"/>
    </row>
    <row r="26" spans="1:6" ht="12" customHeight="1" x14ac:dyDescent="0.2">
      <c r="A26" s="98"/>
      <c r="B26" s="96"/>
      <c r="C26" s="104"/>
      <c r="D26" s="97"/>
      <c r="E26" s="104"/>
      <c r="F26" s="275"/>
    </row>
    <row r="27" spans="1:6" ht="12" customHeight="1" x14ac:dyDescent="0.2">
      <c r="A27" s="98"/>
      <c r="B27" s="96"/>
      <c r="C27" s="104"/>
      <c r="D27" s="97"/>
      <c r="E27" s="104"/>
      <c r="F27" s="278"/>
    </row>
    <row r="28" spans="1:6" ht="12" customHeight="1" thickBot="1" x14ac:dyDescent="0.25">
      <c r="A28" s="98"/>
      <c r="B28" s="96"/>
      <c r="C28" s="104"/>
      <c r="D28" s="97"/>
      <c r="E28" s="104"/>
      <c r="F28" s="275"/>
    </row>
    <row r="29" spans="1:6" ht="12" customHeight="1" x14ac:dyDescent="0.2">
      <c r="A29" s="89"/>
      <c r="B29" s="87"/>
      <c r="C29" s="100"/>
      <c r="D29" s="90"/>
      <c r="E29" s="100"/>
      <c r="F29" s="272"/>
    </row>
    <row r="30" spans="1:6" ht="12" customHeight="1" x14ac:dyDescent="0.2">
      <c r="A30" s="105"/>
      <c r="B30" s="86"/>
      <c r="C30" s="99"/>
      <c r="D30" s="92"/>
      <c r="E30" s="99"/>
      <c r="F30" s="273"/>
    </row>
    <row r="31" spans="1:6" ht="12" customHeight="1" x14ac:dyDescent="0.2">
      <c r="A31" s="91"/>
      <c r="B31" s="86"/>
      <c r="C31" s="99"/>
      <c r="D31" s="92"/>
      <c r="E31" s="99"/>
      <c r="F31" s="276"/>
    </row>
    <row r="32" spans="1:6" ht="12" customHeight="1" x14ac:dyDescent="0.2">
      <c r="A32" s="91"/>
      <c r="B32" s="86"/>
      <c r="C32" s="99"/>
      <c r="D32" s="92"/>
      <c r="E32" s="99"/>
      <c r="F32" s="273"/>
    </row>
    <row r="33" spans="1:6" ht="12" customHeight="1" thickBot="1" x14ac:dyDescent="0.25">
      <c r="A33" s="93"/>
      <c r="B33" s="88"/>
      <c r="C33" s="103"/>
      <c r="D33" s="94"/>
      <c r="E33" s="103"/>
      <c r="F33" s="274"/>
    </row>
    <row r="34" spans="1:6" ht="12" customHeight="1" x14ac:dyDescent="0.2">
      <c r="A34" s="98"/>
      <c r="B34" s="96"/>
      <c r="C34" s="104"/>
      <c r="D34" s="97"/>
      <c r="E34" s="104"/>
      <c r="F34" s="278"/>
    </row>
    <row r="35" spans="1:6" ht="12" customHeight="1" x14ac:dyDescent="0.2">
      <c r="A35" s="107"/>
      <c r="B35" s="96"/>
      <c r="C35" s="104"/>
      <c r="D35" s="97"/>
      <c r="E35" s="104"/>
      <c r="F35" s="278"/>
    </row>
    <row r="36" spans="1:6" ht="12" customHeight="1" x14ac:dyDescent="0.2">
      <c r="A36" s="98"/>
      <c r="B36" s="96"/>
      <c r="C36" s="104"/>
      <c r="D36" s="97"/>
      <c r="E36" s="104"/>
      <c r="F36" s="278"/>
    </row>
    <row r="37" spans="1:6" ht="12" customHeight="1" x14ac:dyDescent="0.2">
      <c r="A37" s="98"/>
      <c r="B37" s="96"/>
      <c r="C37" s="104"/>
      <c r="D37" s="97"/>
      <c r="E37" s="104"/>
      <c r="F37" s="278"/>
    </row>
    <row r="38" spans="1:6" ht="12" customHeight="1" thickBot="1" x14ac:dyDescent="0.25">
      <c r="A38" s="98"/>
      <c r="B38" s="96"/>
      <c r="C38" s="104"/>
      <c r="D38" s="97"/>
      <c r="E38" s="104"/>
      <c r="F38" s="278"/>
    </row>
    <row r="39" spans="1:6" x14ac:dyDescent="0.2">
      <c r="A39" s="89"/>
      <c r="B39" s="87"/>
      <c r="C39" s="100"/>
      <c r="D39" s="90"/>
      <c r="E39" s="100"/>
      <c r="F39" s="272"/>
    </row>
    <row r="40" spans="1:6" x14ac:dyDescent="0.2">
      <c r="A40" s="105"/>
      <c r="B40" s="86"/>
      <c r="C40" s="99"/>
      <c r="D40" s="92"/>
      <c r="E40" s="99"/>
      <c r="F40" s="273"/>
    </row>
    <row r="41" spans="1:6" x14ac:dyDescent="0.2">
      <c r="A41" s="91"/>
      <c r="B41" s="86"/>
      <c r="C41" s="99"/>
      <c r="D41" s="92"/>
      <c r="E41" s="99"/>
      <c r="F41" s="273"/>
    </row>
    <row r="42" spans="1:6" x14ac:dyDescent="0.2">
      <c r="A42" s="91"/>
      <c r="B42" s="86"/>
      <c r="C42" s="99"/>
      <c r="D42" s="92"/>
      <c r="E42" s="99"/>
      <c r="F42" s="273"/>
    </row>
    <row r="43" spans="1:6" ht="13.5" thickBot="1" x14ac:dyDescent="0.25">
      <c r="A43" s="93"/>
      <c r="B43" s="88"/>
      <c r="C43" s="103"/>
      <c r="D43" s="94"/>
      <c r="E43" s="103"/>
      <c r="F43" s="274"/>
    </row>
    <row r="44" spans="1:6" x14ac:dyDescent="0.2">
      <c r="A44" s="98"/>
      <c r="B44" s="96"/>
      <c r="C44" s="104"/>
      <c r="D44" s="97"/>
      <c r="E44" s="104"/>
      <c r="F44" s="275"/>
    </row>
    <row r="45" spans="1:6" x14ac:dyDescent="0.2">
      <c r="A45" s="98"/>
      <c r="B45" s="96"/>
      <c r="C45" s="104"/>
      <c r="D45" s="97"/>
      <c r="E45" s="104"/>
      <c r="F45" s="275"/>
    </row>
    <row r="46" spans="1:6" x14ac:dyDescent="0.2">
      <c r="A46" s="98"/>
      <c r="B46" s="96"/>
      <c r="C46" s="104"/>
      <c r="D46" s="97"/>
      <c r="E46" s="104"/>
      <c r="F46" s="275"/>
    </row>
    <row r="47" spans="1:6" x14ac:dyDescent="0.2">
      <c r="A47" s="98"/>
      <c r="B47" s="96"/>
      <c r="C47" s="104"/>
      <c r="D47" s="97"/>
      <c r="E47" s="104"/>
      <c r="F47" s="275"/>
    </row>
    <row r="48" spans="1:6" ht="13.5" thickBot="1" x14ac:dyDescent="0.25">
      <c r="A48" s="98"/>
      <c r="B48" s="96"/>
      <c r="C48" s="104"/>
      <c r="D48" s="97"/>
      <c r="E48" s="104"/>
      <c r="F48" s="275"/>
    </row>
    <row r="49" spans="1:6" x14ac:dyDescent="0.2">
      <c r="A49" s="89"/>
      <c r="B49" s="87"/>
      <c r="C49" s="100"/>
      <c r="D49" s="90"/>
      <c r="E49" s="100"/>
      <c r="F49" s="279"/>
    </row>
    <row r="50" spans="1:6" x14ac:dyDescent="0.2">
      <c r="A50" s="91"/>
      <c r="B50" s="86"/>
      <c r="C50" s="99"/>
      <c r="D50" s="92"/>
      <c r="E50" s="99"/>
      <c r="F50" s="273"/>
    </row>
    <row r="51" spans="1:6" x14ac:dyDescent="0.2">
      <c r="A51" s="91"/>
      <c r="B51" s="86"/>
      <c r="C51" s="99"/>
      <c r="D51" s="92"/>
      <c r="E51" s="99"/>
      <c r="F51" s="273"/>
    </row>
    <row r="52" spans="1:6" x14ac:dyDescent="0.2">
      <c r="A52" s="91"/>
      <c r="B52" s="86"/>
      <c r="C52" s="99"/>
      <c r="D52" s="92"/>
      <c r="E52" s="99"/>
      <c r="F52" s="273"/>
    </row>
    <row r="53" spans="1:6" ht="12" customHeight="1" thickBot="1" x14ac:dyDescent="0.25">
      <c r="A53" s="93"/>
      <c r="B53" s="88"/>
      <c r="C53" s="103"/>
      <c r="D53" s="94"/>
      <c r="E53" s="103"/>
      <c r="F53" s="277"/>
    </row>
    <row r="54" spans="1:6" ht="3.75" customHeight="1" x14ac:dyDescent="0.2">
      <c r="A54" s="139"/>
    </row>
    <row r="55" spans="1:6" x14ac:dyDescent="0.2">
      <c r="F55" s="538"/>
    </row>
    <row r="56" spans="1:6" x14ac:dyDescent="0.2">
      <c r="F56" s="585" t="s">
        <v>200</v>
      </c>
    </row>
  </sheetData>
  <mergeCells count="8">
    <mergeCell ref="A4:F4"/>
    <mergeCell ref="A8:F8"/>
    <mergeCell ref="E1:F1"/>
    <mergeCell ref="E2:F2"/>
    <mergeCell ref="B1:D1"/>
    <mergeCell ref="A1:A3"/>
    <mergeCell ref="E3:F3"/>
    <mergeCell ref="B2:D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dimension ref="A1:FM113"/>
  <sheetViews>
    <sheetView topLeftCell="XFD1" workbookViewId="0">
      <selection sqref="A1:XFD1048576"/>
    </sheetView>
  </sheetViews>
  <sheetFormatPr baseColWidth="10" defaultColWidth="0" defaultRowHeight="12.75" x14ac:dyDescent="0.2"/>
  <cols>
    <col min="1" max="1" width="9" hidden="1" customWidth="1"/>
    <col min="2" max="2" width="5.42578125" hidden="1" customWidth="1"/>
    <col min="3" max="4" width="6.7109375" hidden="1" customWidth="1"/>
    <col min="5" max="5" width="9.5703125" hidden="1" customWidth="1"/>
    <col min="6" max="6" width="3" hidden="1" customWidth="1"/>
    <col min="7" max="7" width="5.42578125" hidden="1" customWidth="1"/>
    <col min="8" max="8" width="6.7109375" hidden="1" customWidth="1"/>
    <col min="9" max="10" width="10.28515625" hidden="1" customWidth="1"/>
    <col min="11" max="11" width="3.140625" hidden="1" customWidth="1"/>
    <col min="12" max="13" width="6.7109375" hidden="1" customWidth="1"/>
    <col min="14" max="14" width="9.5703125" hidden="1" customWidth="1"/>
    <col min="15" max="15" width="6.7109375" hidden="1" customWidth="1"/>
    <col min="16" max="16" width="3.140625" hidden="1" customWidth="1"/>
    <col min="17" max="20" width="6.7109375" hidden="1" customWidth="1"/>
    <col min="21" max="21" width="3.140625" hidden="1" customWidth="1"/>
    <col min="22" max="25" width="6.7109375" hidden="1" customWidth="1"/>
    <col min="26" max="26" width="3.140625" hidden="1" customWidth="1"/>
    <col min="27" max="30" width="6.7109375" hidden="1" customWidth="1"/>
    <col min="31" max="31" width="3.140625" hidden="1" customWidth="1"/>
    <col min="32" max="35" width="6.7109375" hidden="1" customWidth="1"/>
    <col min="36" max="36" width="3.140625" hidden="1" customWidth="1"/>
    <col min="37" max="40" width="6.7109375" hidden="1" customWidth="1"/>
    <col min="41" max="41" width="3.140625" hidden="1" customWidth="1"/>
    <col min="42" max="45" width="6.7109375" hidden="1" customWidth="1"/>
    <col min="46" max="46" width="3.140625" hidden="1" customWidth="1"/>
    <col min="47" max="50" width="6.7109375" hidden="1" customWidth="1"/>
    <col min="51" max="51" width="3.140625" hidden="1" customWidth="1"/>
    <col min="52" max="55" width="6.7109375" hidden="1" customWidth="1"/>
    <col min="56" max="56" width="3.140625" hidden="1" customWidth="1"/>
    <col min="57" max="60" width="6.7109375" hidden="1" customWidth="1"/>
    <col min="61" max="61" width="3.140625" hidden="1" customWidth="1"/>
    <col min="62" max="65" width="6.7109375" hidden="1" customWidth="1"/>
    <col min="66" max="66" width="3.140625" hidden="1" customWidth="1"/>
    <col min="67" max="70" width="6.7109375" hidden="1" customWidth="1"/>
    <col min="71" max="71" width="3.140625" hidden="1" customWidth="1"/>
    <col min="72" max="75" width="6.7109375" hidden="1" customWidth="1"/>
    <col min="76" max="76" width="3.140625" hidden="1" customWidth="1"/>
    <col min="77" max="169" width="6.7109375" hidden="1" customWidth="1"/>
    <col min="170" max="16384" width="11.42578125" hidden="1"/>
  </cols>
  <sheetData>
    <row r="1" spans="1:76" x14ac:dyDescent="0.2">
      <c r="A1" s="376" t="s">
        <v>3</v>
      </c>
      <c r="B1" s="376" t="s">
        <v>35</v>
      </c>
      <c r="C1" s="376" t="s">
        <v>181</v>
      </c>
      <c r="D1" s="376" t="s">
        <v>182</v>
      </c>
      <c r="E1" s="376" t="s">
        <v>183</v>
      </c>
      <c r="F1" s="376" t="s">
        <v>184</v>
      </c>
      <c r="G1" s="376" t="s">
        <v>35</v>
      </c>
      <c r="H1" s="376" t="s">
        <v>181</v>
      </c>
      <c r="I1" s="376" t="s">
        <v>182</v>
      </c>
      <c r="J1" s="376" t="s">
        <v>183</v>
      </c>
      <c r="K1" s="376" t="s">
        <v>184</v>
      </c>
      <c r="L1" s="376" t="s">
        <v>35</v>
      </c>
      <c r="M1" s="376" t="s">
        <v>181</v>
      </c>
      <c r="N1" s="376" t="s">
        <v>182</v>
      </c>
      <c r="O1" s="376" t="s">
        <v>183</v>
      </c>
      <c r="P1" s="376" t="s">
        <v>184</v>
      </c>
      <c r="Q1" s="376" t="s">
        <v>35</v>
      </c>
      <c r="R1" s="376" t="s">
        <v>181</v>
      </c>
      <c r="S1" s="376" t="s">
        <v>182</v>
      </c>
      <c r="T1" s="376" t="s">
        <v>183</v>
      </c>
      <c r="U1" s="376" t="s">
        <v>184</v>
      </c>
      <c r="V1" s="376" t="s">
        <v>35</v>
      </c>
      <c r="W1" s="376" t="s">
        <v>181</v>
      </c>
      <c r="X1" s="376" t="s">
        <v>182</v>
      </c>
      <c r="Y1" s="376" t="s">
        <v>183</v>
      </c>
      <c r="Z1" s="376" t="s">
        <v>184</v>
      </c>
      <c r="AA1" s="376" t="s">
        <v>35</v>
      </c>
      <c r="AB1" s="376" t="s">
        <v>181</v>
      </c>
      <c r="AC1" s="376" t="s">
        <v>182</v>
      </c>
      <c r="AD1" s="376" t="s">
        <v>183</v>
      </c>
      <c r="AE1" s="376" t="s">
        <v>184</v>
      </c>
      <c r="AF1" s="376" t="s">
        <v>35</v>
      </c>
      <c r="AG1" s="376" t="s">
        <v>181</v>
      </c>
      <c r="AH1" s="376" t="s">
        <v>182</v>
      </c>
      <c r="AI1" s="376" t="s">
        <v>183</v>
      </c>
      <c r="AJ1" s="376" t="s">
        <v>184</v>
      </c>
      <c r="AK1" s="376" t="s">
        <v>35</v>
      </c>
      <c r="AL1" s="376" t="s">
        <v>181</v>
      </c>
      <c r="AM1" s="376" t="s">
        <v>182</v>
      </c>
      <c r="AN1" s="376" t="s">
        <v>183</v>
      </c>
      <c r="AO1" s="376" t="s">
        <v>184</v>
      </c>
      <c r="AP1" s="376" t="s">
        <v>35</v>
      </c>
      <c r="AQ1" s="376" t="s">
        <v>181</v>
      </c>
      <c r="AR1" s="376" t="s">
        <v>182</v>
      </c>
      <c r="AS1" s="376" t="s">
        <v>183</v>
      </c>
      <c r="AT1" s="376" t="s">
        <v>184</v>
      </c>
      <c r="AU1" s="376" t="s">
        <v>35</v>
      </c>
      <c r="AV1" s="376" t="s">
        <v>181</v>
      </c>
      <c r="AW1" s="376" t="s">
        <v>182</v>
      </c>
      <c r="AX1" s="376" t="s">
        <v>183</v>
      </c>
      <c r="AY1" s="376" t="s">
        <v>184</v>
      </c>
      <c r="AZ1" s="376" t="s">
        <v>35</v>
      </c>
      <c r="BA1" s="376" t="s">
        <v>181</v>
      </c>
      <c r="BB1" s="376" t="s">
        <v>182</v>
      </c>
      <c r="BC1" s="376" t="s">
        <v>183</v>
      </c>
      <c r="BD1" s="376" t="s">
        <v>184</v>
      </c>
      <c r="BE1" s="376" t="s">
        <v>35</v>
      </c>
      <c r="BF1" s="376" t="s">
        <v>181</v>
      </c>
      <c r="BG1" s="376" t="s">
        <v>182</v>
      </c>
      <c r="BH1" s="376" t="s">
        <v>183</v>
      </c>
      <c r="BI1" s="376" t="s">
        <v>184</v>
      </c>
      <c r="BJ1" s="376" t="s">
        <v>35</v>
      </c>
      <c r="BK1" s="376" t="s">
        <v>181</v>
      </c>
      <c r="BL1" s="376" t="s">
        <v>182</v>
      </c>
      <c r="BM1" s="376" t="s">
        <v>183</v>
      </c>
      <c r="BN1" s="376" t="s">
        <v>184</v>
      </c>
      <c r="BO1" s="376" t="s">
        <v>35</v>
      </c>
      <c r="BP1" s="376" t="s">
        <v>181</v>
      </c>
      <c r="BQ1" s="376" t="s">
        <v>182</v>
      </c>
      <c r="BR1" s="376" t="s">
        <v>183</v>
      </c>
      <c r="BS1" s="376" t="s">
        <v>184</v>
      </c>
      <c r="BT1" s="376" t="s">
        <v>35</v>
      </c>
      <c r="BU1" s="376" t="s">
        <v>181</v>
      </c>
      <c r="BV1" s="376" t="s">
        <v>182</v>
      </c>
      <c r="BW1" s="376" t="s">
        <v>183</v>
      </c>
      <c r="BX1" s="376" t="s">
        <v>184</v>
      </c>
    </row>
    <row r="2" spans="1:76" x14ac:dyDescent="0.2">
      <c r="A2" s="377">
        <f>'CARGA DOCENTE'!J10</f>
        <v>0</v>
      </c>
      <c r="B2" s="375">
        <f>'CARGA DOCENTE'!$H10</f>
        <v>0</v>
      </c>
      <c r="C2" s="373" t="str">
        <f>IF(OR(B2="TC",B2="MT"),'CARGA DOCENTE'!$A10," ")</f>
        <v xml:space="preserve"> </v>
      </c>
      <c r="D2" s="374" t="str">
        <f>IF(OR(B2="TC",B2="MT"),'CARGA DOCENTE'!$B10," ")</f>
        <v xml:space="preserve"> </v>
      </c>
      <c r="E2" s="374" t="str">
        <f>IF(OR(B2="TC",B2="MT"),'CARGA DOCENTE'!$C10," ")</f>
        <v xml:space="preserve"> </v>
      </c>
      <c r="F2" s="374" t="str">
        <f>IF(OR(B2="TC",B2="MT"),'CARGA DOCENTE'!$G10," ")</f>
        <v xml:space="preserve"> </v>
      </c>
      <c r="G2" s="375">
        <f>'CARGA DOCENTE'!$H11</f>
        <v>0</v>
      </c>
      <c r="H2" s="373" t="str">
        <f>IF(OR(G2="TC",G2="MT"),'CARGA DOCENTE'!$A11," ")</f>
        <v xml:space="preserve"> </v>
      </c>
      <c r="I2" s="374" t="str">
        <f>IF(OR(G2="TC",G2="MT"),'CARGA DOCENTE'!$B11," ")</f>
        <v xml:space="preserve"> </v>
      </c>
      <c r="J2" s="374" t="str">
        <f>IF(OR(G2="TC",G2="MT"),'CARGA DOCENTE'!$C11," ")</f>
        <v xml:space="preserve"> </v>
      </c>
      <c r="K2" s="374" t="str">
        <f>IF(OR(G2="TC",G2="MT"),'CARGA DOCENTE'!$G11," ")</f>
        <v xml:space="preserve"> </v>
      </c>
      <c r="L2" s="375">
        <f>'CARGA DOCENTE'!$H12</f>
        <v>0</v>
      </c>
      <c r="M2" s="373" t="str">
        <f>IF(OR(L2="TC",L2="MT"),'CARGA DOCENTE'!$A12," ")</f>
        <v xml:space="preserve"> </v>
      </c>
      <c r="N2" s="374" t="str">
        <f>IF(OR(L2="TC",L2="MT"),'CARGA DOCENTE'!$B12," ")</f>
        <v xml:space="preserve"> </v>
      </c>
      <c r="O2" s="374" t="str">
        <f>IF(OR(L2="TC",L2="MT"),'CARGA DOCENTE'!$C12," ")</f>
        <v xml:space="preserve"> </v>
      </c>
      <c r="P2" s="374" t="str">
        <f>IF(OR(L2="TC",L2="MT"),'CARGA DOCENTE'!$G12," ")</f>
        <v xml:space="preserve"> </v>
      </c>
      <c r="Q2" s="375">
        <f>'CARGA DOCENTE'!$H13</f>
        <v>0</v>
      </c>
      <c r="R2" s="373" t="str">
        <f>IF(OR(Q2="TC",Q2="MT"),'CARGA DOCENTE'!$A13," ")</f>
        <v xml:space="preserve"> </v>
      </c>
      <c r="S2" s="374" t="str">
        <f>IF(OR(Q2="TC",Q2="MT"),'CARGA DOCENTE'!$B13," ")</f>
        <v xml:space="preserve"> </v>
      </c>
      <c r="T2" s="374" t="str">
        <f>IF(OR(Q2="TC",Q2="MT"),'CARGA DOCENTE'!$C13," ")</f>
        <v xml:space="preserve"> </v>
      </c>
      <c r="U2" s="374" t="str">
        <f>IF(OR(Q2="TC",Q2="MT"),'CARGA DOCENTE'!$G13," ")</f>
        <v xml:space="preserve"> </v>
      </c>
      <c r="V2" s="375">
        <f>'CARGA DOCENTE'!$H14</f>
        <v>0</v>
      </c>
      <c r="W2" s="373" t="str">
        <f>IF(OR(V2="TC",V2="MT"),'CARGA DOCENTE'!$A14," ")</f>
        <v xml:space="preserve"> </v>
      </c>
      <c r="X2" s="374" t="str">
        <f>IF(OR(V2="TC",V2="MT"),'CARGA DOCENTE'!$B14," ")</f>
        <v xml:space="preserve"> </v>
      </c>
      <c r="Y2" s="374" t="str">
        <f>IF(OR(V2="TC",V2="MT"),'CARGA DOCENTE'!$C14," ")</f>
        <v xml:space="preserve"> </v>
      </c>
      <c r="Z2" s="374" t="str">
        <f>IF(OR(V2="TC",V2="MT"),'CARGA DOCENTE'!$G14," ")</f>
        <v xml:space="preserve"> </v>
      </c>
      <c r="AA2" s="375">
        <f>'CARGA DOCENTE'!$H15</f>
        <v>0</v>
      </c>
      <c r="AB2" s="373" t="str">
        <f>IF(OR(AA2="TC",AA2="MT"),'CARGA DOCENTE'!$A15," ")</f>
        <v xml:space="preserve"> </v>
      </c>
      <c r="AC2" s="374" t="str">
        <f>IF(OR(AA2="TC",AA2="MT"),'CARGA DOCENTE'!$B15," ")</f>
        <v xml:space="preserve"> </v>
      </c>
      <c r="AD2" s="374" t="str">
        <f>IF(OR(AA2="TC",AA2="MT"),'CARGA DOCENTE'!$C15," ")</f>
        <v xml:space="preserve"> </v>
      </c>
      <c r="AE2" s="374" t="str">
        <f>IF(OR(AA2="TC",AA2="MT"),'CARGA DOCENTE'!$G15," ")</f>
        <v xml:space="preserve"> </v>
      </c>
      <c r="AF2" s="375">
        <f>'CARGA DOCENTE'!$H16</f>
        <v>0</v>
      </c>
      <c r="AG2" s="373" t="str">
        <f>IF(OR(AF2="TC",AF2="MT"),'CARGA DOCENTE'!$A16," ")</f>
        <v xml:space="preserve"> </v>
      </c>
      <c r="AH2" s="374" t="str">
        <f>IF(OR(AF2="TC",AF2="MT"),'CARGA DOCENTE'!$B16," ")</f>
        <v xml:space="preserve"> </v>
      </c>
      <c r="AI2" s="374" t="str">
        <f>IF(OR(AF2="TC",AF2="MT"),'CARGA DOCENTE'!$C16," ")</f>
        <v xml:space="preserve"> </v>
      </c>
      <c r="AJ2" s="374" t="str">
        <f>IF(OR(AF2="TC",AF2="MT"),'CARGA DOCENTE'!$G16," ")</f>
        <v xml:space="preserve"> </v>
      </c>
      <c r="AK2" s="375">
        <f>'CARGA DOCENTE'!$H17</f>
        <v>0</v>
      </c>
      <c r="AL2" s="373" t="str">
        <f>IF(OR(AK2="TC",AK2="MT"),'CARGA DOCENTE'!$A17," ")</f>
        <v xml:space="preserve"> </v>
      </c>
      <c r="AM2" s="374" t="str">
        <f>IF(OR(AK2="TC",AK2="MT"),'CARGA DOCENTE'!$B17," ")</f>
        <v xml:space="preserve"> </v>
      </c>
      <c r="AN2" s="374" t="str">
        <f>IF(OR(AK2="TC",AK2="MT"),'CARGA DOCENTE'!$C17," ")</f>
        <v xml:space="preserve"> </v>
      </c>
      <c r="AO2" s="374" t="str">
        <f>IF(OR(AK2="TC",AK2="MT"),'CARGA DOCENTE'!$G17," ")</f>
        <v xml:space="preserve"> </v>
      </c>
      <c r="AP2" s="375">
        <f>'CARGA DOCENTE'!$H18</f>
        <v>0</v>
      </c>
      <c r="AQ2" s="373" t="str">
        <f>IF(OR(AP2="TC",AP2="MT"),'CARGA DOCENTE'!$A18," ")</f>
        <v xml:space="preserve"> </v>
      </c>
      <c r="AR2" s="374" t="str">
        <f>IF(OR(AP2="TC",AP2="MT"),'CARGA DOCENTE'!$B18," ")</f>
        <v xml:space="preserve"> </v>
      </c>
      <c r="AS2" s="374" t="str">
        <f>IF(OR(AP2="TC",AP2="MT"),'CARGA DOCENTE'!$C18," ")</f>
        <v xml:space="preserve"> </v>
      </c>
      <c r="AT2" s="374" t="str">
        <f>IF(OR(AP2="TC",AP2="MT"),'CARGA DOCENTE'!$G18," ")</f>
        <v xml:space="preserve"> </v>
      </c>
      <c r="AU2" s="375">
        <f>'CARGA DOCENTE'!$H19</f>
        <v>0</v>
      </c>
      <c r="AV2" s="373" t="str">
        <f>IF(OR(AU2="TC",AU2="MT"),'CARGA DOCENTE'!$A19," ")</f>
        <v xml:space="preserve"> </v>
      </c>
      <c r="AW2" s="374" t="str">
        <f>IF(OR(AU2="TC",AU2="MT"),'CARGA DOCENTE'!$B19," ")</f>
        <v xml:space="preserve"> </v>
      </c>
      <c r="AX2" s="374" t="str">
        <f>IF(OR(AU2="TC",AU2="MT"),'CARGA DOCENTE'!$C19," ")</f>
        <v xml:space="preserve"> </v>
      </c>
      <c r="AY2" s="374" t="str">
        <f>IF(OR(AU2="TC",AU2="MT"),'CARGA DOCENTE'!$G19," ")</f>
        <v xml:space="preserve"> </v>
      </c>
      <c r="AZ2" s="375">
        <f>'CARGA DOCENTE'!$H20</f>
        <v>0</v>
      </c>
      <c r="BA2" s="373" t="str">
        <f>IF(OR(AZ2="TC",AZ2="MT"),'CARGA DOCENTE'!$A20," ")</f>
        <v xml:space="preserve"> </v>
      </c>
      <c r="BB2" s="374" t="str">
        <f>IF(OR(AZ2="TC",AZ2="MT"),'CARGA DOCENTE'!$B20," ")</f>
        <v xml:space="preserve"> </v>
      </c>
      <c r="BC2" s="374" t="str">
        <f>IF(OR(AZ2="TC",AZ2="MT"),'CARGA DOCENTE'!$C20," ")</f>
        <v xml:space="preserve"> </v>
      </c>
      <c r="BD2" s="374" t="str">
        <f>IF(OR(AZ2="TC",AZ2="MT"),'CARGA DOCENTE'!$G20," ")</f>
        <v xml:space="preserve"> </v>
      </c>
      <c r="BE2" s="375">
        <f>'CARGA DOCENTE'!$H21</f>
        <v>0</v>
      </c>
      <c r="BF2" s="373" t="str">
        <f>IF(OR(BE2="TC",BE2="MT"),'CARGA DOCENTE'!$A21," ")</f>
        <v xml:space="preserve"> </v>
      </c>
      <c r="BG2" s="374" t="str">
        <f>IF(OR(BE2="TC",BE2="MT"),'CARGA DOCENTE'!$B21," ")</f>
        <v xml:space="preserve"> </v>
      </c>
      <c r="BH2" s="374" t="str">
        <f>IF(OR(BE2="TC",BE2="MT"),'CARGA DOCENTE'!$C21," ")</f>
        <v xml:space="preserve"> </v>
      </c>
      <c r="BI2" s="374" t="str">
        <f>IF(OR(BE2="TC",BE2="MT"),'CARGA DOCENTE'!$G21," ")</f>
        <v xml:space="preserve"> </v>
      </c>
      <c r="BJ2" s="375">
        <f>'CARGA DOCENTE'!$H22</f>
        <v>0</v>
      </c>
      <c r="BK2" s="373" t="str">
        <f>IF(OR(BJ2="TC",BJ2="MT"),'CARGA DOCENTE'!$A22," ")</f>
        <v xml:space="preserve"> </v>
      </c>
      <c r="BL2" s="374" t="str">
        <f>IF(OR(BJ2="TC",BJ2="MT"),'CARGA DOCENTE'!$B22," ")</f>
        <v xml:space="preserve"> </v>
      </c>
      <c r="BM2" s="374" t="str">
        <f>IF(OR(BJ2="TC",BJ2="MT"),'CARGA DOCENTE'!$C22," ")</f>
        <v xml:space="preserve"> </v>
      </c>
      <c r="BN2" s="374" t="str">
        <f>IF(OR(BJ2="TC",BJ2="MT"),'CARGA DOCENTE'!$G22," ")</f>
        <v xml:space="preserve"> </v>
      </c>
      <c r="BO2" s="375">
        <f>'CARGA DOCENTE'!$H23</f>
        <v>0</v>
      </c>
      <c r="BP2" s="373" t="str">
        <f>IF(OR(BO2="TC",BO2="MT"),'CARGA DOCENTE'!$A23," ")</f>
        <v xml:space="preserve"> </v>
      </c>
      <c r="BQ2" s="374" t="str">
        <f>IF(OR(BO2="TC",BO2="MT"),'CARGA DOCENTE'!$B23," ")</f>
        <v xml:space="preserve"> </v>
      </c>
      <c r="BR2" s="374" t="str">
        <f>IF(OR(BO2="TC",BO2="MT"),'CARGA DOCENTE'!$C23," ")</f>
        <v xml:space="preserve"> </v>
      </c>
      <c r="BS2" s="374" t="str">
        <f>IF(OR(BO2="TC",BO2="MT"),'CARGA DOCENTE'!$G23," ")</f>
        <v xml:space="preserve"> </v>
      </c>
      <c r="BT2" s="375">
        <f>'CARGA DOCENTE'!$H24</f>
        <v>0</v>
      </c>
      <c r="BU2" s="373" t="str">
        <f>IF(OR(BT2="TC",BT2="MT"),'CARGA DOCENTE'!$A24," ")</f>
        <v xml:space="preserve"> </v>
      </c>
      <c r="BV2" s="374" t="str">
        <f>IF(OR(BT2="TC",BT2="MT"),'CARGA DOCENTE'!$B24," ")</f>
        <v xml:space="preserve"> </v>
      </c>
      <c r="BW2" s="374" t="str">
        <f>IF(OR(BT2="TC",BT2="MT"),'CARGA DOCENTE'!$C24," ")</f>
        <v xml:space="preserve"> </v>
      </c>
      <c r="BX2" s="374" t="str">
        <f>IF(OR(BT2="TC",BT2="MT"),'CARGA DOCENTE'!$G24," ")</f>
        <v xml:space="preserve"> </v>
      </c>
    </row>
    <row r="3" spans="1:76" x14ac:dyDescent="0.2">
      <c r="A3" s="377">
        <f>'CARGA DOCENTE'!J28</f>
        <v>0</v>
      </c>
      <c r="B3" s="372">
        <f>'CARGA DOCENTE'!$H28</f>
        <v>0</v>
      </c>
      <c r="C3" s="373" t="str">
        <f>IF(OR(B3="TC",B3="MT"),'CARGA DOCENTE'!$A28," ")</f>
        <v xml:space="preserve"> </v>
      </c>
      <c r="D3" s="374" t="str">
        <f>IF(OR(B3="TC",B3="MT"),'CARGA DOCENTE'!$B28," ")</f>
        <v xml:space="preserve"> </v>
      </c>
      <c r="E3" s="374" t="str">
        <f>IF(OR(B3="TC",B3="MT"),'CARGA DOCENTE'!$C28," ")</f>
        <v xml:space="preserve"> </v>
      </c>
      <c r="F3" s="374" t="str">
        <f>IF(OR(B3="TC",B3="MT"),'CARGA DOCENTE'!$G28," ")</f>
        <v xml:space="preserve"> </v>
      </c>
      <c r="G3" s="372">
        <f>'CARGA DOCENTE'!$H29</f>
        <v>0</v>
      </c>
      <c r="H3" s="373" t="str">
        <f>IF(OR(G3="TC",G3="MT"),'CARGA DOCENTE'!$A29," ")</f>
        <v xml:space="preserve"> </v>
      </c>
      <c r="I3" s="374" t="str">
        <f>IF(OR(G3="TC",G3="MT"),'CARGA DOCENTE'!$B29," ")</f>
        <v xml:space="preserve"> </v>
      </c>
      <c r="J3" s="374" t="str">
        <f>IF(OR(G3="TC",G3="MT"),'CARGA DOCENTE'!$C29," ")</f>
        <v xml:space="preserve"> </v>
      </c>
      <c r="K3" s="374" t="str">
        <f>IF(OR(G3="TC",G3="MT"),'CARGA DOCENTE'!$G29," ")</f>
        <v xml:space="preserve"> </v>
      </c>
      <c r="L3" s="372">
        <f>'CARGA DOCENTE'!$H30</f>
        <v>0</v>
      </c>
      <c r="M3" s="373" t="str">
        <f>IF(OR(L3="TC",L3="MT"),'CARGA DOCENTE'!$A30," ")</f>
        <v xml:space="preserve"> </v>
      </c>
      <c r="N3" s="374" t="str">
        <f>IF(OR(L3="TC",L3="MT"),'CARGA DOCENTE'!$B30," ")</f>
        <v xml:space="preserve"> </v>
      </c>
      <c r="O3" s="374" t="str">
        <f>IF(OR(L3="TC",L3="MT"),'CARGA DOCENTE'!$C30," ")</f>
        <v xml:space="preserve"> </v>
      </c>
      <c r="P3" s="374" t="str">
        <f>IF(OR(L3="TC",L3="MT"),'CARGA DOCENTE'!$G30," ")</f>
        <v xml:space="preserve"> </v>
      </c>
      <c r="Q3" s="372">
        <f>'CARGA DOCENTE'!$H31</f>
        <v>0</v>
      </c>
      <c r="R3" s="373" t="str">
        <f>IF(OR(Q3="TC",Q3="MT"),'CARGA DOCENTE'!$A31," ")</f>
        <v xml:space="preserve"> </v>
      </c>
      <c r="S3" s="374" t="str">
        <f>IF(OR(Q3="TC",Q3="MT"),'CARGA DOCENTE'!$B31," ")</f>
        <v xml:space="preserve"> </v>
      </c>
      <c r="T3" s="374" t="str">
        <f>IF(OR(Q3="TC",Q3="MT"),'CARGA DOCENTE'!$C31," ")</f>
        <v xml:space="preserve"> </v>
      </c>
      <c r="U3" s="374" t="str">
        <f>IF(OR(Q3="TC",Q3="MT"),'CARGA DOCENTE'!$G31," ")</f>
        <v xml:space="preserve"> </v>
      </c>
      <c r="V3" s="372">
        <f>'CARGA DOCENTE'!$H32</f>
        <v>0</v>
      </c>
      <c r="W3" s="373" t="str">
        <f>IF(OR(V3="TC",V3="MT"),'CARGA DOCENTE'!$A32," ")</f>
        <v xml:space="preserve"> </v>
      </c>
      <c r="X3" s="374" t="str">
        <f>IF(OR(V3="TC",V3="MT"),'CARGA DOCENTE'!$B32," ")</f>
        <v xml:space="preserve"> </v>
      </c>
      <c r="Y3" s="374" t="str">
        <f>IF(OR(V3="TC",V3="MT"),'CARGA DOCENTE'!$C32," ")</f>
        <v xml:space="preserve"> </v>
      </c>
      <c r="Z3" s="374" t="str">
        <f>IF(OR(V3="TC",V3="MT"),'CARGA DOCENTE'!$G32," ")</f>
        <v xml:space="preserve"> </v>
      </c>
      <c r="AA3" s="372">
        <f>'CARGA DOCENTE'!$H33</f>
        <v>0</v>
      </c>
      <c r="AB3" s="373" t="str">
        <f>IF(OR(AA3="TC",AA3="MT"),'CARGA DOCENTE'!$A33," ")</f>
        <v xml:space="preserve"> </v>
      </c>
      <c r="AC3" s="374" t="str">
        <f>IF(OR(AA3="TC",AA3="MT"),'CARGA DOCENTE'!$B33," ")</f>
        <v xml:space="preserve"> </v>
      </c>
      <c r="AD3" s="374" t="str">
        <f>IF(OR(AA3="TC",AA3="MT"),'CARGA DOCENTE'!$C33," ")</f>
        <v xml:space="preserve"> </v>
      </c>
      <c r="AE3" s="374" t="str">
        <f>IF(OR(AA3="TC",AA3="MT"),'CARGA DOCENTE'!$G33," ")</f>
        <v xml:space="preserve"> </v>
      </c>
      <c r="AF3" s="372">
        <f>'CARGA DOCENTE'!$H34</f>
        <v>0</v>
      </c>
      <c r="AG3" s="373" t="str">
        <f>IF(OR(AF3="TC",AF3="MT"),'CARGA DOCENTE'!$A34," ")</f>
        <v xml:space="preserve"> </v>
      </c>
      <c r="AH3" s="374" t="str">
        <f>IF(OR(AF3="TC",AF3="MT"),'CARGA DOCENTE'!$B34," ")</f>
        <v xml:space="preserve"> </v>
      </c>
      <c r="AI3" s="374" t="str">
        <f>IF(OR(AF3="TC",AF3="MT"),'CARGA DOCENTE'!$C34," ")</f>
        <v xml:space="preserve"> </v>
      </c>
      <c r="AJ3" s="374" t="str">
        <f>IF(OR(AF3="TC",AF3="MT"),'CARGA DOCENTE'!$G34," ")</f>
        <v xml:space="preserve"> </v>
      </c>
      <c r="AK3" s="372">
        <f>'CARGA DOCENTE'!$H35</f>
        <v>0</v>
      </c>
      <c r="AL3" s="373" t="str">
        <f>IF(OR(AK3="TC",AK3="MT"),'CARGA DOCENTE'!$A35," ")</f>
        <v xml:space="preserve"> </v>
      </c>
      <c r="AM3" s="374" t="str">
        <f>IF(OR(AK3="TC",AK3="MT"),'CARGA DOCENTE'!$B35," ")</f>
        <v xml:space="preserve"> </v>
      </c>
      <c r="AN3" s="374" t="str">
        <f>IF(OR(AK3="TC",AK3="MT"),'CARGA DOCENTE'!$C35," ")</f>
        <v xml:space="preserve"> </v>
      </c>
      <c r="AO3" s="374" t="str">
        <f>IF(OR(AK3="TC",AK3="MT"),'CARGA DOCENTE'!$G35," ")</f>
        <v xml:space="preserve"> </v>
      </c>
      <c r="AP3" s="372">
        <f>'CARGA DOCENTE'!$H36</f>
        <v>0</v>
      </c>
      <c r="AQ3" s="373" t="str">
        <f>IF(OR(AP3="TC",AP3="MT"),'CARGA DOCENTE'!$A36," ")</f>
        <v xml:space="preserve"> </v>
      </c>
      <c r="AR3" s="374" t="str">
        <f>IF(OR(AP3="TC",AP3="MT"),'CARGA DOCENTE'!$B36," ")</f>
        <v xml:space="preserve"> </v>
      </c>
      <c r="AS3" s="374" t="str">
        <f>IF(OR(AP3="TC",AP3="MT"),'CARGA DOCENTE'!$C36," ")</f>
        <v xml:space="preserve"> </v>
      </c>
      <c r="AT3" s="374" t="str">
        <f>IF(OR(AP3="TC",AP3="MT"),'CARGA DOCENTE'!$G36," ")</f>
        <v xml:space="preserve"> </v>
      </c>
      <c r="AU3" s="372">
        <f>'CARGA DOCENTE'!$H37</f>
        <v>0</v>
      </c>
      <c r="AV3" s="373" t="str">
        <f>IF(OR(AU3="TC",AU3="MT"),'CARGA DOCENTE'!$A37," ")</f>
        <v xml:space="preserve"> </v>
      </c>
      <c r="AW3" s="374" t="str">
        <f>IF(OR(AU3="TC",AU3="MT"),'CARGA DOCENTE'!$B37," ")</f>
        <v xml:space="preserve"> </v>
      </c>
      <c r="AX3" s="374" t="str">
        <f>IF(OR(AU3="TC",AU3="MT"),'CARGA DOCENTE'!$C37," ")</f>
        <v xml:space="preserve"> </v>
      </c>
      <c r="AY3" s="374" t="str">
        <f>IF(OR(AU3="TC",AU3="MT"),'CARGA DOCENTE'!$G37," ")</f>
        <v xml:space="preserve"> </v>
      </c>
      <c r="AZ3" s="372">
        <f>'CARGA DOCENTE'!$H38</f>
        <v>0</v>
      </c>
      <c r="BA3" s="373" t="str">
        <f>IF(OR(AZ3="TC",AZ3="MT"),'CARGA DOCENTE'!$A38," ")</f>
        <v xml:space="preserve"> </v>
      </c>
      <c r="BB3" s="374" t="str">
        <f>IF(OR(AZ3="TC",AZ3="MT"),'CARGA DOCENTE'!$B38," ")</f>
        <v xml:space="preserve"> </v>
      </c>
      <c r="BC3" s="374" t="str">
        <f>IF(OR(AZ3="TC",AZ3="MT"),'CARGA DOCENTE'!$C38," ")</f>
        <v xml:space="preserve"> </v>
      </c>
      <c r="BD3" s="374" t="str">
        <f>IF(OR(AZ3="TC",AZ3="MT"),'CARGA DOCENTE'!$G38," ")</f>
        <v xml:space="preserve"> </v>
      </c>
      <c r="BE3" s="372">
        <f>'CARGA DOCENTE'!$H39</f>
        <v>0</v>
      </c>
      <c r="BF3" s="373" t="str">
        <f>IF(OR(BE3="TC",BE3="MT"),'CARGA DOCENTE'!$A39," ")</f>
        <v xml:space="preserve"> </v>
      </c>
      <c r="BG3" s="374" t="str">
        <f>IF(OR(BE3="TC",BE3="MT"),'CARGA DOCENTE'!$B39," ")</f>
        <v xml:space="preserve"> </v>
      </c>
      <c r="BH3" s="374" t="str">
        <f>IF(OR(BE3="TC",BE3="MT"),'CARGA DOCENTE'!$C39," ")</f>
        <v xml:space="preserve"> </v>
      </c>
      <c r="BI3" s="374" t="str">
        <f>IF(OR(BE3="TC",BE3="MT"),'CARGA DOCENTE'!$G39," ")</f>
        <v xml:space="preserve"> </v>
      </c>
      <c r="BJ3" s="372">
        <f>'CARGA DOCENTE'!$H40</f>
        <v>0</v>
      </c>
      <c r="BK3" s="373" t="str">
        <f>IF(OR(BJ3="TC",BJ3="MT"),'CARGA DOCENTE'!$A40," ")</f>
        <v xml:space="preserve"> </v>
      </c>
      <c r="BL3" s="374" t="str">
        <f>IF(OR(BJ3="TC",BJ3="MT"),'CARGA DOCENTE'!$B40," ")</f>
        <v xml:space="preserve"> </v>
      </c>
      <c r="BM3" s="374" t="str">
        <f>IF(OR(BJ3="TC",BJ3="MT"),'CARGA DOCENTE'!$C40," ")</f>
        <v xml:space="preserve"> </v>
      </c>
      <c r="BN3" s="374" t="str">
        <f>IF(OR(BJ3="TC",BJ3="MT"),'CARGA DOCENTE'!$G40," ")</f>
        <v xml:space="preserve"> </v>
      </c>
      <c r="BO3" s="372">
        <f>'CARGA DOCENTE'!$H41</f>
        <v>0</v>
      </c>
      <c r="BP3" s="373" t="str">
        <f>IF(OR(BO3="TC",BO3="MT"),'CARGA DOCENTE'!$A41," ")</f>
        <v xml:space="preserve"> </v>
      </c>
      <c r="BQ3" s="374" t="str">
        <f>IF(OR(BO3="TC",BO3="MT"),'CARGA DOCENTE'!$B41," ")</f>
        <v xml:space="preserve"> </v>
      </c>
      <c r="BR3" s="374" t="str">
        <f>IF(OR(BO3="TC",BO3="MT"),'CARGA DOCENTE'!$C41," ")</f>
        <v xml:space="preserve"> </v>
      </c>
      <c r="BS3" s="374" t="str">
        <f>IF(OR(BO3="TC",BO3="MT"),'CARGA DOCENTE'!$G41," ")</f>
        <v xml:space="preserve"> </v>
      </c>
      <c r="BT3" s="372">
        <f>'CARGA DOCENTE'!$H42</f>
        <v>0</v>
      </c>
      <c r="BU3" s="373" t="str">
        <f>IF(OR(BT3="TC",BT3="MT"),'CARGA DOCENTE'!$A42," ")</f>
        <v xml:space="preserve"> </v>
      </c>
      <c r="BV3" s="374" t="str">
        <f>IF(OR(BT3="TC",BT3="MT"),'CARGA DOCENTE'!$B42," ")</f>
        <v xml:space="preserve"> </v>
      </c>
      <c r="BW3" s="374" t="str">
        <f>IF(OR(BT3="TC",BT3="MT"),'CARGA DOCENTE'!$C42," ")</f>
        <v xml:space="preserve"> </v>
      </c>
      <c r="BX3" s="374" t="str">
        <f>IF(OR(BT3="TC",BT3="MT"),'CARGA DOCENTE'!$G42," ")</f>
        <v xml:space="preserve"> </v>
      </c>
    </row>
    <row r="4" spans="1:76" x14ac:dyDescent="0.2">
      <c r="A4" s="377">
        <f>'CARGA DOCENTE'!J46</f>
        <v>0</v>
      </c>
      <c r="B4" s="372">
        <f>'CARGA DOCENTE'!$H46</f>
        <v>0</v>
      </c>
      <c r="C4" s="373" t="str">
        <f>IF(OR(B4="TC",B4="MT"),'CARGA DOCENTE'!$A46," ")</f>
        <v xml:space="preserve"> </v>
      </c>
      <c r="D4" s="374" t="str">
        <f>IF(OR(B4="TC",B4="MT"),'CARGA DOCENTE'!$B46," ")</f>
        <v xml:space="preserve"> </v>
      </c>
      <c r="E4" s="374" t="str">
        <f>IF(OR(B4="TC",B4="MT"),'CARGA DOCENTE'!$C46," ")</f>
        <v xml:space="preserve"> </v>
      </c>
      <c r="F4" s="374" t="str">
        <f>IF(OR(B4="TC",B4="MT"),'CARGA DOCENTE'!$G46," ")</f>
        <v xml:space="preserve"> </v>
      </c>
      <c r="G4" s="372">
        <f>'CARGA DOCENTE'!$H47</f>
        <v>0</v>
      </c>
      <c r="H4" s="373" t="str">
        <f>IF(OR(G4="TC",G4="MT"),'CARGA DOCENTE'!$A47," ")</f>
        <v xml:space="preserve"> </v>
      </c>
      <c r="I4" s="374" t="str">
        <f>IF(OR(G4="TC",G4="MT"),'CARGA DOCENTE'!$B47," ")</f>
        <v xml:space="preserve"> </v>
      </c>
      <c r="J4" s="374" t="str">
        <f>IF(OR(G4="TC",G4="MT"),'CARGA DOCENTE'!$C47," ")</f>
        <v xml:space="preserve"> </v>
      </c>
      <c r="K4" s="374" t="str">
        <f>IF(OR(G4="TC",G4="MT"),'CARGA DOCENTE'!$G47," ")</f>
        <v xml:space="preserve"> </v>
      </c>
      <c r="L4" s="372">
        <f>'CARGA DOCENTE'!$H48</f>
        <v>0</v>
      </c>
      <c r="M4" s="373" t="str">
        <f>IF(OR(L4="TC",L4="MT"),'CARGA DOCENTE'!$A48," ")</f>
        <v xml:space="preserve"> </v>
      </c>
      <c r="N4" s="374" t="str">
        <f>IF(OR(L4="TC",L4="MT"),'CARGA DOCENTE'!$B48," ")</f>
        <v xml:space="preserve"> </v>
      </c>
      <c r="O4" s="374" t="str">
        <f>IF(OR(L4="TC",L4="MT"),'CARGA DOCENTE'!$C48," ")</f>
        <v xml:space="preserve"> </v>
      </c>
      <c r="P4" s="374" t="str">
        <f>IF(OR(L4="TC",L4="MT"),'CARGA DOCENTE'!$G48," ")</f>
        <v xml:space="preserve"> </v>
      </c>
      <c r="Q4" s="372">
        <f>'CARGA DOCENTE'!$H49</f>
        <v>0</v>
      </c>
      <c r="R4" s="373" t="str">
        <f>IF(OR(Q4="TC",Q4="MT"),'CARGA DOCENTE'!$A49," ")</f>
        <v xml:space="preserve"> </v>
      </c>
      <c r="S4" s="374" t="str">
        <f>IF(OR(Q4="TC",Q4="MT"),'CARGA DOCENTE'!$B49," ")</f>
        <v xml:space="preserve"> </v>
      </c>
      <c r="T4" s="374" t="str">
        <f>IF(OR(Q4="TC",Q4="MT"),'CARGA DOCENTE'!$C49," ")</f>
        <v xml:space="preserve"> </v>
      </c>
      <c r="U4" s="374" t="str">
        <f>IF(OR(Q4="TC",Q4="MT"),'CARGA DOCENTE'!$G49," ")</f>
        <v xml:space="preserve"> </v>
      </c>
      <c r="V4" s="372">
        <f>'CARGA DOCENTE'!$H50</f>
        <v>0</v>
      </c>
      <c r="W4" s="373" t="str">
        <f>IF(OR(V4="TC",V4="MT"),'CARGA DOCENTE'!$A50," ")</f>
        <v xml:space="preserve"> </v>
      </c>
      <c r="X4" s="374" t="str">
        <f>IF(OR(V4="TC",V4="MT"),'CARGA DOCENTE'!$B50," ")</f>
        <v xml:space="preserve"> </v>
      </c>
      <c r="Y4" s="374" t="str">
        <f>IF(OR(V4="TC",V4="MT"),'CARGA DOCENTE'!$C50," ")</f>
        <v xml:space="preserve"> </v>
      </c>
      <c r="Z4" s="374" t="str">
        <f>IF(OR(V4="TC",V4="MT"),'CARGA DOCENTE'!$G50," ")</f>
        <v xml:space="preserve"> </v>
      </c>
      <c r="AA4" s="372">
        <f>'CARGA DOCENTE'!$H51</f>
        <v>0</v>
      </c>
      <c r="AB4" s="373" t="str">
        <f>IF(OR(AA4="TC",AA4="MT"),'CARGA DOCENTE'!$A51," ")</f>
        <v xml:space="preserve"> </v>
      </c>
      <c r="AC4" s="374" t="str">
        <f>IF(OR(AA4="TC",AA4="MT"),'CARGA DOCENTE'!$B51," ")</f>
        <v xml:space="preserve"> </v>
      </c>
      <c r="AD4" s="374" t="str">
        <f>IF(OR(AA4="TC",AA4="MT"),'CARGA DOCENTE'!$C51," ")</f>
        <v xml:space="preserve"> </v>
      </c>
      <c r="AE4" s="374" t="str">
        <f>IF(OR(AA4="TC",AA4="MT"),'CARGA DOCENTE'!$G51," ")</f>
        <v xml:space="preserve"> </v>
      </c>
      <c r="AF4" s="372">
        <f>'CARGA DOCENTE'!$H52</f>
        <v>0</v>
      </c>
      <c r="AG4" s="373" t="str">
        <f>IF(OR(AF4="TC",AF4="MT"),'CARGA DOCENTE'!$A52," ")</f>
        <v xml:space="preserve"> </v>
      </c>
      <c r="AH4" s="374" t="str">
        <f>IF(OR(AF4="TC",AF4="MT"),'CARGA DOCENTE'!$B52," ")</f>
        <v xml:space="preserve"> </v>
      </c>
      <c r="AI4" s="374" t="str">
        <f>IF(OR(AF4="TC",AF4="MT"),'CARGA DOCENTE'!$C52," ")</f>
        <v xml:space="preserve"> </v>
      </c>
      <c r="AJ4" s="374" t="str">
        <f>IF(OR(AF4="TC",AF4="MT"),'CARGA DOCENTE'!$G52," ")</f>
        <v xml:space="preserve"> </v>
      </c>
      <c r="AK4" s="372">
        <f>'CARGA DOCENTE'!$H53</f>
        <v>0</v>
      </c>
      <c r="AL4" s="373" t="str">
        <f>IF(OR(AK4="TC",AK4="MT"),'CARGA DOCENTE'!$A53," ")</f>
        <v xml:space="preserve"> </v>
      </c>
      <c r="AM4" s="374" t="str">
        <f>IF(OR(AK4="TC",AK4="MT"),'CARGA DOCENTE'!$B53," ")</f>
        <v xml:space="preserve"> </v>
      </c>
      <c r="AN4" s="374" t="str">
        <f>IF(OR(AK4="TC",AK4="MT"),'CARGA DOCENTE'!$C53," ")</f>
        <v xml:space="preserve"> </v>
      </c>
      <c r="AO4" s="374" t="str">
        <f>IF(OR(AK4="TC",AK4="MT"),'CARGA DOCENTE'!$G53," ")</f>
        <v xml:space="preserve"> </v>
      </c>
      <c r="AP4" s="372">
        <f>'CARGA DOCENTE'!$H54</f>
        <v>0</v>
      </c>
      <c r="AQ4" s="373" t="str">
        <f>IF(OR(AP4="TC",AP4="MT"),'CARGA DOCENTE'!$A54," ")</f>
        <v xml:space="preserve"> </v>
      </c>
      <c r="AR4" s="374" t="str">
        <f>IF(OR(AP4="TC",AP4="MT"),'CARGA DOCENTE'!$B54," ")</f>
        <v xml:space="preserve"> </v>
      </c>
      <c r="AS4" s="374" t="str">
        <f>IF(OR(AP4="TC",AP4="MT"),'CARGA DOCENTE'!$C54," ")</f>
        <v xml:space="preserve"> </v>
      </c>
      <c r="AT4" s="374" t="str">
        <f>IF(OR(AP4="TC",AP4="MT"),'CARGA DOCENTE'!$G54," ")</f>
        <v xml:space="preserve"> </v>
      </c>
      <c r="AU4" s="372">
        <f>'CARGA DOCENTE'!$H55</f>
        <v>0</v>
      </c>
      <c r="AV4" s="373" t="str">
        <f>IF(OR(AU4="TC",AU4="MT"),'CARGA DOCENTE'!$A55," ")</f>
        <v xml:space="preserve"> </v>
      </c>
      <c r="AW4" s="374" t="str">
        <f>IF(OR(AU4="TC",AU4="MT"),'CARGA DOCENTE'!$B55," ")</f>
        <v xml:space="preserve"> </v>
      </c>
      <c r="AX4" s="374" t="str">
        <f>IF(OR(AU4="TC",AU4="MT"),'CARGA DOCENTE'!$C55," ")</f>
        <v xml:space="preserve"> </v>
      </c>
      <c r="AY4" s="374" t="str">
        <f>IF(OR(AU4="TC",AU4="MT"),'CARGA DOCENTE'!$G55," ")</f>
        <v xml:space="preserve"> </v>
      </c>
      <c r="AZ4" s="372">
        <f>'CARGA DOCENTE'!$H56</f>
        <v>0</v>
      </c>
      <c r="BA4" s="373" t="str">
        <f>IF(OR(AZ4="TC",AZ4="MT"),'CARGA DOCENTE'!$A56," ")</f>
        <v xml:space="preserve"> </v>
      </c>
      <c r="BB4" s="374" t="str">
        <f>IF(OR(AZ4="TC",AZ4="MT"),'CARGA DOCENTE'!$B56," ")</f>
        <v xml:space="preserve"> </v>
      </c>
      <c r="BC4" s="374" t="str">
        <f>IF(OR(AZ4="TC",AZ4="MT"),'CARGA DOCENTE'!$C56," ")</f>
        <v xml:space="preserve"> </v>
      </c>
      <c r="BD4" s="374" t="str">
        <f>IF(OR(AZ4="TC",AZ4="MT"),'CARGA DOCENTE'!$G56," ")</f>
        <v xml:space="preserve"> </v>
      </c>
      <c r="BE4" s="372">
        <f>'CARGA DOCENTE'!$H57</f>
        <v>0</v>
      </c>
      <c r="BF4" s="373" t="str">
        <f>IF(OR(BE4="TC",BE4="MT"),'CARGA DOCENTE'!$A57," ")</f>
        <v xml:space="preserve"> </v>
      </c>
      <c r="BG4" s="374" t="str">
        <f>IF(OR(BE4="TC",BE4="MT"),'CARGA DOCENTE'!$B57," ")</f>
        <v xml:space="preserve"> </v>
      </c>
      <c r="BH4" s="374" t="str">
        <f>IF(OR(BE4="TC",BE4="MT"),'CARGA DOCENTE'!$C57," ")</f>
        <v xml:space="preserve"> </v>
      </c>
      <c r="BI4" s="374" t="str">
        <f>IF(OR(BE4="TC",BE4="MT"),'CARGA DOCENTE'!$G57," ")</f>
        <v xml:space="preserve"> </v>
      </c>
      <c r="BJ4" s="372">
        <f>'CARGA DOCENTE'!$H58</f>
        <v>0</v>
      </c>
      <c r="BK4" s="373" t="str">
        <f>IF(OR(BJ4="TC",BJ4="MT"),'CARGA DOCENTE'!$A58," ")</f>
        <v xml:space="preserve"> </v>
      </c>
      <c r="BL4" s="374" t="str">
        <f>IF(OR(BJ4="TC",BJ4="MT"),'CARGA DOCENTE'!$B58," ")</f>
        <v xml:space="preserve"> </v>
      </c>
      <c r="BM4" s="374" t="str">
        <f>IF(OR(BJ4="TC",BJ4="MT"),'CARGA DOCENTE'!$C58," ")</f>
        <v xml:space="preserve"> </v>
      </c>
      <c r="BN4" s="374" t="str">
        <f>IF(OR(BJ4="TC",BJ4="MT"),'CARGA DOCENTE'!$G58," ")</f>
        <v xml:space="preserve"> </v>
      </c>
      <c r="BO4" s="372">
        <f>'CARGA DOCENTE'!$H59</f>
        <v>0</v>
      </c>
      <c r="BP4" s="373" t="str">
        <f>IF(OR(BO4="TC",BO4="MT"),'CARGA DOCENTE'!$A59," ")</f>
        <v xml:space="preserve"> </v>
      </c>
      <c r="BQ4" s="374" t="str">
        <f>IF(OR(BO4="TC",BO4="MT"),'CARGA DOCENTE'!$B59," ")</f>
        <v xml:space="preserve"> </v>
      </c>
      <c r="BR4" s="374" t="str">
        <f>IF(OR(BO4="TC",BO4="MT"),'CARGA DOCENTE'!$C59," ")</f>
        <v xml:space="preserve"> </v>
      </c>
      <c r="BS4" s="374" t="str">
        <f>IF(OR(BO4="TC",BO4="MT"),'CARGA DOCENTE'!$G59," ")</f>
        <v xml:space="preserve"> </v>
      </c>
      <c r="BT4" s="372">
        <f>'CARGA DOCENTE'!$H60</f>
        <v>0</v>
      </c>
      <c r="BU4" s="373" t="str">
        <f>IF(OR(BT4="TC",BT4="MT"),'CARGA DOCENTE'!$A60," ")</f>
        <v xml:space="preserve"> </v>
      </c>
      <c r="BV4" s="374" t="str">
        <f>IF(OR(BT4="TC",BT4="MT"),'CARGA DOCENTE'!$B60," ")</f>
        <v xml:space="preserve"> </v>
      </c>
      <c r="BW4" s="374" t="str">
        <f>IF(OR(BT4="TC",BT4="MT"),'CARGA DOCENTE'!$C60," ")</f>
        <v xml:space="preserve"> </v>
      </c>
      <c r="BX4" s="374" t="str">
        <f>IF(OR(BT4="TC",BT4="MT"),'CARGA DOCENTE'!$G60," ")</f>
        <v xml:space="preserve"> </v>
      </c>
    </row>
    <row r="5" spans="1:76" x14ac:dyDescent="0.2">
      <c r="A5" s="378">
        <f>'CARGA DOCENTE'!J64</f>
        <v>0</v>
      </c>
      <c r="B5" s="372">
        <f>'CARGA DOCENTE'!$H64</f>
        <v>0</v>
      </c>
      <c r="C5" s="373" t="str">
        <f>IF(OR(B5="TC",B5="MT"),'CARGA DOCENTE'!$A64," ")</f>
        <v xml:space="preserve"> </v>
      </c>
      <c r="D5" s="374" t="str">
        <f>IF(OR(B5="TC",B5="MT"),'CARGA DOCENTE'!$B64," ")</f>
        <v xml:space="preserve"> </v>
      </c>
      <c r="E5" s="374" t="str">
        <f>IF(OR(B5="TC",B5="MT"),'CARGA DOCENTE'!$C64," ")</f>
        <v xml:space="preserve"> </v>
      </c>
      <c r="F5" s="374" t="str">
        <f>IF(OR(B5="TC",B5="MT"),'CARGA DOCENTE'!$G64," ")</f>
        <v xml:space="preserve"> </v>
      </c>
      <c r="G5" s="372">
        <f>'CARGA DOCENTE'!$H65</f>
        <v>0</v>
      </c>
      <c r="H5" s="373" t="str">
        <f>IF(OR(G5="TC",G5="MT"),'CARGA DOCENTE'!$A65," ")</f>
        <v xml:space="preserve"> </v>
      </c>
      <c r="I5" s="374" t="str">
        <f>IF(OR(G5="TC",G5="MT"),'CARGA DOCENTE'!$B65," ")</f>
        <v xml:space="preserve"> </v>
      </c>
      <c r="J5" s="374" t="str">
        <f>IF(OR(G5="TC",G5="MT"),'CARGA DOCENTE'!$C65," ")</f>
        <v xml:space="preserve"> </v>
      </c>
      <c r="K5" s="374" t="str">
        <f>IF(OR(G5="TC",G5="MT"),'CARGA DOCENTE'!$G65," ")</f>
        <v xml:space="preserve"> </v>
      </c>
      <c r="L5" s="372">
        <f>'CARGA DOCENTE'!$H66</f>
        <v>0</v>
      </c>
      <c r="M5" s="373" t="str">
        <f>IF(OR(L5="TC",L5="MT"),'CARGA DOCENTE'!$A66," ")</f>
        <v xml:space="preserve"> </v>
      </c>
      <c r="N5" s="374" t="str">
        <f>IF(OR(L5="TC",L5="MT"),'CARGA DOCENTE'!$B66," ")</f>
        <v xml:space="preserve"> </v>
      </c>
      <c r="O5" s="374" t="str">
        <f>IF(OR(L5="TC",L5="MT"),'CARGA DOCENTE'!$C66," ")</f>
        <v xml:space="preserve"> </v>
      </c>
      <c r="P5" s="374" t="str">
        <f>IF(OR(L5="TC",L5="MT"),'CARGA DOCENTE'!$G66," ")</f>
        <v xml:space="preserve"> </v>
      </c>
      <c r="Q5" s="372">
        <f>'CARGA DOCENTE'!$H67</f>
        <v>0</v>
      </c>
      <c r="R5" s="373" t="str">
        <f>IF(OR(Q5="TC",Q5="MT"),'CARGA DOCENTE'!$A67," ")</f>
        <v xml:space="preserve"> </v>
      </c>
      <c r="S5" s="374" t="str">
        <f>IF(OR(Q5="TC",Q5="MT"),'CARGA DOCENTE'!$B67," ")</f>
        <v xml:space="preserve"> </v>
      </c>
      <c r="T5" s="374" t="str">
        <f>IF(OR(Q5="TC",Q5="MT"),'CARGA DOCENTE'!$C67," ")</f>
        <v xml:space="preserve"> </v>
      </c>
      <c r="U5" s="374" t="str">
        <f>IF(OR(Q5="TC",Q5="MT"),'CARGA DOCENTE'!$G67," ")</f>
        <v xml:space="preserve"> </v>
      </c>
      <c r="V5" s="372">
        <f>'CARGA DOCENTE'!$H68</f>
        <v>0</v>
      </c>
      <c r="W5" s="373" t="str">
        <f>IF(OR(V5="TC",V5="MT"),'CARGA DOCENTE'!$A68," ")</f>
        <v xml:space="preserve"> </v>
      </c>
      <c r="X5" s="374" t="str">
        <f>IF(OR(V5="TC",V5="MT"),'CARGA DOCENTE'!$B68," ")</f>
        <v xml:space="preserve"> </v>
      </c>
      <c r="Y5" s="374" t="str">
        <f>IF(OR(V5="TC",V5="MT"),'CARGA DOCENTE'!$C68," ")</f>
        <v xml:space="preserve"> </v>
      </c>
      <c r="Z5" s="374" t="str">
        <f>IF(OR(V5="TC",V5="MT"),'CARGA DOCENTE'!$G68," ")</f>
        <v xml:space="preserve"> </v>
      </c>
      <c r="AA5" s="372">
        <f>'CARGA DOCENTE'!$H69</f>
        <v>0</v>
      </c>
      <c r="AB5" s="373" t="str">
        <f>IF(OR(AA5="TC",AA5="MT"),'CARGA DOCENTE'!$A69," ")</f>
        <v xml:space="preserve"> </v>
      </c>
      <c r="AC5" s="374" t="str">
        <f>IF(OR(AA5="TC",AA5="MT"),'CARGA DOCENTE'!$B69," ")</f>
        <v xml:space="preserve"> </v>
      </c>
      <c r="AD5" s="374" t="str">
        <f>IF(OR(AA5="TC",AA5="MT"),'CARGA DOCENTE'!$C69," ")</f>
        <v xml:space="preserve"> </v>
      </c>
      <c r="AE5" s="374" t="str">
        <f>IF(OR(AA5="TC",AA5="MT"),'CARGA DOCENTE'!$G69," ")</f>
        <v xml:space="preserve"> </v>
      </c>
      <c r="AF5" s="372">
        <f>'CARGA DOCENTE'!$H70</f>
        <v>0</v>
      </c>
      <c r="AG5" s="373" t="str">
        <f>IF(OR(AF5="TC",AF5="MT"),'CARGA DOCENTE'!$A70," ")</f>
        <v xml:space="preserve"> </v>
      </c>
      <c r="AH5" s="374" t="str">
        <f>IF(OR(AF5="TC",AF5="MT"),'CARGA DOCENTE'!$B70," ")</f>
        <v xml:space="preserve"> </v>
      </c>
      <c r="AI5" s="374" t="str">
        <f>IF(OR(AF5="TC",AF5="MT"),'CARGA DOCENTE'!$C70," ")</f>
        <v xml:space="preserve"> </v>
      </c>
      <c r="AJ5" s="374" t="str">
        <f>IF(OR(AF5="TC",AF5="MT"),'CARGA DOCENTE'!$G70," ")</f>
        <v xml:space="preserve"> </v>
      </c>
      <c r="AK5" s="372">
        <f>'CARGA DOCENTE'!$H71</f>
        <v>0</v>
      </c>
      <c r="AL5" s="373" t="str">
        <f>IF(OR(AK5="TC",AK5="MT"),'CARGA DOCENTE'!$A71," ")</f>
        <v xml:space="preserve"> </v>
      </c>
      <c r="AM5" s="374" t="str">
        <f>IF(OR(AK5="TC",AK5="MT"),'CARGA DOCENTE'!$B71," ")</f>
        <v xml:space="preserve"> </v>
      </c>
      <c r="AN5" s="374" t="str">
        <f>IF(OR(AK5="TC",AK5="MT"),'CARGA DOCENTE'!$C71," ")</f>
        <v xml:space="preserve"> </v>
      </c>
      <c r="AO5" s="374" t="str">
        <f>IF(OR(AK5="TC",AK5="MT"),'CARGA DOCENTE'!$G71," ")</f>
        <v xml:space="preserve"> </v>
      </c>
      <c r="AP5" s="372">
        <f>'CARGA DOCENTE'!$H72</f>
        <v>0</v>
      </c>
      <c r="AQ5" s="373" t="str">
        <f>IF(OR(AP5="TC",AP5="MT"),'CARGA DOCENTE'!$A72," ")</f>
        <v xml:space="preserve"> </v>
      </c>
      <c r="AR5" s="374" t="str">
        <f>IF(OR(AP5="TC",AP5="MT"),'CARGA DOCENTE'!$B72," ")</f>
        <v xml:space="preserve"> </v>
      </c>
      <c r="AS5" s="374" t="str">
        <f>IF(OR(AP5="TC",AP5="MT"),'CARGA DOCENTE'!$C72," ")</f>
        <v xml:space="preserve"> </v>
      </c>
      <c r="AT5" s="374" t="str">
        <f>IF(OR(AP5="TC",AP5="MT"),'CARGA DOCENTE'!$G72," ")</f>
        <v xml:space="preserve"> </v>
      </c>
      <c r="AU5" s="372">
        <f>'CARGA DOCENTE'!$H73</f>
        <v>0</v>
      </c>
      <c r="AV5" s="373" t="str">
        <f>IF(OR(AU5="TC",AU5="MT"),'CARGA DOCENTE'!$A73," ")</f>
        <v xml:space="preserve"> </v>
      </c>
      <c r="AW5" s="374" t="str">
        <f>IF(OR(AU5="TC",AU5="MT"),'CARGA DOCENTE'!$B73," ")</f>
        <v xml:space="preserve"> </v>
      </c>
      <c r="AX5" s="374" t="str">
        <f>IF(OR(AU5="TC",AU5="MT"),'CARGA DOCENTE'!$C73," ")</f>
        <v xml:space="preserve"> </v>
      </c>
      <c r="AY5" s="374" t="str">
        <f>IF(OR(AU5="TC",AU5="MT"),'CARGA DOCENTE'!$G73," ")</f>
        <v xml:space="preserve"> </v>
      </c>
      <c r="AZ5" s="372">
        <f>'CARGA DOCENTE'!$H74</f>
        <v>0</v>
      </c>
      <c r="BA5" s="373" t="str">
        <f>IF(OR(AZ5="TC",AZ5="MT"),'CARGA DOCENTE'!$A74," ")</f>
        <v xml:space="preserve"> </v>
      </c>
      <c r="BB5" s="374" t="str">
        <f>IF(OR(AZ5="TC",AZ5="MT"),'CARGA DOCENTE'!$B74," ")</f>
        <v xml:space="preserve"> </v>
      </c>
      <c r="BC5" s="374" t="str">
        <f>IF(OR(AZ5="TC",AZ5="MT"),'CARGA DOCENTE'!$C74," ")</f>
        <v xml:space="preserve"> </v>
      </c>
      <c r="BD5" s="374" t="str">
        <f>IF(OR(AZ5="TC",AZ5="MT"),'CARGA DOCENTE'!$G74," ")</f>
        <v xml:space="preserve"> </v>
      </c>
      <c r="BE5" s="372">
        <f>'CARGA DOCENTE'!$H75</f>
        <v>0</v>
      </c>
      <c r="BF5" s="373" t="str">
        <f>IF(OR(BE5="TC",BE5="MT"),'CARGA DOCENTE'!$A75," ")</f>
        <v xml:space="preserve"> </v>
      </c>
      <c r="BG5" s="374" t="str">
        <f>IF(OR(BE5="TC",BE5="MT"),'CARGA DOCENTE'!$B75," ")</f>
        <v xml:space="preserve"> </v>
      </c>
      <c r="BH5" s="374" t="str">
        <f>IF(OR(BE5="TC",BE5="MT"),'CARGA DOCENTE'!$C75," ")</f>
        <v xml:space="preserve"> </v>
      </c>
      <c r="BI5" s="374" t="str">
        <f>IF(OR(BE5="TC",BE5="MT"),'CARGA DOCENTE'!$G75," ")</f>
        <v xml:space="preserve"> </v>
      </c>
      <c r="BJ5" s="372">
        <f>'CARGA DOCENTE'!$H76</f>
        <v>0</v>
      </c>
      <c r="BK5" s="373" t="str">
        <f>IF(OR(BJ5="TC",BJ5="MT"),'CARGA DOCENTE'!$A76," ")</f>
        <v xml:space="preserve"> </v>
      </c>
      <c r="BL5" s="374" t="str">
        <f>IF(OR(BJ5="TC",BJ5="MT"),'CARGA DOCENTE'!$B76," ")</f>
        <v xml:space="preserve"> </v>
      </c>
      <c r="BM5" s="374" t="str">
        <f>IF(OR(BJ5="TC",BJ5="MT"),'CARGA DOCENTE'!$C76," ")</f>
        <v xml:space="preserve"> </v>
      </c>
      <c r="BN5" s="374" t="str">
        <f>IF(OR(BJ5="TC",BJ5="MT"),'CARGA DOCENTE'!$G76," ")</f>
        <v xml:space="preserve"> </v>
      </c>
      <c r="BO5" s="372">
        <f>'CARGA DOCENTE'!$H77</f>
        <v>0</v>
      </c>
      <c r="BP5" s="373" t="str">
        <f>IF(OR(BO5="TC",BO5="MT"),'CARGA DOCENTE'!$A77," ")</f>
        <v xml:space="preserve"> </v>
      </c>
      <c r="BQ5" s="374" t="str">
        <f>IF(OR(BO5="TC",BO5="MT"),'CARGA DOCENTE'!$B77," ")</f>
        <v xml:space="preserve"> </v>
      </c>
      <c r="BR5" s="374" t="str">
        <f>IF(OR(BO5="TC",BO5="MT"),'CARGA DOCENTE'!$C77," ")</f>
        <v xml:space="preserve"> </v>
      </c>
      <c r="BS5" s="374" t="str">
        <f>IF(OR(BO5="TC",BO5="MT"),'CARGA DOCENTE'!$G77," ")</f>
        <v xml:space="preserve"> </v>
      </c>
      <c r="BT5" s="372">
        <f>'CARGA DOCENTE'!$H78</f>
        <v>0</v>
      </c>
      <c r="BU5" s="373" t="str">
        <f>IF(OR(BT5="TC",BT5="MT"),'CARGA DOCENTE'!$A78," ")</f>
        <v xml:space="preserve"> </v>
      </c>
      <c r="BV5" s="374" t="str">
        <f>IF(OR(BT5="TC",BT5="MT"),'CARGA DOCENTE'!$B78," ")</f>
        <v xml:space="preserve"> </v>
      </c>
      <c r="BW5" s="374" t="str">
        <f>IF(OR(BT5="TC",BT5="MT"),'CARGA DOCENTE'!$C78," ")</f>
        <v xml:space="preserve"> </v>
      </c>
      <c r="BX5" s="374" t="str">
        <f>IF(OR(BT5="TC",BT5="MT"),'CARGA DOCENTE'!$G78," ")</f>
        <v xml:space="preserve"> </v>
      </c>
    </row>
    <row r="6" spans="1:76" x14ac:dyDescent="0.2">
      <c r="A6" s="378">
        <f>'CARGA DOCENTE'!J82</f>
        <v>0</v>
      </c>
      <c r="B6" s="372">
        <f>'CARGA DOCENTE'!$H82</f>
        <v>0</v>
      </c>
      <c r="C6" s="373" t="str">
        <f>IF(OR(B6="TC",B6="MT"),'CARGA DOCENTE'!$A82," ")</f>
        <v xml:space="preserve"> </v>
      </c>
      <c r="D6" s="374" t="str">
        <f>IF(OR(B6="TC",B6="MT"),'CARGA DOCENTE'!$B82," ")</f>
        <v xml:space="preserve"> </v>
      </c>
      <c r="E6" s="374" t="str">
        <f>IF(OR(B6="TC",B6="MT"),'CARGA DOCENTE'!$C82," ")</f>
        <v xml:space="preserve"> </v>
      </c>
      <c r="F6" s="374" t="str">
        <f>IF(OR(B6="TC",B6="MT"),'CARGA DOCENTE'!$G82," ")</f>
        <v xml:space="preserve"> </v>
      </c>
      <c r="G6" s="372">
        <f>'CARGA DOCENTE'!$H83</f>
        <v>0</v>
      </c>
      <c r="H6" s="373" t="str">
        <f>IF(OR(G6="TC",G6="MT"),'CARGA DOCENTE'!$A83," ")</f>
        <v xml:space="preserve"> </v>
      </c>
      <c r="I6" s="374" t="str">
        <f>IF(OR(G6="TC",G6="MT"),'CARGA DOCENTE'!$B83," ")</f>
        <v xml:space="preserve"> </v>
      </c>
      <c r="J6" s="374" t="str">
        <f>IF(OR(G6="TC",G6="MT"),'CARGA DOCENTE'!$C83," ")</f>
        <v xml:space="preserve"> </v>
      </c>
      <c r="K6" s="374" t="str">
        <f>IF(OR(G6="TC",G6="MT"),'CARGA DOCENTE'!$G83," ")</f>
        <v xml:space="preserve"> </v>
      </c>
      <c r="L6" s="372">
        <f>'CARGA DOCENTE'!$H84</f>
        <v>0</v>
      </c>
      <c r="M6" s="373" t="str">
        <f>IF(OR(L6="TC",L6="MT"),'CARGA DOCENTE'!$A84," ")</f>
        <v xml:space="preserve"> </v>
      </c>
      <c r="N6" s="374" t="str">
        <f>IF(OR(L6="TC",L6="MT"),'CARGA DOCENTE'!$B84," ")</f>
        <v xml:space="preserve"> </v>
      </c>
      <c r="O6" s="374" t="str">
        <f>IF(OR(L6="TC",L6="MT"),'CARGA DOCENTE'!$C84," ")</f>
        <v xml:space="preserve"> </v>
      </c>
      <c r="P6" s="374" t="str">
        <f>IF(OR(L6="TC",L6="MT"),'CARGA DOCENTE'!$G84," ")</f>
        <v xml:space="preserve"> </v>
      </c>
      <c r="Q6" s="372">
        <f>'CARGA DOCENTE'!$H85</f>
        <v>0</v>
      </c>
      <c r="R6" s="373" t="str">
        <f>IF(OR(Q6="TC",Q6="MT"),'CARGA DOCENTE'!$A85," ")</f>
        <v xml:space="preserve"> </v>
      </c>
      <c r="S6" s="374" t="str">
        <f>IF(OR(Q6="TC",Q6="MT"),'CARGA DOCENTE'!$B85," ")</f>
        <v xml:space="preserve"> </v>
      </c>
      <c r="T6" s="374" t="str">
        <f>IF(OR(Q6="TC",Q6="MT"),'CARGA DOCENTE'!$C85," ")</f>
        <v xml:space="preserve"> </v>
      </c>
      <c r="U6" s="374" t="str">
        <f>IF(OR(Q6="TC",Q6="MT"),'CARGA DOCENTE'!$G85," ")</f>
        <v xml:space="preserve"> </v>
      </c>
      <c r="V6" s="372">
        <f>'CARGA DOCENTE'!$H86</f>
        <v>0</v>
      </c>
      <c r="W6" s="373" t="str">
        <f>IF(OR(V6="TC",V6="MT"),'CARGA DOCENTE'!$A86," ")</f>
        <v xml:space="preserve"> </v>
      </c>
      <c r="X6" s="374" t="str">
        <f>IF(OR(V6="TC",V6="MT"),'CARGA DOCENTE'!$B86," ")</f>
        <v xml:space="preserve"> </v>
      </c>
      <c r="Y6" s="374" t="str">
        <f>IF(OR(V6="TC",V6="MT"),'CARGA DOCENTE'!$C86," ")</f>
        <v xml:space="preserve"> </v>
      </c>
      <c r="Z6" s="374" t="str">
        <f>IF(OR(V6="TC",V6="MT"),'CARGA DOCENTE'!$G86," ")</f>
        <v xml:space="preserve"> </v>
      </c>
      <c r="AA6" s="372">
        <f>'CARGA DOCENTE'!$H87</f>
        <v>0</v>
      </c>
      <c r="AB6" s="373" t="str">
        <f>IF(OR(AA6="TC",AA6="MT"),'CARGA DOCENTE'!$A87," ")</f>
        <v xml:space="preserve"> </v>
      </c>
      <c r="AC6" s="374" t="str">
        <f>IF(OR(AA6="TC",AA6="MT"),'CARGA DOCENTE'!$B87," ")</f>
        <v xml:space="preserve"> </v>
      </c>
      <c r="AD6" s="374" t="str">
        <f>IF(OR(AA6="TC",AA6="MT"),'CARGA DOCENTE'!$C87," ")</f>
        <v xml:space="preserve"> </v>
      </c>
      <c r="AE6" s="374" t="str">
        <f>IF(OR(AA6="TC",AA6="MT"),'CARGA DOCENTE'!$G87," ")</f>
        <v xml:space="preserve"> </v>
      </c>
      <c r="AF6" s="372">
        <f>'CARGA DOCENTE'!$H88</f>
        <v>0</v>
      </c>
      <c r="AG6" s="373" t="str">
        <f>IF(OR(AF6="TC",AF6="MT"),'CARGA DOCENTE'!$A88," ")</f>
        <v xml:space="preserve"> </v>
      </c>
      <c r="AH6" s="374" t="str">
        <f>IF(OR(AF6="TC",AF6="MT"),'CARGA DOCENTE'!$B88," ")</f>
        <v xml:space="preserve"> </v>
      </c>
      <c r="AI6" s="374" t="str">
        <f>IF(OR(AF6="TC",AF6="MT"),'CARGA DOCENTE'!$C88," ")</f>
        <v xml:space="preserve"> </v>
      </c>
      <c r="AJ6" s="374" t="str">
        <f>IF(OR(AF6="TC",AF6="MT"),'CARGA DOCENTE'!$G88," ")</f>
        <v xml:space="preserve"> </v>
      </c>
      <c r="AK6" s="372">
        <f>'CARGA DOCENTE'!$H89</f>
        <v>0</v>
      </c>
      <c r="AL6" s="373" t="str">
        <f>IF(OR(AK6="TC",AK6="MT"),'CARGA DOCENTE'!$A89," ")</f>
        <v xml:space="preserve"> </v>
      </c>
      <c r="AM6" s="374" t="str">
        <f>IF(OR(AK6="TC",AK6="MT"),'CARGA DOCENTE'!$B89," ")</f>
        <v xml:space="preserve"> </v>
      </c>
      <c r="AN6" s="374" t="str">
        <f>IF(OR(AK6="TC",AK6="MT"),'CARGA DOCENTE'!$C89," ")</f>
        <v xml:space="preserve"> </v>
      </c>
      <c r="AO6" s="374" t="str">
        <f>IF(OR(AK6="TC",AK6="MT"),'CARGA DOCENTE'!$G89," ")</f>
        <v xml:space="preserve"> </v>
      </c>
      <c r="AP6" s="372">
        <f>'CARGA DOCENTE'!$H90</f>
        <v>0</v>
      </c>
      <c r="AQ6" s="373" t="str">
        <f>IF(OR(AP6="TC",AP6="MT"),'CARGA DOCENTE'!$A90," ")</f>
        <v xml:space="preserve"> </v>
      </c>
      <c r="AR6" s="374" t="str">
        <f>IF(OR(AP6="TC",AP6="MT"),'CARGA DOCENTE'!$B90," ")</f>
        <v xml:space="preserve"> </v>
      </c>
      <c r="AS6" s="374" t="str">
        <f>IF(OR(AP6="TC",AP6="MT"),'CARGA DOCENTE'!$C90," ")</f>
        <v xml:space="preserve"> </v>
      </c>
      <c r="AT6" s="374" t="str">
        <f>IF(OR(AP6="TC",AP6="MT"),'CARGA DOCENTE'!$G90," ")</f>
        <v xml:space="preserve"> </v>
      </c>
      <c r="AU6" s="372">
        <f>'CARGA DOCENTE'!$H91</f>
        <v>0</v>
      </c>
      <c r="AV6" s="373" t="str">
        <f>IF(OR(AU6="TC",AU6="MT"),'CARGA DOCENTE'!$A91," ")</f>
        <v xml:space="preserve"> </v>
      </c>
      <c r="AW6" s="374" t="str">
        <f>IF(OR(AU6="TC",AU6="MT"),'CARGA DOCENTE'!$B91," ")</f>
        <v xml:space="preserve"> </v>
      </c>
      <c r="AX6" s="374" t="str">
        <f>IF(OR(AU6="TC",AU6="MT"),'CARGA DOCENTE'!$C91," ")</f>
        <v xml:space="preserve"> </v>
      </c>
      <c r="AY6" s="374" t="str">
        <f>IF(OR(AU6="TC",AU6="MT"),'CARGA DOCENTE'!$G91," ")</f>
        <v xml:space="preserve"> </v>
      </c>
      <c r="AZ6" s="372">
        <f>'CARGA DOCENTE'!$H92</f>
        <v>0</v>
      </c>
      <c r="BA6" s="373" t="str">
        <f>IF(OR(AZ6="TC",AZ6="MT"),'CARGA DOCENTE'!$A92," ")</f>
        <v xml:space="preserve"> </v>
      </c>
      <c r="BB6" s="374" t="str">
        <f>IF(OR(AZ6="TC",AZ6="MT"),'CARGA DOCENTE'!$B92," ")</f>
        <v xml:space="preserve"> </v>
      </c>
      <c r="BC6" s="374" t="str">
        <f>IF(OR(AZ6="TC",AZ6="MT"),'CARGA DOCENTE'!$C92," ")</f>
        <v xml:space="preserve"> </v>
      </c>
      <c r="BD6" s="374" t="str">
        <f>IF(OR(AZ6="TC",AZ6="MT"),'CARGA DOCENTE'!$G92," ")</f>
        <v xml:space="preserve"> </v>
      </c>
      <c r="BE6" s="372">
        <f>'CARGA DOCENTE'!$H93</f>
        <v>0</v>
      </c>
      <c r="BF6" s="373" t="str">
        <f>IF(OR(BE6="TC",BE6="MT"),'CARGA DOCENTE'!$A93," ")</f>
        <v xml:space="preserve"> </v>
      </c>
      <c r="BG6" s="374" t="str">
        <f>IF(OR(BE6="TC",BE6="MT"),'CARGA DOCENTE'!$B93," ")</f>
        <v xml:space="preserve"> </v>
      </c>
      <c r="BH6" s="374" t="str">
        <f>IF(OR(BE6="TC",BE6="MT"),'CARGA DOCENTE'!$C93," ")</f>
        <v xml:space="preserve"> </v>
      </c>
      <c r="BI6" s="374" t="str">
        <f>IF(OR(BE6="TC",BE6="MT"),'CARGA DOCENTE'!$G93," ")</f>
        <v xml:space="preserve"> </v>
      </c>
      <c r="BJ6" s="372">
        <f>'CARGA DOCENTE'!$H94</f>
        <v>0</v>
      </c>
      <c r="BK6" s="373" t="str">
        <f>IF(OR(BJ6="TC",BJ6="MT"),'CARGA DOCENTE'!$A94," ")</f>
        <v xml:space="preserve"> </v>
      </c>
      <c r="BL6" s="374" t="str">
        <f>IF(OR(BJ6="TC",BJ6="MT"),'CARGA DOCENTE'!$B94," ")</f>
        <v xml:space="preserve"> </v>
      </c>
      <c r="BM6" s="374" t="str">
        <f>IF(OR(BJ6="TC",BJ6="MT"),'CARGA DOCENTE'!$C94," ")</f>
        <v xml:space="preserve"> </v>
      </c>
      <c r="BN6" s="374" t="str">
        <f>IF(OR(BJ6="TC",BJ6="MT"),'CARGA DOCENTE'!$G94," ")</f>
        <v xml:space="preserve"> </v>
      </c>
      <c r="BO6" s="372">
        <f>'CARGA DOCENTE'!$H95</f>
        <v>0</v>
      </c>
      <c r="BP6" s="373" t="str">
        <f>IF(OR(BO6="TC",BO6="MT"),'CARGA DOCENTE'!$A95," ")</f>
        <v xml:space="preserve"> </v>
      </c>
      <c r="BQ6" s="374" t="str">
        <f>IF(OR(BO6="TC",BO6="MT"),'CARGA DOCENTE'!$B95," ")</f>
        <v xml:space="preserve"> </v>
      </c>
      <c r="BR6" s="374" t="str">
        <f>IF(OR(BO6="TC",BO6="MT"),'CARGA DOCENTE'!$C95," ")</f>
        <v xml:space="preserve"> </v>
      </c>
      <c r="BS6" s="374" t="str">
        <f>IF(OR(BO6="TC",BO6="MT"),'CARGA DOCENTE'!$G95," ")</f>
        <v xml:space="preserve"> </v>
      </c>
      <c r="BT6" s="372">
        <f>'CARGA DOCENTE'!$H96</f>
        <v>0</v>
      </c>
      <c r="BU6" s="373" t="str">
        <f>IF(OR(BT6="TC",BT6="MT"),'CARGA DOCENTE'!$A96," ")</f>
        <v xml:space="preserve"> </v>
      </c>
      <c r="BV6" s="374" t="str">
        <f>IF(OR(BT6="TC",BT6="MT"),'CARGA DOCENTE'!$B96," ")</f>
        <v xml:space="preserve"> </v>
      </c>
      <c r="BW6" s="374" t="str">
        <f>IF(OR(BT6="TC",BT6="MT"),'CARGA DOCENTE'!$C96," ")</f>
        <v xml:space="preserve"> </v>
      </c>
      <c r="BX6" s="374" t="str">
        <f>IF(OR(BT6="TC",BT6="MT"),'CARGA DOCENTE'!$G96," ")</f>
        <v xml:space="preserve"> </v>
      </c>
    </row>
    <row r="7" spans="1:76" x14ac:dyDescent="0.2">
      <c r="A7" s="378">
        <f>'CARGA DOCENTE'!J100</f>
        <v>0</v>
      </c>
      <c r="B7" s="372">
        <f>'CARGA DOCENTE'!$H100</f>
        <v>0</v>
      </c>
      <c r="C7" s="373" t="str">
        <f>IF(OR(B7="TC",B7="MT"),'CARGA DOCENTE'!$A100," ")</f>
        <v xml:space="preserve"> </v>
      </c>
      <c r="D7" s="374" t="str">
        <f>IF(OR(B7="TC",B7="MT"),'CARGA DOCENTE'!$B100," ")</f>
        <v xml:space="preserve"> </v>
      </c>
      <c r="E7" s="374" t="str">
        <f>IF(OR(B7="TC",B7="MT"),'CARGA DOCENTE'!$C100," ")</f>
        <v xml:space="preserve"> </v>
      </c>
      <c r="F7" s="374" t="str">
        <f>IF(OR(B7="TC",B7="MT"),'CARGA DOCENTE'!$G100," ")</f>
        <v xml:space="preserve"> </v>
      </c>
      <c r="G7" s="372">
        <f>'CARGA DOCENTE'!$H101</f>
        <v>0</v>
      </c>
      <c r="H7" s="373" t="str">
        <f>IF(OR(G7="TC",G7="MT"),'CARGA DOCENTE'!$A101," ")</f>
        <v xml:space="preserve"> </v>
      </c>
      <c r="I7" s="374" t="str">
        <f>IF(OR(G7="TC",G7="MT"),'CARGA DOCENTE'!$B101," ")</f>
        <v xml:space="preserve"> </v>
      </c>
      <c r="J7" s="374" t="str">
        <f>IF(OR(G7="TC",G7="MT"),'CARGA DOCENTE'!$C101," ")</f>
        <v xml:space="preserve"> </v>
      </c>
      <c r="K7" s="374" t="str">
        <f>IF(OR(G7="TC",G7="MT"),'CARGA DOCENTE'!$G101," ")</f>
        <v xml:space="preserve"> </v>
      </c>
      <c r="L7" s="372">
        <f>'CARGA DOCENTE'!$H102</f>
        <v>0</v>
      </c>
      <c r="M7" s="373" t="str">
        <f>IF(OR(L7="TC",L7="MT"),'CARGA DOCENTE'!$A102," ")</f>
        <v xml:space="preserve"> </v>
      </c>
      <c r="N7" s="374" t="str">
        <f>IF(OR(L7="TC",L7="MT"),'CARGA DOCENTE'!$B102," ")</f>
        <v xml:space="preserve"> </v>
      </c>
      <c r="O7" s="374" t="str">
        <f>IF(OR(L7="TC",L7="MT"),'CARGA DOCENTE'!$C102," ")</f>
        <v xml:space="preserve"> </v>
      </c>
      <c r="P7" s="374" t="str">
        <f>IF(OR(L7="TC",L7="MT"),'CARGA DOCENTE'!$G102," ")</f>
        <v xml:space="preserve"> </v>
      </c>
      <c r="Q7" s="372">
        <f>'CARGA DOCENTE'!$H103</f>
        <v>0</v>
      </c>
      <c r="R7" s="373" t="str">
        <f>IF(OR(Q7="TC",Q7="MT"),'CARGA DOCENTE'!$A103," ")</f>
        <v xml:space="preserve"> </v>
      </c>
      <c r="S7" s="374" t="str">
        <f>IF(OR(Q7="TC",Q7="MT"),'CARGA DOCENTE'!$B103," ")</f>
        <v xml:space="preserve"> </v>
      </c>
      <c r="T7" s="374" t="str">
        <f>IF(OR(Q7="TC",Q7="MT"),'CARGA DOCENTE'!$C103," ")</f>
        <v xml:space="preserve"> </v>
      </c>
      <c r="U7" s="374" t="str">
        <f>IF(OR(Q7="TC",Q7="MT"),'CARGA DOCENTE'!$G103," ")</f>
        <v xml:space="preserve"> </v>
      </c>
      <c r="V7" s="372">
        <f>'CARGA DOCENTE'!$H104</f>
        <v>0</v>
      </c>
      <c r="W7" s="373" t="str">
        <f>IF(OR(V7="TC",V7="MT"),'CARGA DOCENTE'!$A104," ")</f>
        <v xml:space="preserve"> </v>
      </c>
      <c r="X7" s="374" t="str">
        <f>IF(OR(V7="TC",V7="MT"),'CARGA DOCENTE'!$B104," ")</f>
        <v xml:space="preserve"> </v>
      </c>
      <c r="Y7" s="374" t="str">
        <f>IF(OR(V7="TC",V7="MT"),'CARGA DOCENTE'!$C104," ")</f>
        <v xml:space="preserve"> </v>
      </c>
      <c r="Z7" s="374" t="str">
        <f>IF(OR(V7="TC",V7="MT"),'CARGA DOCENTE'!$G104," ")</f>
        <v xml:space="preserve"> </v>
      </c>
      <c r="AA7" s="372">
        <f>'CARGA DOCENTE'!$H105</f>
        <v>0</v>
      </c>
      <c r="AB7" s="373" t="str">
        <f>IF(OR(AA7="TC",AA7="MT"),'CARGA DOCENTE'!$A105," ")</f>
        <v xml:space="preserve"> </v>
      </c>
      <c r="AC7" s="374" t="str">
        <f>IF(OR(AA7="TC",AA7="MT"),'CARGA DOCENTE'!$B105," ")</f>
        <v xml:space="preserve"> </v>
      </c>
      <c r="AD7" s="374" t="str">
        <f>IF(OR(AA7="TC",AA7="MT"),'CARGA DOCENTE'!$C105," ")</f>
        <v xml:space="preserve"> </v>
      </c>
      <c r="AE7" s="374" t="str">
        <f>IF(OR(AA7="TC",AA7="MT"),'CARGA DOCENTE'!$G105," ")</f>
        <v xml:space="preserve"> </v>
      </c>
      <c r="AF7" s="372">
        <f>'CARGA DOCENTE'!$H106</f>
        <v>0</v>
      </c>
      <c r="AG7" s="373" t="str">
        <f>IF(OR(AF7="TC",AF7="MT"),'CARGA DOCENTE'!$A106," ")</f>
        <v xml:space="preserve"> </v>
      </c>
      <c r="AH7" s="374" t="str">
        <f>IF(OR(AF7="TC",AF7="MT"),'CARGA DOCENTE'!$B106," ")</f>
        <v xml:space="preserve"> </v>
      </c>
      <c r="AI7" s="374" t="str">
        <f>IF(OR(AF7="TC",AF7="MT"),'CARGA DOCENTE'!$C106," ")</f>
        <v xml:space="preserve"> </v>
      </c>
      <c r="AJ7" s="374" t="str">
        <f>IF(OR(AF7="TC",AF7="MT"),'CARGA DOCENTE'!$G106," ")</f>
        <v xml:space="preserve"> </v>
      </c>
      <c r="AK7" s="372">
        <f>'CARGA DOCENTE'!$H107</f>
        <v>0</v>
      </c>
      <c r="AL7" s="373" t="str">
        <f>IF(OR(AK7="TC",AK7="MT"),'CARGA DOCENTE'!$A107," ")</f>
        <v xml:space="preserve"> </v>
      </c>
      <c r="AM7" s="374" t="str">
        <f>IF(OR(AK7="TC",AK7="MT"),'CARGA DOCENTE'!$B107," ")</f>
        <v xml:space="preserve"> </v>
      </c>
      <c r="AN7" s="374" t="str">
        <f>IF(OR(AK7="TC",AK7="MT"),'CARGA DOCENTE'!$C107," ")</f>
        <v xml:space="preserve"> </v>
      </c>
      <c r="AO7" s="374" t="str">
        <f>IF(OR(AK7="TC",AK7="MT"),'CARGA DOCENTE'!$G107," ")</f>
        <v xml:space="preserve"> </v>
      </c>
      <c r="AP7" s="372">
        <f>'CARGA DOCENTE'!$H108</f>
        <v>0</v>
      </c>
      <c r="AQ7" s="373" t="str">
        <f>IF(OR(AP7="TC",AP7="MT"),'CARGA DOCENTE'!$A108," ")</f>
        <v xml:space="preserve"> </v>
      </c>
      <c r="AR7" s="374" t="str">
        <f>IF(OR(AP7="TC",AP7="MT"),'CARGA DOCENTE'!$B108," ")</f>
        <v xml:space="preserve"> </v>
      </c>
      <c r="AS7" s="374" t="str">
        <f>IF(OR(AP7="TC",AP7="MT"),'CARGA DOCENTE'!$C108," ")</f>
        <v xml:space="preserve"> </v>
      </c>
      <c r="AT7" s="374" t="str">
        <f>IF(OR(AP7="TC",AP7="MT"),'CARGA DOCENTE'!$G108," ")</f>
        <v xml:space="preserve"> </v>
      </c>
      <c r="AU7" s="372">
        <f>'CARGA DOCENTE'!$H109</f>
        <v>0</v>
      </c>
      <c r="AV7" s="373" t="str">
        <f>IF(OR(AU7="TC",AU7="MT"),'CARGA DOCENTE'!$A109," ")</f>
        <v xml:space="preserve"> </v>
      </c>
      <c r="AW7" s="374" t="str">
        <f>IF(OR(AU7="TC",AU7="MT"),'CARGA DOCENTE'!$B109," ")</f>
        <v xml:space="preserve"> </v>
      </c>
      <c r="AX7" s="374" t="str">
        <f>IF(OR(AU7="TC",AU7="MT"),'CARGA DOCENTE'!$C109," ")</f>
        <v xml:space="preserve"> </v>
      </c>
      <c r="AY7" s="374" t="str">
        <f>IF(OR(AU7="TC",AU7="MT"),'CARGA DOCENTE'!$G109," ")</f>
        <v xml:space="preserve"> </v>
      </c>
      <c r="AZ7" s="372">
        <f>'CARGA DOCENTE'!$H110</f>
        <v>0</v>
      </c>
      <c r="BA7" s="373" t="str">
        <f>IF(OR(AZ7="TC",AZ7="MT"),'CARGA DOCENTE'!$A110," ")</f>
        <v xml:space="preserve"> </v>
      </c>
      <c r="BB7" s="374" t="str">
        <f>IF(OR(AZ7="TC",AZ7="MT"),'CARGA DOCENTE'!$B110," ")</f>
        <v xml:space="preserve"> </v>
      </c>
      <c r="BC7" s="374" t="str">
        <f>IF(OR(AZ7="TC",AZ7="MT"),'CARGA DOCENTE'!$C110," ")</f>
        <v xml:space="preserve"> </v>
      </c>
      <c r="BD7" s="374" t="str">
        <f>IF(OR(AZ7="TC",AZ7="MT"),'CARGA DOCENTE'!$G110," ")</f>
        <v xml:space="preserve"> </v>
      </c>
      <c r="BE7" s="372">
        <f>'CARGA DOCENTE'!$H111</f>
        <v>0</v>
      </c>
      <c r="BF7" s="373" t="str">
        <f>IF(OR(BE7="TC",BE7="MT"),'CARGA DOCENTE'!$A111," ")</f>
        <v xml:space="preserve"> </v>
      </c>
      <c r="BG7" s="374" t="str">
        <f>IF(OR(BE7="TC",BE7="MT"),'CARGA DOCENTE'!$B111," ")</f>
        <v xml:space="preserve"> </v>
      </c>
      <c r="BH7" s="374" t="str">
        <f>IF(OR(BE7="TC",BE7="MT"),'CARGA DOCENTE'!$C111," ")</f>
        <v xml:space="preserve"> </v>
      </c>
      <c r="BI7" s="374" t="str">
        <f>IF(OR(BE7="TC",BE7="MT"),'CARGA DOCENTE'!$G111," ")</f>
        <v xml:space="preserve"> </v>
      </c>
      <c r="BJ7" s="372">
        <f>'CARGA DOCENTE'!$H112</f>
        <v>0</v>
      </c>
      <c r="BK7" s="373" t="str">
        <f>IF(OR(BJ7="TC",BJ7="MT"),'CARGA DOCENTE'!$A112," ")</f>
        <v xml:space="preserve"> </v>
      </c>
      <c r="BL7" s="374" t="str">
        <f>IF(OR(BJ7="TC",BJ7="MT"),'CARGA DOCENTE'!$B112," ")</f>
        <v xml:space="preserve"> </v>
      </c>
      <c r="BM7" s="374" t="str">
        <f>IF(OR(BJ7="TC",BJ7="MT"),'CARGA DOCENTE'!$C112," ")</f>
        <v xml:space="preserve"> </v>
      </c>
      <c r="BN7" s="374" t="str">
        <f>IF(OR(BJ7="TC",BJ7="MT"),'CARGA DOCENTE'!$G112," ")</f>
        <v xml:space="preserve"> </v>
      </c>
      <c r="BO7" s="372">
        <f>'CARGA DOCENTE'!$H113</f>
        <v>0</v>
      </c>
      <c r="BP7" s="373" t="str">
        <f>IF(OR(BO7="TC",BO7="MT"),'CARGA DOCENTE'!$A113," ")</f>
        <v xml:space="preserve"> </v>
      </c>
      <c r="BQ7" s="374" t="str">
        <f>IF(OR(BO7="TC",BO7="MT"),'CARGA DOCENTE'!$B113," ")</f>
        <v xml:space="preserve"> </v>
      </c>
      <c r="BR7" s="374" t="str">
        <f>IF(OR(BO7="TC",BO7="MT"),'CARGA DOCENTE'!$C113," ")</f>
        <v xml:space="preserve"> </v>
      </c>
      <c r="BS7" s="374" t="str">
        <f>IF(OR(BO7="TC",BO7="MT"),'CARGA DOCENTE'!$G113," ")</f>
        <v xml:space="preserve"> </v>
      </c>
      <c r="BT7" s="372">
        <f>'CARGA DOCENTE'!$H114</f>
        <v>0</v>
      </c>
      <c r="BU7" s="373" t="str">
        <f>IF(OR(BT7="TC",BT7="MT"),'CARGA DOCENTE'!$A114," ")</f>
        <v xml:space="preserve"> </v>
      </c>
      <c r="BV7" s="374" t="str">
        <f>IF(OR(BT7="TC",BT7="MT"),'CARGA DOCENTE'!$B114," ")</f>
        <v xml:space="preserve"> </v>
      </c>
      <c r="BW7" s="374" t="str">
        <f>IF(OR(BT7="TC",BT7="MT"),'CARGA DOCENTE'!$C114," ")</f>
        <v xml:space="preserve"> </v>
      </c>
      <c r="BX7" s="374" t="str">
        <f>IF(OR(BT7="TC",BT7="MT"),'CARGA DOCENTE'!$G114," ")</f>
        <v xml:space="preserve"> </v>
      </c>
    </row>
    <row r="8" spans="1:76" x14ac:dyDescent="0.2">
      <c r="A8" s="378">
        <f>'CARGA DOCENTE'!J118</f>
        <v>0</v>
      </c>
      <c r="B8" s="372">
        <f>'CARGA DOCENTE'!$H118</f>
        <v>0</v>
      </c>
      <c r="C8" s="373" t="str">
        <f>IF(OR(B8="TC",B8="MT"),'CARGA DOCENTE'!$A118," ")</f>
        <v xml:space="preserve"> </v>
      </c>
      <c r="D8" s="374" t="str">
        <f>IF(OR(B8="TC",B8="MT"),'CARGA DOCENTE'!$B118," ")</f>
        <v xml:space="preserve"> </v>
      </c>
      <c r="E8" s="374" t="str">
        <f>IF(OR(B8="TC",B8="MT"),'CARGA DOCENTE'!$C118," ")</f>
        <v xml:space="preserve"> </v>
      </c>
      <c r="F8" s="374" t="str">
        <f>IF(OR(B8="TC",B8="MT"),'CARGA DOCENTE'!$G118," ")</f>
        <v xml:space="preserve"> </v>
      </c>
      <c r="G8" s="372">
        <f>'CARGA DOCENTE'!$H119</f>
        <v>0</v>
      </c>
      <c r="H8" s="373" t="str">
        <f>IF(OR(G8="TC",G8="MT"),'CARGA DOCENTE'!$A119," ")</f>
        <v xml:space="preserve"> </v>
      </c>
      <c r="I8" s="374" t="str">
        <f>IF(OR(G8="TC",G8="MT"),'CARGA DOCENTE'!$B119," ")</f>
        <v xml:space="preserve"> </v>
      </c>
      <c r="J8" s="374" t="str">
        <f>IF(OR(G8="TC",G8="MT"),'CARGA DOCENTE'!$C119," ")</f>
        <v xml:space="preserve"> </v>
      </c>
      <c r="K8" s="374" t="str">
        <f>IF(OR(G8="TC",G8="MT"),'CARGA DOCENTE'!$G119," ")</f>
        <v xml:space="preserve"> </v>
      </c>
      <c r="L8" s="372">
        <f>'CARGA DOCENTE'!$H120</f>
        <v>0</v>
      </c>
      <c r="M8" s="373" t="str">
        <f>IF(OR(L8="TC",L8="MT"),'CARGA DOCENTE'!$A120," ")</f>
        <v xml:space="preserve"> </v>
      </c>
      <c r="N8" s="374" t="str">
        <f>IF(OR(L8="TC",L8="MT"),'CARGA DOCENTE'!$B120," ")</f>
        <v xml:space="preserve"> </v>
      </c>
      <c r="O8" s="374" t="str">
        <f>IF(OR(L8="TC",L8="MT"),'CARGA DOCENTE'!$C120," ")</f>
        <v xml:space="preserve"> </v>
      </c>
      <c r="P8" s="374" t="str">
        <f>IF(OR(L8="TC",L8="MT"),'CARGA DOCENTE'!$G120," ")</f>
        <v xml:space="preserve"> </v>
      </c>
      <c r="Q8" s="372">
        <f>'CARGA DOCENTE'!$H121</f>
        <v>0</v>
      </c>
      <c r="R8" s="373" t="str">
        <f>IF(OR(Q8="TC",Q8="MT"),'CARGA DOCENTE'!$A121," ")</f>
        <v xml:space="preserve"> </v>
      </c>
      <c r="S8" s="374" t="str">
        <f>IF(OR(Q8="TC",Q8="MT"),'CARGA DOCENTE'!$B121," ")</f>
        <v xml:space="preserve"> </v>
      </c>
      <c r="T8" s="374" t="str">
        <f>IF(OR(Q8="TC",Q8="MT"),'CARGA DOCENTE'!$C121," ")</f>
        <v xml:space="preserve"> </v>
      </c>
      <c r="U8" s="374" t="str">
        <f>IF(OR(Q8="TC",Q8="MT"),'CARGA DOCENTE'!$G121," ")</f>
        <v xml:space="preserve"> </v>
      </c>
      <c r="V8" s="372">
        <f>'CARGA DOCENTE'!$H122</f>
        <v>0</v>
      </c>
      <c r="W8" s="373" t="str">
        <f>IF(OR(V8="TC",V8="MT"),'CARGA DOCENTE'!$A122," ")</f>
        <v xml:space="preserve"> </v>
      </c>
      <c r="X8" s="374" t="str">
        <f>IF(OR(V8="TC",V8="MT"),'CARGA DOCENTE'!$B122," ")</f>
        <v xml:space="preserve"> </v>
      </c>
      <c r="Y8" s="374" t="str">
        <f>IF(OR(V8="TC",V8="MT"),'CARGA DOCENTE'!$C122," ")</f>
        <v xml:space="preserve"> </v>
      </c>
      <c r="Z8" s="374" t="str">
        <f>IF(OR(V8="TC",V8="MT"),'CARGA DOCENTE'!$G122," ")</f>
        <v xml:space="preserve"> </v>
      </c>
      <c r="AA8" s="372">
        <f>'CARGA DOCENTE'!$H123</f>
        <v>0</v>
      </c>
      <c r="AB8" s="373" t="str">
        <f>IF(OR(AA8="TC",AA8="MT"),'CARGA DOCENTE'!$A123," ")</f>
        <v xml:space="preserve"> </v>
      </c>
      <c r="AC8" s="374" t="str">
        <f>IF(OR(AA8="TC",AA8="MT"),'CARGA DOCENTE'!$B123," ")</f>
        <v xml:space="preserve"> </v>
      </c>
      <c r="AD8" s="374" t="str">
        <f>IF(OR(AA8="TC",AA8="MT"),'CARGA DOCENTE'!$C123," ")</f>
        <v xml:space="preserve"> </v>
      </c>
      <c r="AE8" s="374" t="str">
        <f>IF(OR(AA8="TC",AA8="MT"),'CARGA DOCENTE'!$G123," ")</f>
        <v xml:space="preserve"> </v>
      </c>
      <c r="AF8" s="372">
        <f>'CARGA DOCENTE'!$H124</f>
        <v>0</v>
      </c>
      <c r="AG8" s="373" t="str">
        <f>IF(OR(AF8="TC",AF8="MT"),'CARGA DOCENTE'!$A114," ")</f>
        <v xml:space="preserve"> </v>
      </c>
      <c r="AH8" s="374" t="str">
        <f>IF(OR(AF8="TC",AF8="MT"),'CARGA DOCENTE'!$B114," ")</f>
        <v xml:space="preserve"> </v>
      </c>
      <c r="AI8" s="374" t="str">
        <f>IF(OR(AF8="TC",AF8="MT"),'CARGA DOCENTE'!$C114," ")</f>
        <v xml:space="preserve"> </v>
      </c>
      <c r="AJ8" s="374" t="str">
        <f>IF(OR(AF8="TC",AF8="MT"),'CARGA DOCENTE'!$G114," ")</f>
        <v xml:space="preserve"> </v>
      </c>
      <c r="AK8" s="372">
        <f>'CARGA DOCENTE'!$H125</f>
        <v>0</v>
      </c>
      <c r="AL8" s="373" t="str">
        <f>IF(OR(AK8="TC",AK8="MT"),'CARGA DOCENTE'!$A125," ")</f>
        <v xml:space="preserve"> </v>
      </c>
      <c r="AM8" s="374" t="str">
        <f>IF(OR(AK8="TC",AK8="MT"),'CARGA DOCENTE'!$B125," ")</f>
        <v xml:space="preserve"> </v>
      </c>
      <c r="AN8" s="374" t="str">
        <f>IF(OR(AK8="TC",AK8="MT"),'CARGA DOCENTE'!$C125," ")</f>
        <v xml:space="preserve"> </v>
      </c>
      <c r="AO8" s="374" t="str">
        <f>IF(OR(AK8="TC",AK8="MT"),'CARGA DOCENTE'!$G125," ")</f>
        <v xml:space="preserve"> </v>
      </c>
      <c r="AP8" s="372">
        <f>'CARGA DOCENTE'!$H126</f>
        <v>0</v>
      </c>
      <c r="AQ8" s="373" t="str">
        <f>IF(OR(AP8="TC",AP8="MT"),'CARGA DOCENTE'!$A126," ")</f>
        <v xml:space="preserve"> </v>
      </c>
      <c r="AR8" s="374" t="str">
        <f>IF(OR(AP8="TC",AP8="MT"),'CARGA DOCENTE'!$B126," ")</f>
        <v xml:space="preserve"> </v>
      </c>
      <c r="AS8" s="374" t="str">
        <f>IF(OR(AP8="TC",AP8="MT"),'CARGA DOCENTE'!$C126," ")</f>
        <v xml:space="preserve"> </v>
      </c>
      <c r="AT8" s="374" t="str">
        <f>IF(OR(AP8="TC",AP8="MT"),'CARGA DOCENTE'!$G126," ")</f>
        <v xml:space="preserve"> </v>
      </c>
      <c r="AU8" s="372">
        <f>'CARGA DOCENTE'!$H127</f>
        <v>0</v>
      </c>
      <c r="AV8" s="373" t="str">
        <f>IF(OR(AU8="TC",AU8="MT"),'CARGA DOCENTE'!$A127," ")</f>
        <v xml:space="preserve"> </v>
      </c>
      <c r="AW8" s="374" t="str">
        <f>IF(OR(AU8="TC",AU8="MT"),'CARGA DOCENTE'!$B127," ")</f>
        <v xml:space="preserve"> </v>
      </c>
      <c r="AX8" s="374" t="str">
        <f>IF(OR(AU8="TC",AU8="MT"),'CARGA DOCENTE'!$C127," ")</f>
        <v xml:space="preserve"> </v>
      </c>
      <c r="AY8" s="374" t="str">
        <f>IF(OR(AU8="TC",AU8="MT"),'CARGA DOCENTE'!$G127," ")</f>
        <v xml:space="preserve"> </v>
      </c>
      <c r="AZ8" s="372">
        <f>'CARGA DOCENTE'!$H128</f>
        <v>0</v>
      </c>
      <c r="BA8" s="373" t="str">
        <f>IF(OR(AZ8="TC",AZ8="MT"),'CARGA DOCENTE'!$A128," ")</f>
        <v xml:space="preserve"> </v>
      </c>
      <c r="BB8" s="374" t="str">
        <f>IF(OR(AZ8="TC",AZ8="MT"),'CARGA DOCENTE'!$B128," ")</f>
        <v xml:space="preserve"> </v>
      </c>
      <c r="BC8" s="374" t="str">
        <f>IF(OR(AZ8="TC",AZ8="MT"),'CARGA DOCENTE'!$C128," ")</f>
        <v xml:space="preserve"> </v>
      </c>
      <c r="BD8" s="374" t="str">
        <f>IF(OR(AZ8="TC",AZ8="MT"),'CARGA DOCENTE'!$G128," ")</f>
        <v xml:space="preserve"> </v>
      </c>
      <c r="BE8" s="372">
        <f>'CARGA DOCENTE'!$H129</f>
        <v>0</v>
      </c>
      <c r="BF8" s="373" t="str">
        <f>IF(OR(BE8="TC",BE8="MT"),'CARGA DOCENTE'!$A129," ")</f>
        <v xml:space="preserve"> </v>
      </c>
      <c r="BG8" s="374" t="str">
        <f>IF(OR(BE8="TC",BE8="MT"),'CARGA DOCENTE'!$B129," ")</f>
        <v xml:space="preserve"> </v>
      </c>
      <c r="BH8" s="374" t="str">
        <f>IF(OR(BE8="TC",BE8="MT"),'CARGA DOCENTE'!$C129," ")</f>
        <v xml:space="preserve"> </v>
      </c>
      <c r="BI8" s="374" t="str">
        <f>IF(OR(BE8="TC",BE8="MT"),'CARGA DOCENTE'!$G129," ")</f>
        <v xml:space="preserve"> </v>
      </c>
      <c r="BJ8" s="372">
        <f>'CARGA DOCENTE'!$H130</f>
        <v>0</v>
      </c>
      <c r="BK8" s="373" t="str">
        <f>IF(OR(BJ8="TC",BJ8="MT"),'CARGA DOCENTE'!$A130," ")</f>
        <v xml:space="preserve"> </v>
      </c>
      <c r="BL8" s="374" t="str">
        <f>IF(OR(BJ8="TC",BJ8="MT"),'CARGA DOCENTE'!$B130," ")</f>
        <v xml:space="preserve"> </v>
      </c>
      <c r="BM8" s="374" t="str">
        <f>IF(OR(BJ8="TC",BJ8="MT"),'CARGA DOCENTE'!$C130," ")</f>
        <v xml:space="preserve"> </v>
      </c>
      <c r="BN8" s="374" t="str">
        <f>IF(OR(BJ8="TC",BJ8="MT"),'CARGA DOCENTE'!$G130," ")</f>
        <v xml:space="preserve"> </v>
      </c>
      <c r="BO8" s="372">
        <f>'CARGA DOCENTE'!$H131</f>
        <v>0</v>
      </c>
      <c r="BP8" s="373" t="str">
        <f>IF(OR(BO8="TC",BO8="MT"),'CARGA DOCENTE'!$A131," ")</f>
        <v xml:space="preserve"> </v>
      </c>
      <c r="BQ8" s="374" t="str">
        <f>IF(OR(BO8="TC",BO8="MT"),'CARGA DOCENTE'!$B131," ")</f>
        <v xml:space="preserve"> </v>
      </c>
      <c r="BR8" s="374" t="str">
        <f>IF(OR(BO8="TC",BO8="MT"),'CARGA DOCENTE'!$C131," ")</f>
        <v xml:space="preserve"> </v>
      </c>
      <c r="BS8" s="374" t="str">
        <f>IF(OR(BO8="TC",BO8="MT"),'CARGA DOCENTE'!$G131," ")</f>
        <v xml:space="preserve"> </v>
      </c>
      <c r="BT8" s="372">
        <f>'CARGA DOCENTE'!$H132</f>
        <v>0</v>
      </c>
      <c r="BU8" s="373" t="str">
        <f>IF(OR(BT8="TC",BT8="MT"),'CARGA DOCENTE'!$A132," ")</f>
        <v xml:space="preserve"> </v>
      </c>
      <c r="BV8" s="374" t="str">
        <f>IF(OR(BT8="TC",BT8="MT"),'CARGA DOCENTE'!$B132," ")</f>
        <v xml:space="preserve"> </v>
      </c>
      <c r="BW8" s="374" t="str">
        <f>IF(OR(BT8="TC",BT8="MT"),'CARGA DOCENTE'!$C132," ")</f>
        <v xml:space="preserve"> </v>
      </c>
      <c r="BX8" s="374" t="str">
        <f>IF(OR(BT8="TC",BT8="MT"),'CARGA DOCENTE'!$G132," ")</f>
        <v xml:space="preserve"> </v>
      </c>
    </row>
    <row r="9" spans="1:76" x14ac:dyDescent="0.2">
      <c r="A9" s="378">
        <f>'CARGA DOCENTE'!J136</f>
        <v>0</v>
      </c>
      <c r="B9" s="372">
        <f>'CARGA DOCENTE'!$H136</f>
        <v>0</v>
      </c>
      <c r="C9" s="373" t="str">
        <f>IF(OR(B9="TC",B9="MT"),'CARGA DOCENTE'!$A136," ")</f>
        <v xml:space="preserve"> </v>
      </c>
      <c r="D9" s="374" t="str">
        <f>IF(OR(B9="TC",B9="MT"),'CARGA DOCENTE'!$B136," ")</f>
        <v xml:space="preserve"> </v>
      </c>
      <c r="E9" s="374" t="str">
        <f>IF(OR(B9="TC",B9="MT"),'CARGA DOCENTE'!$C136," ")</f>
        <v xml:space="preserve"> </v>
      </c>
      <c r="F9" s="374" t="str">
        <f>IF(OR(B9="TC",B9="MT"),'CARGA DOCENTE'!$G136," ")</f>
        <v xml:space="preserve"> </v>
      </c>
      <c r="G9" s="372">
        <f>'CARGA DOCENTE'!$H137</f>
        <v>0</v>
      </c>
      <c r="H9" s="373" t="str">
        <f>IF(OR(G9="TC",G9="MT"),'CARGA DOCENTE'!$A137," ")</f>
        <v xml:space="preserve"> </v>
      </c>
      <c r="I9" s="374" t="str">
        <f>IF(OR(G9="TC",G9="MT"),'CARGA DOCENTE'!$B137," ")</f>
        <v xml:space="preserve"> </v>
      </c>
      <c r="J9" s="374" t="str">
        <f>IF(OR(G9="TC",G9="MT"),'CARGA DOCENTE'!$C137," ")</f>
        <v xml:space="preserve"> </v>
      </c>
      <c r="K9" s="374" t="str">
        <f>IF(OR(G9="TC",G9="MT"),'CARGA DOCENTE'!$G137," ")</f>
        <v xml:space="preserve"> </v>
      </c>
      <c r="L9" s="372">
        <f>'CARGA DOCENTE'!$H138</f>
        <v>0</v>
      </c>
      <c r="M9" s="373" t="str">
        <f>IF(OR(L9="TC",L9="MT"),'CARGA DOCENTE'!$A138," ")</f>
        <v xml:space="preserve"> </v>
      </c>
      <c r="N9" s="374" t="str">
        <f>IF(OR(L9="TC",L9="MT"),'CARGA DOCENTE'!$B138," ")</f>
        <v xml:space="preserve"> </v>
      </c>
      <c r="O9" s="374" t="str">
        <f>IF(OR(L9="TC",L9="MT"),'CARGA DOCENTE'!$C138," ")</f>
        <v xml:space="preserve"> </v>
      </c>
      <c r="P9" s="374" t="str">
        <f>IF(OR(L9="TC",L9="MT"),'CARGA DOCENTE'!$G138," ")</f>
        <v xml:space="preserve"> </v>
      </c>
      <c r="Q9" s="372">
        <f>'CARGA DOCENTE'!$H139</f>
        <v>0</v>
      </c>
      <c r="R9" s="373" t="str">
        <f>IF(OR(Q9="TC",Q9="MT"),'CARGA DOCENTE'!$A139," ")</f>
        <v xml:space="preserve"> </v>
      </c>
      <c r="S9" s="374" t="str">
        <f>IF(OR(Q9="TC",Q9="MT"),'CARGA DOCENTE'!$B139," ")</f>
        <v xml:space="preserve"> </v>
      </c>
      <c r="T9" s="374" t="str">
        <f>IF(OR(Q9="TC",Q9="MT"),'CARGA DOCENTE'!$C139," ")</f>
        <v xml:space="preserve"> </v>
      </c>
      <c r="U9" s="374" t="str">
        <f>IF(OR(Q9="TC",Q9="MT"),'CARGA DOCENTE'!$G139," ")</f>
        <v xml:space="preserve"> </v>
      </c>
      <c r="V9" s="372">
        <f>'CARGA DOCENTE'!$H140</f>
        <v>0</v>
      </c>
      <c r="W9" s="373" t="str">
        <f>IF(OR(V9="TC",V9="MT"),'CARGA DOCENTE'!$A140," ")</f>
        <v xml:space="preserve"> </v>
      </c>
      <c r="X9" s="374" t="str">
        <f>IF(OR(V9="TC",V9="MT"),'CARGA DOCENTE'!$B140," ")</f>
        <v xml:space="preserve"> </v>
      </c>
      <c r="Y9" s="374" t="str">
        <f>IF(OR(V9="TC",V9="MT"),'CARGA DOCENTE'!$C140," ")</f>
        <v xml:space="preserve"> </v>
      </c>
      <c r="Z9" s="374" t="str">
        <f>IF(OR(V9="TC",V9="MT"),'CARGA DOCENTE'!$G140," ")</f>
        <v xml:space="preserve"> </v>
      </c>
      <c r="AA9" s="372">
        <f>'CARGA DOCENTE'!$H141</f>
        <v>0</v>
      </c>
      <c r="AB9" s="373" t="str">
        <f>IF(OR(AA9="TC",AA9="MT"),'CARGA DOCENTE'!$A141," ")</f>
        <v xml:space="preserve"> </v>
      </c>
      <c r="AC9" s="374" t="str">
        <f>IF(OR(AA9="TC",AA9="MT"),'CARGA DOCENTE'!$B141," ")</f>
        <v xml:space="preserve"> </v>
      </c>
      <c r="AD9" s="374" t="str">
        <f>IF(OR(AA9="TC",AA9="MT"),'CARGA DOCENTE'!$C141," ")</f>
        <v xml:space="preserve"> </v>
      </c>
      <c r="AE9" s="374" t="str">
        <f>IF(OR(AA9="TC",AA9="MT"),'CARGA DOCENTE'!$G141," ")</f>
        <v xml:space="preserve"> </v>
      </c>
      <c r="AF9" s="372">
        <f>'CARGA DOCENTE'!$H142</f>
        <v>0</v>
      </c>
      <c r="AG9" s="373" t="str">
        <f>IF(OR(AF9="TC",AF9="MT"),'CARGA DOCENTE'!$A142," ")</f>
        <v xml:space="preserve"> </v>
      </c>
      <c r="AH9" s="374" t="str">
        <f>IF(OR(AF9="TC",AF9="MT"),'CARGA DOCENTE'!$B142," ")</f>
        <v xml:space="preserve"> </v>
      </c>
      <c r="AI9" s="374" t="str">
        <f>IF(OR(AF9="TC",AF9="MT"),'CARGA DOCENTE'!$C142," ")</f>
        <v xml:space="preserve"> </v>
      </c>
      <c r="AJ9" s="374" t="str">
        <f>IF(OR(AF9="TC",AF9="MT"),'CARGA DOCENTE'!$G142," ")</f>
        <v xml:space="preserve"> </v>
      </c>
      <c r="AK9" s="372">
        <f>'CARGA DOCENTE'!$H143</f>
        <v>0</v>
      </c>
      <c r="AL9" s="373" t="str">
        <f>IF(OR(AK9="TC",AK9="MT"),'CARGA DOCENTE'!$A143," ")</f>
        <v xml:space="preserve"> </v>
      </c>
      <c r="AM9" s="374" t="str">
        <f>IF(OR(AK9="TC",AK9="MT"),'CARGA DOCENTE'!$B143," ")</f>
        <v xml:space="preserve"> </v>
      </c>
      <c r="AN9" s="374" t="str">
        <f>IF(OR(AK9="TC",AK9="MT"),'CARGA DOCENTE'!$C143," ")</f>
        <v xml:space="preserve"> </v>
      </c>
      <c r="AO9" s="374" t="str">
        <f>IF(OR(AK9="TC",AK9="MT"),'CARGA DOCENTE'!$G143," ")</f>
        <v xml:space="preserve"> </v>
      </c>
      <c r="AP9" s="372">
        <f>'CARGA DOCENTE'!$H144</f>
        <v>0</v>
      </c>
      <c r="AQ9" s="373" t="str">
        <f>IF(OR(AP9="TC",AP9="MT"),'CARGA DOCENTE'!$A144," ")</f>
        <v xml:space="preserve"> </v>
      </c>
      <c r="AR9" s="374" t="str">
        <f>IF(OR(AP9="TC",AP9="MT"),'CARGA DOCENTE'!$B144," ")</f>
        <v xml:space="preserve"> </v>
      </c>
      <c r="AS9" s="374" t="str">
        <f>IF(OR(AP9="TC",AP9="MT"),'CARGA DOCENTE'!$C144," ")</f>
        <v xml:space="preserve"> </v>
      </c>
      <c r="AT9" s="374" t="str">
        <f>IF(OR(AP9="TC",AP9="MT"),'CARGA DOCENTE'!$G144," ")</f>
        <v xml:space="preserve"> </v>
      </c>
      <c r="AU9" s="372">
        <f>'CARGA DOCENTE'!$H145</f>
        <v>0</v>
      </c>
      <c r="AV9" s="373" t="str">
        <f>IF(OR(AU9="TC",AU9="MT"),'CARGA DOCENTE'!$A145," ")</f>
        <v xml:space="preserve"> </v>
      </c>
      <c r="AW9" s="374" t="str">
        <f>IF(OR(AU9="TC",AU9="MT"),'CARGA DOCENTE'!$B145," ")</f>
        <v xml:space="preserve"> </v>
      </c>
      <c r="AX9" s="374" t="str">
        <f>IF(OR(AU9="TC",AU9="MT"),'CARGA DOCENTE'!$C145," ")</f>
        <v xml:space="preserve"> </v>
      </c>
      <c r="AY9" s="374" t="str">
        <f>IF(OR(AU9="TC",AU9="MT"),'CARGA DOCENTE'!$G145," ")</f>
        <v xml:space="preserve"> </v>
      </c>
      <c r="AZ9" s="372">
        <f>'CARGA DOCENTE'!$H146</f>
        <v>0</v>
      </c>
      <c r="BA9" s="373" t="str">
        <f>IF(OR(AZ9="TC",AZ9="MT"),'CARGA DOCENTE'!$A146," ")</f>
        <v xml:space="preserve"> </v>
      </c>
      <c r="BB9" s="374" t="str">
        <f>IF(OR(AZ9="TC",AZ9="MT"),'CARGA DOCENTE'!$B146," ")</f>
        <v xml:space="preserve"> </v>
      </c>
      <c r="BC9" s="374" t="str">
        <f>IF(OR(AZ9="TC",AZ9="MT"),'CARGA DOCENTE'!$C146," ")</f>
        <v xml:space="preserve"> </v>
      </c>
      <c r="BD9" s="374" t="str">
        <f>IF(OR(AZ9="TC",AZ9="MT"),'CARGA DOCENTE'!$G146," ")</f>
        <v xml:space="preserve"> </v>
      </c>
      <c r="BE9" s="372">
        <f>'CARGA DOCENTE'!$H147</f>
        <v>0</v>
      </c>
      <c r="BF9" s="373" t="str">
        <f>IF(OR(BE9="TC",BE9="MT"),'CARGA DOCENTE'!$A147," ")</f>
        <v xml:space="preserve"> </v>
      </c>
      <c r="BG9" s="374" t="str">
        <f>IF(OR(BE9="TC",BE9="MT"),'CARGA DOCENTE'!$B147," ")</f>
        <v xml:space="preserve"> </v>
      </c>
      <c r="BH9" s="374" t="str">
        <f>IF(OR(BE9="TC",BE9="MT"),'CARGA DOCENTE'!$C147," ")</f>
        <v xml:space="preserve"> </v>
      </c>
      <c r="BI9" s="374" t="str">
        <f>IF(OR(BE9="TC",BE9="MT"),'CARGA DOCENTE'!$G147," ")</f>
        <v xml:space="preserve"> </v>
      </c>
      <c r="BJ9" s="372">
        <f>'CARGA DOCENTE'!$H148</f>
        <v>0</v>
      </c>
      <c r="BK9" s="373" t="str">
        <f>IF(OR(BJ9="TC",BJ9="MT"),'CARGA DOCENTE'!$A148," ")</f>
        <v xml:space="preserve"> </v>
      </c>
      <c r="BL9" s="374" t="str">
        <f>IF(OR(BJ9="TC",BJ9="MT"),'CARGA DOCENTE'!$B148," ")</f>
        <v xml:space="preserve"> </v>
      </c>
      <c r="BM9" s="374" t="str">
        <f>IF(OR(BJ9="TC",BJ9="MT"),'CARGA DOCENTE'!$C148," ")</f>
        <v xml:space="preserve"> </v>
      </c>
      <c r="BN9" s="374" t="str">
        <f>IF(OR(BJ9="TC",BJ9="MT"),'CARGA DOCENTE'!$G148," ")</f>
        <v xml:space="preserve"> </v>
      </c>
      <c r="BO9" s="372">
        <f>'CARGA DOCENTE'!$H149</f>
        <v>0</v>
      </c>
      <c r="BP9" s="373" t="str">
        <f>IF(OR(BO9="TC",BO9="MT"),'CARGA DOCENTE'!$A149," ")</f>
        <v xml:space="preserve"> </v>
      </c>
      <c r="BQ9" s="374" t="str">
        <f>IF(OR(BO9="TC",BO9="MT"),'CARGA DOCENTE'!$B149," ")</f>
        <v xml:space="preserve"> </v>
      </c>
      <c r="BR9" s="374" t="str">
        <f>IF(OR(BO9="TC",BO9="MT"),'CARGA DOCENTE'!$C149," ")</f>
        <v xml:space="preserve"> </v>
      </c>
      <c r="BS9" s="374" t="str">
        <f>IF(OR(BO9="TC",BO9="MT"),'CARGA DOCENTE'!$G149," ")</f>
        <v xml:space="preserve"> </v>
      </c>
      <c r="BT9" s="372">
        <f>'CARGA DOCENTE'!$H150</f>
        <v>0</v>
      </c>
      <c r="BU9" s="373" t="str">
        <f>IF(OR(BT9="TC",BT9="MT"),'CARGA DOCENTE'!$A150," ")</f>
        <v xml:space="preserve"> </v>
      </c>
      <c r="BV9" s="374" t="str">
        <f>IF(OR(BT9="TC",BT9="MT"),'CARGA DOCENTE'!$B150," ")</f>
        <v xml:space="preserve"> </v>
      </c>
      <c r="BW9" s="374" t="str">
        <f>IF(OR(BT9="TC",BT9="MT"),'CARGA DOCENTE'!$C150," ")</f>
        <v xml:space="preserve"> </v>
      </c>
      <c r="BX9" s="374" t="str">
        <f>IF(OR(BT9="TC",BT9="MT"),'CARGA DOCENTE'!$G150," ")</f>
        <v xml:space="preserve"> </v>
      </c>
    </row>
    <row r="10" spans="1:76" x14ac:dyDescent="0.2">
      <c r="A10" s="378">
        <f>'CARGA DOCENTE'!J154</f>
        <v>0</v>
      </c>
      <c r="B10" s="372">
        <f>'CARGA DOCENTE'!$H154</f>
        <v>0</v>
      </c>
      <c r="C10" s="373" t="str">
        <f>IF(OR(B10="TC",B10="MT"),'CARGA DOCENTE'!$A154," ")</f>
        <v xml:space="preserve"> </v>
      </c>
      <c r="D10" s="374" t="str">
        <f>IF(OR(B10="TC",B10="MT"),'CARGA DOCENTE'!$B154," ")</f>
        <v xml:space="preserve"> </v>
      </c>
      <c r="E10" s="374" t="str">
        <f>IF(OR(B10="TC",B10="MT"),'CARGA DOCENTE'!$C154," ")</f>
        <v xml:space="preserve"> </v>
      </c>
      <c r="F10" s="374" t="str">
        <f>IF(OR(B10="TC",B10="MT"),'CARGA DOCENTE'!$G154," ")</f>
        <v xml:space="preserve"> </v>
      </c>
      <c r="G10" s="372">
        <f>'CARGA DOCENTE'!$H155</f>
        <v>0</v>
      </c>
      <c r="H10" s="373" t="str">
        <f>IF(OR(G10="TC",G10="MT"),'CARGA DOCENTE'!$A155," ")</f>
        <v xml:space="preserve"> </v>
      </c>
      <c r="I10" s="374" t="str">
        <f>IF(OR(G10="TC",G10="MT"),'CARGA DOCENTE'!$B155," ")</f>
        <v xml:space="preserve"> </v>
      </c>
      <c r="J10" s="374" t="str">
        <f>IF(OR(G10="TC",G10="MT"),'CARGA DOCENTE'!$C155," ")</f>
        <v xml:space="preserve"> </v>
      </c>
      <c r="K10" s="374" t="str">
        <f>IF(OR(G10="TC",G10="MT"),'CARGA DOCENTE'!$G155," ")</f>
        <v xml:space="preserve"> </v>
      </c>
      <c r="L10" s="372">
        <f>'CARGA DOCENTE'!$H156</f>
        <v>0</v>
      </c>
      <c r="M10" s="373" t="str">
        <f>IF(OR(L10="TC",L10="MT"),'CARGA DOCENTE'!$A156," ")</f>
        <v xml:space="preserve"> </v>
      </c>
      <c r="N10" s="374" t="str">
        <f>IF(OR(L10="TC",L10="MT"),'CARGA DOCENTE'!$B156," ")</f>
        <v xml:space="preserve"> </v>
      </c>
      <c r="O10" s="374" t="str">
        <f>IF(OR(L10="TC",L10="MT"),'CARGA DOCENTE'!$C156," ")</f>
        <v xml:space="preserve"> </v>
      </c>
      <c r="P10" s="374" t="str">
        <f>IF(OR(L10="TC",L10="MT"),'CARGA DOCENTE'!$G156," ")</f>
        <v xml:space="preserve"> </v>
      </c>
      <c r="Q10" s="372">
        <f>'CARGA DOCENTE'!$H157</f>
        <v>0</v>
      </c>
      <c r="R10" s="373" t="str">
        <f>IF(OR(Q10="TC",Q10="MT"),'CARGA DOCENTE'!$A157," ")</f>
        <v xml:space="preserve"> </v>
      </c>
      <c r="S10" s="374" t="str">
        <f>IF(OR(Q10="TC",Q10="MT"),'CARGA DOCENTE'!$B157," ")</f>
        <v xml:space="preserve"> </v>
      </c>
      <c r="T10" s="374" t="str">
        <f>IF(OR(Q10="TC",Q10="MT"),'CARGA DOCENTE'!$C157," ")</f>
        <v xml:space="preserve"> </v>
      </c>
      <c r="U10" s="374" t="str">
        <f>IF(OR(Q10="TC",Q10="MT"),'CARGA DOCENTE'!$G157," ")</f>
        <v xml:space="preserve"> </v>
      </c>
      <c r="V10" s="372">
        <f>'CARGA DOCENTE'!$H158</f>
        <v>0</v>
      </c>
      <c r="W10" s="373" t="str">
        <f>IF(OR(V10="TC",V10="MT"),'CARGA DOCENTE'!$A158," ")</f>
        <v xml:space="preserve"> </v>
      </c>
      <c r="X10" s="374" t="str">
        <f>IF(OR(V10="TC",V10="MT"),'CARGA DOCENTE'!$B158," ")</f>
        <v xml:space="preserve"> </v>
      </c>
      <c r="Y10" s="374" t="str">
        <f>IF(OR(V10="TC",V10="MT"),'CARGA DOCENTE'!$C158," ")</f>
        <v xml:space="preserve"> </v>
      </c>
      <c r="Z10" s="374" t="str">
        <f>IF(OR(V10="TC",V10="MT"),'CARGA DOCENTE'!$G158," ")</f>
        <v xml:space="preserve"> </v>
      </c>
      <c r="AA10" s="372">
        <f>'CARGA DOCENTE'!$H159</f>
        <v>0</v>
      </c>
      <c r="AB10" s="373" t="str">
        <f>IF(OR(AA10="TC",AA10="MT"),'CARGA DOCENTE'!$A159," ")</f>
        <v xml:space="preserve"> </v>
      </c>
      <c r="AC10" s="374" t="str">
        <f>IF(OR(AA10="TC",AA10="MT"),'CARGA DOCENTE'!$B159," ")</f>
        <v xml:space="preserve"> </v>
      </c>
      <c r="AD10" s="374" t="str">
        <f>IF(OR(AA10="TC",AA10="MT"),'CARGA DOCENTE'!$C159," ")</f>
        <v xml:space="preserve"> </v>
      </c>
      <c r="AE10" s="374" t="str">
        <f>IF(OR(AA10="TC",AA10="MT"),'CARGA DOCENTE'!$G159," ")</f>
        <v xml:space="preserve"> </v>
      </c>
      <c r="AF10" s="372">
        <f>'CARGA DOCENTE'!$H160</f>
        <v>0</v>
      </c>
      <c r="AG10" s="373" t="str">
        <f>IF(OR(AF10="TC",AF10="MT"),'CARGA DOCENTE'!$A160," ")</f>
        <v xml:space="preserve"> </v>
      </c>
      <c r="AH10" s="374" t="str">
        <f>IF(OR(AF10="TC",AF10="MT"),'CARGA DOCENTE'!$B160," ")</f>
        <v xml:space="preserve"> </v>
      </c>
      <c r="AI10" s="374" t="str">
        <f>IF(OR(AF10="TC",AF10="MT"),'CARGA DOCENTE'!$C160," ")</f>
        <v xml:space="preserve"> </v>
      </c>
      <c r="AJ10" s="374" t="str">
        <f>IF(OR(AF10="TC",AF10="MT"),'CARGA DOCENTE'!$G160," ")</f>
        <v xml:space="preserve"> </v>
      </c>
      <c r="AK10" s="372">
        <f>'CARGA DOCENTE'!$H161</f>
        <v>0</v>
      </c>
      <c r="AL10" s="373" t="str">
        <f>IF(OR(AK10="TC",AK10="MT"),'CARGA DOCENTE'!$A161," ")</f>
        <v xml:space="preserve"> </v>
      </c>
      <c r="AM10" s="374" t="str">
        <f>IF(OR(AK10="TC",AK10="MT"),'CARGA DOCENTE'!$B161," ")</f>
        <v xml:space="preserve"> </v>
      </c>
      <c r="AN10" s="374" t="str">
        <f>IF(OR(AK10="TC",AK10="MT"),'CARGA DOCENTE'!$C161," ")</f>
        <v xml:space="preserve"> </v>
      </c>
      <c r="AO10" s="374" t="str">
        <f>IF(OR(AK10="TC",AK10="MT"),'CARGA DOCENTE'!$G161," ")</f>
        <v xml:space="preserve"> </v>
      </c>
      <c r="AP10" s="372">
        <f>'CARGA DOCENTE'!$H162</f>
        <v>0</v>
      </c>
      <c r="AQ10" s="373" t="str">
        <f>IF(OR(AP10="TC",AP10="MT"),'CARGA DOCENTE'!$A162," ")</f>
        <v xml:space="preserve"> </v>
      </c>
      <c r="AR10" s="374" t="str">
        <f>IF(OR(AP10="TC",AP10="MT"),'CARGA DOCENTE'!$B162," ")</f>
        <v xml:space="preserve"> </v>
      </c>
      <c r="AS10" s="374" t="str">
        <f>IF(OR(AP10="TC",AP10="MT"),'CARGA DOCENTE'!$C162," ")</f>
        <v xml:space="preserve"> </v>
      </c>
      <c r="AT10" s="374" t="str">
        <f>IF(OR(AP10="TC",AP10="MT"),'CARGA DOCENTE'!$G162," ")</f>
        <v xml:space="preserve"> </v>
      </c>
      <c r="AU10" s="372">
        <f>'CARGA DOCENTE'!$H163</f>
        <v>0</v>
      </c>
      <c r="AV10" s="373" t="str">
        <f>IF(OR(AU10="TC",AU10="MT"),'CARGA DOCENTE'!$A163," ")</f>
        <v xml:space="preserve"> </v>
      </c>
      <c r="AW10" s="374" t="str">
        <f>IF(OR(AU10="TC",AU10="MT"),'CARGA DOCENTE'!$B163," ")</f>
        <v xml:space="preserve"> </v>
      </c>
      <c r="AX10" s="374" t="str">
        <f>IF(OR(AU10="TC",AU10="MT"),'CARGA DOCENTE'!$C163," ")</f>
        <v xml:space="preserve"> </v>
      </c>
      <c r="AY10" s="374" t="str">
        <f>IF(OR(AU10="TC",AU10="MT"),'CARGA DOCENTE'!$G163," ")</f>
        <v xml:space="preserve"> </v>
      </c>
      <c r="AZ10" s="372">
        <f>'CARGA DOCENTE'!$H164</f>
        <v>0</v>
      </c>
      <c r="BA10" s="373" t="str">
        <f>IF(OR(AZ10="TC",AZ10="MT"),'CARGA DOCENTE'!$A164," ")</f>
        <v xml:space="preserve"> </v>
      </c>
      <c r="BB10" s="374" t="str">
        <f>IF(OR(AZ10="TC",AZ10="MT"),'CARGA DOCENTE'!$B164," ")</f>
        <v xml:space="preserve"> </v>
      </c>
      <c r="BC10" s="374" t="str">
        <f>IF(OR(AZ10="TC",AZ10="MT"),'CARGA DOCENTE'!$C164," ")</f>
        <v xml:space="preserve"> </v>
      </c>
      <c r="BD10" s="374" t="str">
        <f>IF(OR(AZ10="TC",AZ10="MT"),'CARGA DOCENTE'!$G164," ")</f>
        <v xml:space="preserve"> </v>
      </c>
      <c r="BE10" s="372">
        <f>'CARGA DOCENTE'!$H165</f>
        <v>0</v>
      </c>
      <c r="BF10" s="373" t="str">
        <f>IF(OR(BE10="TC",BE10="MT"),'CARGA DOCENTE'!$A165," ")</f>
        <v xml:space="preserve"> </v>
      </c>
      <c r="BG10" s="374" t="str">
        <f>IF(OR(BE10="TC",BE10="MT"),'CARGA DOCENTE'!$B165," ")</f>
        <v xml:space="preserve"> </v>
      </c>
      <c r="BH10" s="374" t="str">
        <f>IF(OR(BE10="TC",BE10="MT"),'CARGA DOCENTE'!$C165," ")</f>
        <v xml:space="preserve"> </v>
      </c>
      <c r="BI10" s="374" t="str">
        <f>IF(OR(BE10="TC",BE10="MT"),'CARGA DOCENTE'!$G165," ")</f>
        <v xml:space="preserve"> </v>
      </c>
      <c r="BJ10" s="372">
        <f>'CARGA DOCENTE'!$H166</f>
        <v>0</v>
      </c>
      <c r="BK10" s="373" t="str">
        <f>IF(OR(BJ10="TC",BJ10="MT"),'CARGA DOCENTE'!$A166," ")</f>
        <v xml:space="preserve"> </v>
      </c>
      <c r="BL10" s="374" t="str">
        <f>IF(OR(BJ10="TC",BJ10="MT"),'CARGA DOCENTE'!$B166," ")</f>
        <v xml:space="preserve"> </v>
      </c>
      <c r="BM10" s="374" t="str">
        <f>IF(OR(BJ10="TC",BJ10="MT"),'CARGA DOCENTE'!$C166," ")</f>
        <v xml:space="preserve"> </v>
      </c>
      <c r="BN10" s="374" t="str">
        <f>IF(OR(BJ10="TC",BJ10="MT"),'CARGA DOCENTE'!$G166," ")</f>
        <v xml:space="preserve"> </v>
      </c>
      <c r="BO10" s="372">
        <f>'CARGA DOCENTE'!$H167</f>
        <v>0</v>
      </c>
      <c r="BP10" s="373" t="str">
        <f>IF(OR(BO10="TC",BO10="MT"),'CARGA DOCENTE'!$A167," ")</f>
        <v xml:space="preserve"> </v>
      </c>
      <c r="BQ10" s="374" t="str">
        <f>IF(OR(BO10="TC",BO10="MT"),'CARGA DOCENTE'!$B167," ")</f>
        <v xml:space="preserve"> </v>
      </c>
      <c r="BR10" s="374" t="str">
        <f>IF(OR(BO10="TC",BO10="MT"),'CARGA DOCENTE'!$C167," ")</f>
        <v xml:space="preserve"> </v>
      </c>
      <c r="BS10" s="374" t="str">
        <f>IF(OR(BO10="TC",BO10="MT"),'CARGA DOCENTE'!$G167," ")</f>
        <v xml:space="preserve"> </v>
      </c>
      <c r="BT10" s="372">
        <f>'CARGA DOCENTE'!$H168</f>
        <v>0</v>
      </c>
      <c r="BU10" s="373" t="str">
        <f>IF(OR(BT10="TC",BT10="MT"),'CARGA DOCENTE'!$A168," ")</f>
        <v xml:space="preserve"> </v>
      </c>
      <c r="BV10" s="374" t="str">
        <f>IF(OR(BT10="TC",BT10="MT"),'CARGA DOCENTE'!$B168," ")</f>
        <v xml:space="preserve"> </v>
      </c>
      <c r="BW10" s="374" t="str">
        <f>IF(OR(BT10="TC",BT10="MT"),'CARGA DOCENTE'!$C168," ")</f>
        <v xml:space="preserve"> </v>
      </c>
      <c r="BX10" s="374" t="str">
        <f>IF(OR(BT10="TC",BT10="MT"),'CARGA DOCENTE'!$G168," ")</f>
        <v xml:space="preserve"> </v>
      </c>
    </row>
    <row r="11" spans="1:76" x14ac:dyDescent="0.2">
      <c r="A11" s="378">
        <f>'CARGA DOCENTE'!J172</f>
        <v>0</v>
      </c>
      <c r="B11" s="372">
        <f>'CARGA DOCENTE'!$H172</f>
        <v>0</v>
      </c>
      <c r="C11" s="373" t="str">
        <f>IF(OR(B11="TC",B11="MT"),'CARGA DOCENTE'!$A172," ")</f>
        <v xml:space="preserve"> </v>
      </c>
      <c r="D11" s="374" t="str">
        <f>IF(OR(B11="TC",B11="MT"),'CARGA DOCENTE'!$B172," ")</f>
        <v xml:space="preserve"> </v>
      </c>
      <c r="E11" s="374" t="str">
        <f>IF(OR(B11="TC",B11="MT"),'CARGA DOCENTE'!$C172," ")</f>
        <v xml:space="preserve"> </v>
      </c>
      <c r="F11" s="374" t="str">
        <f>IF(OR(B11="TC",B11="MT"),'CARGA DOCENTE'!$G172," ")</f>
        <v xml:space="preserve"> </v>
      </c>
      <c r="G11" s="372">
        <f>'CARGA DOCENTE'!$H173</f>
        <v>0</v>
      </c>
      <c r="H11" s="373" t="str">
        <f>IF(OR(G11="TC",G11="MT"),'CARGA DOCENTE'!$A173," ")</f>
        <v xml:space="preserve"> </v>
      </c>
      <c r="I11" s="374" t="str">
        <f>IF(OR(G11="TC",G11="MT"),'CARGA DOCENTE'!$B173," ")</f>
        <v xml:space="preserve"> </v>
      </c>
      <c r="J11" s="374" t="str">
        <f>IF(OR(G11="TC",G11="MT"),'CARGA DOCENTE'!$C173," ")</f>
        <v xml:space="preserve"> </v>
      </c>
      <c r="K11" s="374" t="str">
        <f>IF(OR(G11="TC",G11="MT"),'CARGA DOCENTE'!$G173," ")</f>
        <v xml:space="preserve"> </v>
      </c>
      <c r="L11" s="372">
        <f>'CARGA DOCENTE'!$H174</f>
        <v>0</v>
      </c>
      <c r="M11" s="373" t="str">
        <f>IF(OR(L11="TC",L11="MT"),'CARGA DOCENTE'!$A174," ")</f>
        <v xml:space="preserve"> </v>
      </c>
      <c r="N11" s="374" t="str">
        <f>IF(OR(L11="TC",L11="MT"),'CARGA DOCENTE'!$B174," ")</f>
        <v xml:space="preserve"> </v>
      </c>
      <c r="O11" s="374" t="str">
        <f>IF(OR(L11="TC",L11="MT"),'CARGA DOCENTE'!$C174," ")</f>
        <v xml:space="preserve"> </v>
      </c>
      <c r="P11" s="374" t="str">
        <f>IF(OR(L11="TC",L11="MT"),'CARGA DOCENTE'!$G174," ")</f>
        <v xml:space="preserve"> </v>
      </c>
      <c r="Q11" s="372">
        <f>'CARGA DOCENTE'!$H175</f>
        <v>0</v>
      </c>
      <c r="R11" s="373" t="str">
        <f>IF(OR(Q11="TC",Q11="MT"),'CARGA DOCENTE'!$A175," ")</f>
        <v xml:space="preserve"> </v>
      </c>
      <c r="S11" s="374" t="str">
        <f>IF(OR(Q11="TC",Q11="MT"),'CARGA DOCENTE'!$B175," ")</f>
        <v xml:space="preserve"> </v>
      </c>
      <c r="T11" s="374" t="str">
        <f>IF(OR(Q11="TC",Q11="MT"),'CARGA DOCENTE'!$C175," ")</f>
        <v xml:space="preserve"> </v>
      </c>
      <c r="U11" s="374" t="str">
        <f>IF(OR(Q11="TC",Q11="MT"),'CARGA DOCENTE'!$G175," ")</f>
        <v xml:space="preserve"> </v>
      </c>
      <c r="V11" s="372">
        <f>'CARGA DOCENTE'!$H176</f>
        <v>0</v>
      </c>
      <c r="W11" s="373" t="str">
        <f>IF(OR(V11="TC",V11="MT"),'CARGA DOCENTE'!$A176," ")</f>
        <v xml:space="preserve"> </v>
      </c>
      <c r="X11" s="374" t="str">
        <f>IF(OR(V11="TC",V11="MT"),'CARGA DOCENTE'!$B176," ")</f>
        <v xml:space="preserve"> </v>
      </c>
      <c r="Y11" s="374" t="str">
        <f>IF(OR(V11="TC",V11="MT"),'CARGA DOCENTE'!$C176," ")</f>
        <v xml:space="preserve"> </v>
      </c>
      <c r="Z11" s="374" t="str">
        <f>IF(OR(V11="TC",V11="MT"),'CARGA DOCENTE'!$G176," ")</f>
        <v xml:space="preserve"> </v>
      </c>
      <c r="AA11" s="372">
        <f>'CARGA DOCENTE'!$H177</f>
        <v>0</v>
      </c>
      <c r="AB11" s="373" t="str">
        <f>IF(OR(AA11="TC",AA11="MT"),'CARGA DOCENTE'!$A177," ")</f>
        <v xml:space="preserve"> </v>
      </c>
      <c r="AC11" s="374" t="str">
        <f>IF(OR(AA11="TC",AA11="MT"),'CARGA DOCENTE'!$B177," ")</f>
        <v xml:space="preserve"> </v>
      </c>
      <c r="AD11" s="374" t="str">
        <f>IF(OR(AA11="TC",AA11="MT"),'CARGA DOCENTE'!$C177," ")</f>
        <v xml:space="preserve"> </v>
      </c>
      <c r="AE11" s="374" t="str">
        <f>IF(OR(AA11="TC",AA11="MT"),'CARGA DOCENTE'!$G177," ")</f>
        <v xml:space="preserve"> </v>
      </c>
      <c r="AF11" s="372">
        <f>'CARGA DOCENTE'!$H178</f>
        <v>0</v>
      </c>
      <c r="AG11" s="373" t="str">
        <f>IF(OR(AF11="TC",AF11="MT"),'CARGA DOCENTE'!$A178," ")</f>
        <v xml:space="preserve"> </v>
      </c>
      <c r="AH11" s="374" t="str">
        <f>IF(OR(AF11="TC",AF11="MT"),'CARGA DOCENTE'!$B178," ")</f>
        <v xml:space="preserve"> </v>
      </c>
      <c r="AI11" s="374" t="str">
        <f>IF(OR(AF11="TC",AF11="MT"),'CARGA DOCENTE'!$C178," ")</f>
        <v xml:space="preserve"> </v>
      </c>
      <c r="AJ11" s="374" t="str">
        <f>IF(OR(AF11="TC",AF11="MT"),'CARGA DOCENTE'!$G178," ")</f>
        <v xml:space="preserve"> </v>
      </c>
      <c r="AK11" s="372">
        <f>'CARGA DOCENTE'!$H179</f>
        <v>0</v>
      </c>
      <c r="AL11" s="373" t="str">
        <f>IF(OR(AK11="TC",AK11="MT"),'CARGA DOCENTE'!$A179," ")</f>
        <v xml:space="preserve"> </v>
      </c>
      <c r="AM11" s="374" t="str">
        <f>IF(OR(AK11="TC",AK11="MT"),'CARGA DOCENTE'!$B179," ")</f>
        <v xml:space="preserve"> </v>
      </c>
      <c r="AN11" s="374" t="str">
        <f>IF(OR(AK11="TC",AK11="MT"),'CARGA DOCENTE'!$C179," ")</f>
        <v xml:space="preserve"> </v>
      </c>
      <c r="AO11" s="374" t="str">
        <f>IF(OR(AK11="TC",AK11="MT"),'CARGA DOCENTE'!$G179," ")</f>
        <v xml:space="preserve"> </v>
      </c>
      <c r="AP11" s="372">
        <f>'CARGA DOCENTE'!$H180</f>
        <v>0</v>
      </c>
      <c r="AQ11" s="373" t="str">
        <f>IF(OR(AP11="TC",AP11="MT"),'CARGA DOCENTE'!$A180," ")</f>
        <v xml:space="preserve"> </v>
      </c>
      <c r="AR11" s="374" t="str">
        <f>IF(OR(AP11="TC",AP11="MT"),'CARGA DOCENTE'!$B180," ")</f>
        <v xml:space="preserve"> </v>
      </c>
      <c r="AS11" s="374" t="str">
        <f>IF(OR(AP11="TC",AP11="MT"),'CARGA DOCENTE'!$C180," ")</f>
        <v xml:space="preserve"> </v>
      </c>
      <c r="AT11" s="374" t="str">
        <f>IF(OR(AP11="TC",AP11="MT"),'CARGA DOCENTE'!$G180," ")</f>
        <v xml:space="preserve"> </v>
      </c>
      <c r="AU11" s="372">
        <f>'CARGA DOCENTE'!$H181</f>
        <v>0</v>
      </c>
      <c r="AV11" s="373" t="str">
        <f>IF(OR(AU11="TC",AU11="MT"),'CARGA DOCENTE'!$A181," ")</f>
        <v xml:space="preserve"> </v>
      </c>
      <c r="AW11" s="374" t="str">
        <f>IF(OR(AU11="TC",AU11="MT"),'CARGA DOCENTE'!$B181," ")</f>
        <v xml:space="preserve"> </v>
      </c>
      <c r="AX11" s="374" t="str">
        <f>IF(OR(AU11="TC",AU11="MT"),'CARGA DOCENTE'!$C181," ")</f>
        <v xml:space="preserve"> </v>
      </c>
      <c r="AY11" s="374" t="str">
        <f>IF(OR(AU11="TC",AU11="MT"),'CARGA DOCENTE'!$G181," ")</f>
        <v xml:space="preserve"> </v>
      </c>
      <c r="AZ11" s="372">
        <f>'CARGA DOCENTE'!$H182</f>
        <v>0</v>
      </c>
      <c r="BA11" s="373" t="str">
        <f>IF(OR(AZ11="TC",AZ11="MT"),'CARGA DOCENTE'!$A182," ")</f>
        <v xml:space="preserve"> </v>
      </c>
      <c r="BB11" s="374" t="str">
        <f>IF(OR(AZ11="TC",AZ11="MT"),'CARGA DOCENTE'!$B182," ")</f>
        <v xml:space="preserve"> </v>
      </c>
      <c r="BC11" s="374" t="str">
        <f>IF(OR(AZ11="TC",AZ11="MT"),'CARGA DOCENTE'!$C182," ")</f>
        <v xml:space="preserve"> </v>
      </c>
      <c r="BD11" s="374" t="str">
        <f>IF(OR(AZ11="TC",AZ11="MT"),'CARGA DOCENTE'!$G182," ")</f>
        <v xml:space="preserve"> </v>
      </c>
      <c r="BE11" s="372">
        <f>'CARGA DOCENTE'!$H183</f>
        <v>0</v>
      </c>
      <c r="BF11" s="373" t="str">
        <f>IF(OR(BE11="TC",BE11="MT"),'CARGA DOCENTE'!$A183," ")</f>
        <v xml:space="preserve"> </v>
      </c>
      <c r="BG11" s="374" t="str">
        <f>IF(OR(BE11="TC",BE11="MT"),'CARGA DOCENTE'!$B183," ")</f>
        <v xml:space="preserve"> </v>
      </c>
      <c r="BH11" s="374" t="str">
        <f>IF(OR(BE11="TC",BE11="MT"),'CARGA DOCENTE'!$C183," ")</f>
        <v xml:space="preserve"> </v>
      </c>
      <c r="BI11" s="374" t="str">
        <f>IF(OR(BE11="TC",BE11="MT"),'CARGA DOCENTE'!$G183," ")</f>
        <v xml:space="preserve"> </v>
      </c>
      <c r="BJ11" s="372">
        <f>'CARGA DOCENTE'!$H184</f>
        <v>0</v>
      </c>
      <c r="BK11" s="373" t="str">
        <f>IF(OR(BJ11="TC",BJ11="MT"),'CARGA DOCENTE'!$A184," ")</f>
        <v xml:space="preserve"> </v>
      </c>
      <c r="BL11" s="374" t="str">
        <f>IF(OR(BJ11="TC",BJ11="MT"),'CARGA DOCENTE'!$B184," ")</f>
        <v xml:space="preserve"> </v>
      </c>
      <c r="BM11" s="374" t="str">
        <f>IF(OR(BJ11="TC",BJ11="MT"),'CARGA DOCENTE'!$C184," ")</f>
        <v xml:space="preserve"> </v>
      </c>
      <c r="BN11" s="374" t="str">
        <f>IF(OR(BJ11="TC",BJ11="MT"),'CARGA DOCENTE'!$G184," ")</f>
        <v xml:space="preserve"> </v>
      </c>
      <c r="BO11" s="372">
        <f>'CARGA DOCENTE'!$H185</f>
        <v>0</v>
      </c>
      <c r="BP11" s="373" t="str">
        <f>IF(OR(BO11="TC",BO11="MT"),'CARGA DOCENTE'!$A185," ")</f>
        <v xml:space="preserve"> </v>
      </c>
      <c r="BQ11" s="374" t="str">
        <f>IF(OR(BO11="TC",BO11="MT"),'CARGA DOCENTE'!$B185," ")</f>
        <v xml:space="preserve"> </v>
      </c>
      <c r="BR11" s="374" t="str">
        <f>IF(OR(BO11="TC",BO11="MT"),'CARGA DOCENTE'!$C185," ")</f>
        <v xml:space="preserve"> </v>
      </c>
      <c r="BS11" s="374" t="str">
        <f>IF(OR(BO11="TC",BO11="MT"),'CARGA DOCENTE'!$G185," ")</f>
        <v xml:space="preserve"> </v>
      </c>
      <c r="BT11" s="372">
        <f>'CARGA DOCENTE'!$H186</f>
        <v>0</v>
      </c>
      <c r="BU11" s="373" t="str">
        <f>IF(OR(BT11="TC",BT11="MT"),'CARGA DOCENTE'!$A186," ")</f>
        <v xml:space="preserve"> </v>
      </c>
      <c r="BV11" s="374" t="str">
        <f>IF(OR(BT11="TC",BT11="MT"),'CARGA DOCENTE'!$B186," ")</f>
        <v xml:space="preserve"> </v>
      </c>
      <c r="BW11" s="374" t="str">
        <f>IF(OR(BT11="TC",BT11="MT"),'CARGA DOCENTE'!$C186," ")</f>
        <v xml:space="preserve"> </v>
      </c>
      <c r="BX11" s="374" t="str">
        <f>IF(OR(BT11="TC",BT11="MT"),'CARGA DOCENTE'!$G186," ")</f>
        <v xml:space="preserve"> </v>
      </c>
    </row>
    <row r="12" spans="1:76" x14ac:dyDescent="0.2">
      <c r="A12" s="378">
        <f>'CARGA DOCENTE'!J190</f>
        <v>0</v>
      </c>
      <c r="B12" s="372">
        <f>'CARGA DOCENTE'!$H190</f>
        <v>0</v>
      </c>
      <c r="C12" s="373" t="str">
        <f>IF(OR(B12="TC",B12="MT"),'CARGA DOCENTE'!$A190," ")</f>
        <v xml:space="preserve"> </v>
      </c>
      <c r="D12" s="374" t="str">
        <f>IF(OR(B12="TC",B12="MT"),'CARGA DOCENTE'!$B190," ")</f>
        <v xml:space="preserve"> </v>
      </c>
      <c r="E12" s="374" t="str">
        <f>IF(OR(B12="TC",B12="MT"),'CARGA DOCENTE'!$C190," ")</f>
        <v xml:space="preserve"> </v>
      </c>
      <c r="F12" s="374" t="str">
        <f>IF(OR(B12="TC",B12="MT"),'CARGA DOCENTE'!$G190," ")</f>
        <v xml:space="preserve"> </v>
      </c>
      <c r="G12" s="372">
        <f>'CARGA DOCENTE'!$H191</f>
        <v>0</v>
      </c>
      <c r="H12" s="373" t="str">
        <f>IF(OR(G12="TC",G12="MT"),'CARGA DOCENTE'!$A191," ")</f>
        <v xml:space="preserve"> </v>
      </c>
      <c r="I12" s="374" t="str">
        <f>IF(OR(G12="TC",G12="MT"),'CARGA DOCENTE'!$B191," ")</f>
        <v xml:space="preserve"> </v>
      </c>
      <c r="J12" s="374" t="str">
        <f>IF(OR(G12="TC",G12="MT"),'CARGA DOCENTE'!$C191," ")</f>
        <v xml:space="preserve"> </v>
      </c>
      <c r="K12" s="374" t="str">
        <f>IF(OR(G12="TC",G12="MT"),'CARGA DOCENTE'!$G191," ")</f>
        <v xml:space="preserve"> </v>
      </c>
      <c r="L12" s="372">
        <f>'CARGA DOCENTE'!$H192</f>
        <v>0</v>
      </c>
      <c r="M12" s="373" t="str">
        <f>IF(OR(L12="TC",L12="MT"),'CARGA DOCENTE'!$A192," ")</f>
        <v xml:space="preserve"> </v>
      </c>
      <c r="N12" s="374" t="str">
        <f>IF(OR(L12="TC",L12="MT"),'CARGA DOCENTE'!$B192," ")</f>
        <v xml:space="preserve"> </v>
      </c>
      <c r="O12" s="374" t="str">
        <f>IF(OR(L12="TC",L12="MT"),'CARGA DOCENTE'!$C192," ")</f>
        <v xml:space="preserve"> </v>
      </c>
      <c r="P12" s="374" t="str">
        <f>IF(OR(L12="TC",L12="MT"),'CARGA DOCENTE'!$G192," ")</f>
        <v xml:space="preserve"> </v>
      </c>
      <c r="Q12" s="372">
        <f>'CARGA DOCENTE'!$H193</f>
        <v>0</v>
      </c>
      <c r="R12" s="373" t="str">
        <f>IF(OR(Q12="TC",Q12="MT"),'CARGA DOCENTE'!$A193," ")</f>
        <v xml:space="preserve"> </v>
      </c>
      <c r="S12" s="374" t="str">
        <f>IF(OR(Q12="TC",Q12="MT"),'CARGA DOCENTE'!$B193," ")</f>
        <v xml:space="preserve"> </v>
      </c>
      <c r="T12" s="374" t="str">
        <f>IF(OR(Q12="TC",Q12="MT"),'CARGA DOCENTE'!$C193," ")</f>
        <v xml:space="preserve"> </v>
      </c>
      <c r="U12" s="374" t="str">
        <f>IF(OR(Q12="TC",Q12="MT"),'CARGA DOCENTE'!$G193," ")</f>
        <v xml:space="preserve"> </v>
      </c>
      <c r="V12" s="372">
        <f>'CARGA DOCENTE'!$H194</f>
        <v>0</v>
      </c>
      <c r="W12" s="373" t="str">
        <f>IF(OR(V12="TC",V12="MT"),'CARGA DOCENTE'!$A194," ")</f>
        <v xml:space="preserve"> </v>
      </c>
      <c r="X12" s="374" t="str">
        <f>IF(OR(V12="TC",V12="MT"),'CARGA DOCENTE'!$B194," ")</f>
        <v xml:space="preserve"> </v>
      </c>
      <c r="Y12" s="374" t="str">
        <f>IF(OR(V12="TC",V12="MT"),'CARGA DOCENTE'!$C194," ")</f>
        <v xml:space="preserve"> </v>
      </c>
      <c r="Z12" s="374" t="str">
        <f>IF(OR(V12="TC",V12="MT"),'CARGA DOCENTE'!$G194," ")</f>
        <v xml:space="preserve"> </v>
      </c>
      <c r="AA12" s="372">
        <f>'CARGA DOCENTE'!$H195</f>
        <v>0</v>
      </c>
      <c r="AB12" s="373" t="str">
        <f>IF(OR(AA12="TC",AA12="MT"),'CARGA DOCENTE'!$A195," ")</f>
        <v xml:space="preserve"> </v>
      </c>
      <c r="AC12" s="374" t="str">
        <f>IF(OR(AA12="TC",AA12="MT"),'CARGA DOCENTE'!$B195," ")</f>
        <v xml:space="preserve"> </v>
      </c>
      <c r="AD12" s="374" t="str">
        <f>IF(OR(AA12="TC",AA12="MT"),'CARGA DOCENTE'!$C195," ")</f>
        <v xml:space="preserve"> </v>
      </c>
      <c r="AE12" s="374" t="str">
        <f>IF(OR(AA12="TC",AA12="MT"),'CARGA DOCENTE'!$G195," ")</f>
        <v xml:space="preserve"> </v>
      </c>
      <c r="AF12" s="372">
        <f>'CARGA DOCENTE'!$H196</f>
        <v>0</v>
      </c>
      <c r="AG12" s="373" t="str">
        <f>IF(OR(AF12="TC",AF12="MT"),'CARGA DOCENTE'!$A196," ")</f>
        <v xml:space="preserve"> </v>
      </c>
      <c r="AH12" s="374" t="str">
        <f>IF(OR(AF12="TC",AF12="MT"),'CARGA DOCENTE'!$B196," ")</f>
        <v xml:space="preserve"> </v>
      </c>
      <c r="AI12" s="374" t="str">
        <f>IF(OR(AF12="TC",AF12="MT"),'CARGA DOCENTE'!$C196," ")</f>
        <v xml:space="preserve"> </v>
      </c>
      <c r="AJ12" s="374" t="str">
        <f>IF(OR(AF12="TC",AF12="MT"),'CARGA DOCENTE'!$G196," ")</f>
        <v xml:space="preserve"> </v>
      </c>
      <c r="AK12" s="372">
        <f>'CARGA DOCENTE'!$H197</f>
        <v>0</v>
      </c>
      <c r="AL12" s="373" t="str">
        <f>IF(OR(AK12="TC",AK12="MT"),'CARGA DOCENTE'!$A197," ")</f>
        <v xml:space="preserve"> </v>
      </c>
      <c r="AM12" s="374" t="str">
        <f>IF(OR(AK12="TC",AK12="MT"),'CARGA DOCENTE'!$B197," ")</f>
        <v xml:space="preserve"> </v>
      </c>
      <c r="AN12" s="374" t="str">
        <f>IF(OR(AK12="TC",AK12="MT"),'CARGA DOCENTE'!$C197," ")</f>
        <v xml:space="preserve"> </v>
      </c>
      <c r="AO12" s="374" t="str">
        <f>IF(OR(AK12="TC",AK12="MT"),'CARGA DOCENTE'!$G197," ")</f>
        <v xml:space="preserve"> </v>
      </c>
      <c r="AP12" s="372">
        <f>'CARGA DOCENTE'!$H198</f>
        <v>0</v>
      </c>
      <c r="AQ12" s="373" t="str">
        <f>IF(OR(AP12="TC",AP12="MT"),'CARGA DOCENTE'!$A198," ")</f>
        <v xml:space="preserve"> </v>
      </c>
      <c r="AR12" s="374" t="str">
        <f>IF(OR(AP12="TC",AP12="MT"),'CARGA DOCENTE'!$B198," ")</f>
        <v xml:space="preserve"> </v>
      </c>
      <c r="AS12" s="374" t="str">
        <f>IF(OR(AP12="TC",AP12="MT"),'CARGA DOCENTE'!$C198," ")</f>
        <v xml:space="preserve"> </v>
      </c>
      <c r="AT12" s="374" t="str">
        <f>IF(OR(AP12="TC",AP12="MT"),'CARGA DOCENTE'!$G198," ")</f>
        <v xml:space="preserve"> </v>
      </c>
      <c r="AU12" s="372">
        <f>'CARGA DOCENTE'!$H199</f>
        <v>0</v>
      </c>
      <c r="AV12" s="373" t="str">
        <f>IF(OR(AU12="TC",AU12="MT"),'CARGA DOCENTE'!$A199," ")</f>
        <v xml:space="preserve"> </v>
      </c>
      <c r="AW12" s="374" t="str">
        <f>IF(OR(AU12="TC",AU12="MT"),'CARGA DOCENTE'!$B199," ")</f>
        <v xml:space="preserve"> </v>
      </c>
      <c r="AX12" s="374" t="str">
        <f>IF(OR(AU12="TC",AU12="MT"),'CARGA DOCENTE'!$C199," ")</f>
        <v xml:space="preserve"> </v>
      </c>
      <c r="AY12" s="374" t="str">
        <f>IF(OR(AU12="TC",AU12="MT"),'CARGA DOCENTE'!$G199," ")</f>
        <v xml:space="preserve"> </v>
      </c>
      <c r="AZ12" s="372">
        <f>'CARGA DOCENTE'!$H200</f>
        <v>0</v>
      </c>
      <c r="BA12" s="373" t="str">
        <f>IF(OR(AZ12="TC",AZ12="MT"),'CARGA DOCENTE'!$A200," ")</f>
        <v xml:space="preserve"> </v>
      </c>
      <c r="BB12" s="374" t="str">
        <f>IF(OR(AZ12="TC",AZ12="MT"),'CARGA DOCENTE'!$B200," ")</f>
        <v xml:space="preserve"> </v>
      </c>
      <c r="BC12" s="374" t="str">
        <f>IF(OR(AZ12="TC",AZ12="MT"),'CARGA DOCENTE'!$C200," ")</f>
        <v xml:space="preserve"> </v>
      </c>
      <c r="BD12" s="374" t="str">
        <f>IF(OR(AZ12="TC",AZ12="MT"),'CARGA DOCENTE'!$G200," ")</f>
        <v xml:space="preserve"> </v>
      </c>
      <c r="BE12" s="372">
        <f>'CARGA DOCENTE'!$H201</f>
        <v>0</v>
      </c>
      <c r="BF12" s="373" t="str">
        <f>IF(OR(BE12="TC",BE12="MT"),'CARGA DOCENTE'!$A201," ")</f>
        <v xml:space="preserve"> </v>
      </c>
      <c r="BG12" s="374" t="str">
        <f>IF(OR(BE12="TC",BE12="MT"),'CARGA DOCENTE'!$B201," ")</f>
        <v xml:space="preserve"> </v>
      </c>
      <c r="BH12" s="374" t="str">
        <f>IF(OR(BE12="TC",BE12="MT"),'CARGA DOCENTE'!$C201," ")</f>
        <v xml:space="preserve"> </v>
      </c>
      <c r="BI12" s="374" t="str">
        <f>IF(OR(BE12="TC",BE12="MT"),'CARGA DOCENTE'!$G201," ")</f>
        <v xml:space="preserve"> </v>
      </c>
      <c r="BJ12" s="372">
        <f>'CARGA DOCENTE'!$H202</f>
        <v>0</v>
      </c>
      <c r="BK12" s="373" t="str">
        <f>IF(OR(BJ12="TC",BJ12="MT"),'CARGA DOCENTE'!$A202," ")</f>
        <v xml:space="preserve"> </v>
      </c>
      <c r="BL12" s="374" t="str">
        <f>IF(OR(BJ12="TC",BJ12="MT"),'CARGA DOCENTE'!$B202," ")</f>
        <v xml:space="preserve"> </v>
      </c>
      <c r="BM12" s="374" t="str">
        <f>IF(OR(BJ12="TC",BJ12="MT"),'CARGA DOCENTE'!$C202," ")</f>
        <v xml:space="preserve"> </v>
      </c>
      <c r="BN12" s="374" t="str">
        <f>IF(OR(BJ12="TC",BJ12="MT"),'CARGA DOCENTE'!$G202," ")</f>
        <v xml:space="preserve"> </v>
      </c>
      <c r="BO12" s="372">
        <f>'CARGA DOCENTE'!$H203</f>
        <v>0</v>
      </c>
      <c r="BP12" s="373" t="str">
        <f>IF(OR(BO12="TC",BO12="MT"),'CARGA DOCENTE'!$A203," ")</f>
        <v xml:space="preserve"> </v>
      </c>
      <c r="BQ12" s="374" t="str">
        <f>IF(OR(BO12="TC",BO12="MT"),'CARGA DOCENTE'!$B203," ")</f>
        <v xml:space="preserve"> </v>
      </c>
      <c r="BR12" s="374" t="str">
        <f>IF(OR(BO12="TC",BO12="MT"),'CARGA DOCENTE'!$C203," ")</f>
        <v xml:space="preserve"> </v>
      </c>
      <c r="BS12" s="374" t="str">
        <f>IF(OR(BO12="TC",BO12="MT"),'CARGA DOCENTE'!$G203," ")</f>
        <v xml:space="preserve"> </v>
      </c>
      <c r="BT12" s="372">
        <f>'CARGA DOCENTE'!$H204</f>
        <v>0</v>
      </c>
      <c r="BU12" s="373" t="str">
        <f>IF(OR(BT12="TC",BT12="MT"),'CARGA DOCENTE'!$A204," ")</f>
        <v xml:space="preserve"> </v>
      </c>
      <c r="BV12" s="374" t="str">
        <f>IF(OR(BT12="TC",BT12="MT"),'CARGA DOCENTE'!$B204," ")</f>
        <v xml:space="preserve"> </v>
      </c>
      <c r="BW12" s="374" t="str">
        <f>IF(OR(BT12="TC",BT12="MT"),'CARGA DOCENTE'!$C204," ")</f>
        <v xml:space="preserve"> </v>
      </c>
      <c r="BX12" s="374" t="str">
        <f>IF(OR(BT12="TC",BT12="MT"),'CARGA DOCENTE'!$G204," ")</f>
        <v xml:space="preserve"> </v>
      </c>
    </row>
    <row r="13" spans="1:76" x14ac:dyDescent="0.2">
      <c r="A13" s="378">
        <f>'CARGA DOCENTE'!J208</f>
        <v>0</v>
      </c>
      <c r="B13" s="372">
        <f>'CARGA DOCENTE'!$H208</f>
        <v>0</v>
      </c>
      <c r="C13" s="373" t="str">
        <f>IF(OR(B13="TC",B13="MT"),'CARGA DOCENTE'!$A208," ")</f>
        <v xml:space="preserve"> </v>
      </c>
      <c r="D13" s="374" t="str">
        <f>IF(OR(B13="TC",B13="MT"),'CARGA DOCENTE'!$B208," ")</f>
        <v xml:space="preserve"> </v>
      </c>
      <c r="E13" s="374" t="str">
        <f>IF(OR(B13="TC",B13="MT"),'CARGA DOCENTE'!$C208," ")</f>
        <v xml:space="preserve"> </v>
      </c>
      <c r="F13" s="374" t="str">
        <f>IF(OR(B13="TC",B13="MT"),'CARGA DOCENTE'!$G208," ")</f>
        <v xml:space="preserve"> </v>
      </c>
      <c r="G13" s="372">
        <f>'CARGA DOCENTE'!$H209</f>
        <v>0</v>
      </c>
      <c r="H13" s="373" t="str">
        <f>IF(OR(G13="TC",G13="MT"),'CARGA DOCENTE'!$A209," ")</f>
        <v xml:space="preserve"> </v>
      </c>
      <c r="I13" s="374" t="str">
        <f>IF(OR(G13="TC",G13="MT"),'CARGA DOCENTE'!$B209," ")</f>
        <v xml:space="preserve"> </v>
      </c>
      <c r="J13" s="374" t="str">
        <f>IF(OR(G13="TC",G13="MT"),'CARGA DOCENTE'!$C209," ")</f>
        <v xml:space="preserve"> </v>
      </c>
      <c r="K13" s="374" t="str">
        <f>IF(OR(G13="TC",G13="MT"),'CARGA DOCENTE'!$G209," ")</f>
        <v xml:space="preserve"> </v>
      </c>
      <c r="L13" s="372">
        <f>'CARGA DOCENTE'!$H210</f>
        <v>0</v>
      </c>
      <c r="M13" s="373" t="str">
        <f>IF(OR(L13="TC",L13="MT"),'CARGA DOCENTE'!$A210," ")</f>
        <v xml:space="preserve"> </v>
      </c>
      <c r="N13" s="374" t="str">
        <f>IF(OR(L13="TC",L13="MT"),'CARGA DOCENTE'!$B210," ")</f>
        <v xml:space="preserve"> </v>
      </c>
      <c r="O13" s="374" t="str">
        <f>IF(OR(L13="TC",L13="MT"),'CARGA DOCENTE'!$C210," ")</f>
        <v xml:space="preserve"> </v>
      </c>
      <c r="P13" s="374" t="str">
        <f>IF(OR(L13="TC",L13="MT"),'CARGA DOCENTE'!$G210," ")</f>
        <v xml:space="preserve"> </v>
      </c>
      <c r="Q13" s="372">
        <f>'CARGA DOCENTE'!$H211</f>
        <v>0</v>
      </c>
      <c r="R13" s="373" t="str">
        <f>IF(OR(Q13="TC",Q13="MT"),'CARGA DOCENTE'!$A211," ")</f>
        <v xml:space="preserve"> </v>
      </c>
      <c r="S13" s="374" t="str">
        <f>IF(OR(Q13="TC",Q13="MT"),'CARGA DOCENTE'!$B211," ")</f>
        <v xml:space="preserve"> </v>
      </c>
      <c r="T13" s="374" t="str">
        <f>IF(OR(Q13="TC",Q13="MT"),'CARGA DOCENTE'!$C211," ")</f>
        <v xml:space="preserve"> </v>
      </c>
      <c r="U13" s="374" t="str">
        <f>IF(OR(Q13="TC",Q13="MT"),'CARGA DOCENTE'!$G211," ")</f>
        <v xml:space="preserve"> </v>
      </c>
      <c r="V13" s="372">
        <f>'CARGA DOCENTE'!$H212</f>
        <v>0</v>
      </c>
      <c r="W13" s="373" t="str">
        <f>IF(OR(V13="TC",V13="MT"),'CARGA DOCENTE'!$A212," ")</f>
        <v xml:space="preserve"> </v>
      </c>
      <c r="X13" s="374" t="str">
        <f>IF(OR(V13="TC",V13="MT"),'CARGA DOCENTE'!$B212," ")</f>
        <v xml:space="preserve"> </v>
      </c>
      <c r="Y13" s="374" t="str">
        <f>IF(OR(V13="TC",V13="MT"),'CARGA DOCENTE'!$C212," ")</f>
        <v xml:space="preserve"> </v>
      </c>
      <c r="Z13" s="374" t="str">
        <f>IF(OR(V13="TC",V13="MT"),'CARGA DOCENTE'!$G212," ")</f>
        <v xml:space="preserve"> </v>
      </c>
      <c r="AA13" s="372">
        <f>'CARGA DOCENTE'!$H213</f>
        <v>0</v>
      </c>
      <c r="AB13" s="373" t="str">
        <f>IF(OR(AA13="TC",AA13="MT"),'CARGA DOCENTE'!$A213," ")</f>
        <v xml:space="preserve"> </v>
      </c>
      <c r="AC13" s="374" t="str">
        <f>IF(OR(AA13="TC",AA13="MT"),'CARGA DOCENTE'!$B213," ")</f>
        <v xml:space="preserve"> </v>
      </c>
      <c r="AD13" s="374" t="str">
        <f>IF(OR(AA13="TC",AA13="MT"),'CARGA DOCENTE'!$C213," ")</f>
        <v xml:space="preserve"> </v>
      </c>
      <c r="AE13" s="374" t="str">
        <f>IF(OR(AA13="TC",AA13="MT"),'CARGA DOCENTE'!$G213," ")</f>
        <v xml:space="preserve"> </v>
      </c>
      <c r="AF13" s="372">
        <f>'CARGA DOCENTE'!$H214</f>
        <v>0</v>
      </c>
      <c r="AG13" s="373" t="str">
        <f>IF(OR(AF13="TC",AF13="MT"),'CARGA DOCENTE'!$A214," ")</f>
        <v xml:space="preserve"> </v>
      </c>
      <c r="AH13" s="374" t="str">
        <f>IF(OR(AF13="TC",AF13="MT"),'CARGA DOCENTE'!$B214," ")</f>
        <v xml:space="preserve"> </v>
      </c>
      <c r="AI13" s="374" t="str">
        <f>IF(OR(AF13="TC",AF13="MT"),'CARGA DOCENTE'!$C214," ")</f>
        <v xml:space="preserve"> </v>
      </c>
      <c r="AJ13" s="374" t="str">
        <f>IF(OR(AF13="TC",AF13="MT"),'CARGA DOCENTE'!$G214," ")</f>
        <v xml:space="preserve"> </v>
      </c>
      <c r="AK13" s="372">
        <f>'CARGA DOCENTE'!$H215</f>
        <v>0</v>
      </c>
      <c r="AL13" s="373" t="str">
        <f>IF(OR(AK13="TC",AK13="MT"),'CARGA DOCENTE'!$A215," ")</f>
        <v xml:space="preserve"> </v>
      </c>
      <c r="AM13" s="374" t="str">
        <f>IF(OR(AK13="TC",AK13="MT"),'CARGA DOCENTE'!$B215," ")</f>
        <v xml:space="preserve"> </v>
      </c>
      <c r="AN13" s="374" t="str">
        <f>IF(OR(AK13="TC",AK13="MT"),'CARGA DOCENTE'!$C215," ")</f>
        <v xml:space="preserve"> </v>
      </c>
      <c r="AO13" s="374" t="str">
        <f>IF(OR(AK13="TC",AK13="MT"),'CARGA DOCENTE'!$G215," ")</f>
        <v xml:space="preserve"> </v>
      </c>
      <c r="AP13" s="372">
        <f>'CARGA DOCENTE'!$H216</f>
        <v>0</v>
      </c>
      <c r="AQ13" s="373" t="str">
        <f>IF(OR(AP13="TC",AP13="MT"),'CARGA DOCENTE'!$A216," ")</f>
        <v xml:space="preserve"> </v>
      </c>
      <c r="AR13" s="374" t="str">
        <f>IF(OR(AP13="TC",AP13="MT"),'CARGA DOCENTE'!$B216," ")</f>
        <v xml:space="preserve"> </v>
      </c>
      <c r="AS13" s="374" t="str">
        <f>IF(OR(AP13="TC",AP13="MT"),'CARGA DOCENTE'!$C216," ")</f>
        <v xml:space="preserve"> </v>
      </c>
      <c r="AT13" s="374" t="str">
        <f>IF(OR(AP13="TC",AP13="MT"),'CARGA DOCENTE'!$G216," ")</f>
        <v xml:space="preserve"> </v>
      </c>
      <c r="AU13" s="372">
        <f>'CARGA DOCENTE'!$H217</f>
        <v>0</v>
      </c>
      <c r="AV13" s="373" t="str">
        <f>IF(OR(AU13="TC",AU13="MT"),'CARGA DOCENTE'!$A217," ")</f>
        <v xml:space="preserve"> </v>
      </c>
      <c r="AW13" s="374" t="str">
        <f>IF(OR(AU13="TC",AU13="MT"),'CARGA DOCENTE'!$B217," ")</f>
        <v xml:space="preserve"> </v>
      </c>
      <c r="AX13" s="374" t="str">
        <f>IF(OR(AU13="TC",AU13="MT"),'CARGA DOCENTE'!$C217," ")</f>
        <v xml:space="preserve"> </v>
      </c>
      <c r="AY13" s="374" t="str">
        <f>IF(OR(AU13="TC",AU13="MT"),'CARGA DOCENTE'!$G217," ")</f>
        <v xml:space="preserve"> </v>
      </c>
      <c r="AZ13" s="372">
        <f>'CARGA DOCENTE'!$H218</f>
        <v>0</v>
      </c>
      <c r="BA13" s="373" t="str">
        <f>IF(OR(AZ13="TC",AZ13="MT"),'CARGA DOCENTE'!$A218," ")</f>
        <v xml:space="preserve"> </v>
      </c>
      <c r="BB13" s="374" t="str">
        <f>IF(OR(AZ13="TC",AZ13="MT"),'CARGA DOCENTE'!$B218," ")</f>
        <v xml:space="preserve"> </v>
      </c>
      <c r="BC13" s="374" t="str">
        <f>IF(OR(AZ13="TC",AZ13="MT"),'CARGA DOCENTE'!$C218," ")</f>
        <v xml:space="preserve"> </v>
      </c>
      <c r="BD13" s="374" t="str">
        <f>IF(OR(AZ13="TC",AZ13="MT"),'CARGA DOCENTE'!$G218," ")</f>
        <v xml:space="preserve"> </v>
      </c>
      <c r="BE13" s="372">
        <f>'CARGA DOCENTE'!$H219</f>
        <v>0</v>
      </c>
      <c r="BF13" s="373" t="str">
        <f>IF(OR(BE13="TC",BE13="MT"),'CARGA DOCENTE'!$A219," ")</f>
        <v xml:space="preserve"> </v>
      </c>
      <c r="BG13" s="374" t="str">
        <f>IF(OR(BE13="TC",BE13="MT"),'CARGA DOCENTE'!$B219," ")</f>
        <v xml:space="preserve"> </v>
      </c>
      <c r="BH13" s="374" t="str">
        <f>IF(OR(BE13="TC",BE13="MT"),'CARGA DOCENTE'!$C219," ")</f>
        <v xml:space="preserve"> </v>
      </c>
      <c r="BI13" s="374" t="str">
        <f>IF(OR(BE13="TC",BE13="MT"),'CARGA DOCENTE'!$G219," ")</f>
        <v xml:space="preserve"> </v>
      </c>
      <c r="BJ13" s="372">
        <f>'CARGA DOCENTE'!$H220</f>
        <v>0</v>
      </c>
      <c r="BK13" s="373" t="str">
        <f>IF(OR(BJ13="TC",BJ13="MT"),'CARGA DOCENTE'!$A220," ")</f>
        <v xml:space="preserve"> </v>
      </c>
      <c r="BL13" s="374" t="str">
        <f>IF(OR(BJ13="TC",BJ13="MT"),'CARGA DOCENTE'!$B220," ")</f>
        <v xml:space="preserve"> </v>
      </c>
      <c r="BM13" s="374" t="str">
        <f>IF(OR(BJ13="TC",BJ13="MT"),'CARGA DOCENTE'!$C220," ")</f>
        <v xml:space="preserve"> </v>
      </c>
      <c r="BN13" s="374" t="str">
        <f>IF(OR(BJ13="TC",BJ13="MT"),'CARGA DOCENTE'!$G220," ")</f>
        <v xml:space="preserve"> </v>
      </c>
      <c r="BO13" s="372">
        <f>'CARGA DOCENTE'!$H221</f>
        <v>0</v>
      </c>
      <c r="BP13" s="373" t="str">
        <f>IF(OR(BO13="TC",BO13="MT"),'CARGA DOCENTE'!$A221," ")</f>
        <v xml:space="preserve"> </v>
      </c>
      <c r="BQ13" s="374" t="str">
        <f>IF(OR(BO13="TC",BO13="MT"),'CARGA DOCENTE'!$B221," ")</f>
        <v xml:space="preserve"> </v>
      </c>
      <c r="BR13" s="374" t="str">
        <f>IF(OR(BO13="TC",BO13="MT"),'CARGA DOCENTE'!$C221," ")</f>
        <v xml:space="preserve"> </v>
      </c>
      <c r="BS13" s="374" t="str">
        <f>IF(OR(BO13="TC",BO13="MT"),'CARGA DOCENTE'!$G221," ")</f>
        <v xml:space="preserve"> </v>
      </c>
      <c r="BT13" s="372">
        <f>'CARGA DOCENTE'!$H222</f>
        <v>0</v>
      </c>
      <c r="BU13" s="373" t="str">
        <f>IF(OR(BT13="TC",BT13="MT"),'CARGA DOCENTE'!$A222," ")</f>
        <v xml:space="preserve"> </v>
      </c>
      <c r="BV13" s="374" t="str">
        <f>IF(OR(BT13="TC",BT13="MT"),'CARGA DOCENTE'!$B222," ")</f>
        <v xml:space="preserve"> </v>
      </c>
      <c r="BW13" s="374" t="str">
        <f>IF(OR(BT13="TC",BT13="MT"),'CARGA DOCENTE'!$C222," ")</f>
        <v xml:space="preserve"> </v>
      </c>
      <c r="BX13" s="374" t="str">
        <f>IF(OR(BT13="TC",BT13="MT"),'CARGA DOCENTE'!$G222," ")</f>
        <v xml:space="preserve"> </v>
      </c>
    </row>
    <row r="14" spans="1:76" x14ac:dyDescent="0.2">
      <c r="A14" s="378">
        <f>'CARGA DOCENTE'!J226</f>
        <v>0</v>
      </c>
      <c r="B14" s="372">
        <f>'CARGA DOCENTE'!$H226</f>
        <v>0</v>
      </c>
      <c r="C14" s="373" t="str">
        <f>IF(OR(B14="TC",B14="MT"),'CARGA DOCENTE'!$A226," ")</f>
        <v xml:space="preserve"> </v>
      </c>
      <c r="D14" s="374" t="str">
        <f>IF(OR(B14="TC",B14="MT"),'CARGA DOCENTE'!$B226," ")</f>
        <v xml:space="preserve"> </v>
      </c>
      <c r="E14" s="374" t="str">
        <f>IF(OR(B14="TC",B14="MT"),'CARGA DOCENTE'!$C226," ")</f>
        <v xml:space="preserve"> </v>
      </c>
      <c r="F14" s="374" t="str">
        <f>IF(OR(B14="TC",B14="MT"),'CARGA DOCENTE'!$G226," ")</f>
        <v xml:space="preserve"> </v>
      </c>
      <c r="G14" s="372">
        <f>'CARGA DOCENTE'!$H227</f>
        <v>0</v>
      </c>
      <c r="H14" s="373" t="str">
        <f>IF(OR(G14="TC",G14="MT"),'CARGA DOCENTE'!$A227," ")</f>
        <v xml:space="preserve"> </v>
      </c>
      <c r="I14" s="374" t="str">
        <f>IF(OR(G14="TC",G14="MT"),'CARGA DOCENTE'!$B227," ")</f>
        <v xml:space="preserve"> </v>
      </c>
      <c r="J14" s="374" t="str">
        <f>IF(OR(G14="TC",G14="MT"),'CARGA DOCENTE'!$C227," ")</f>
        <v xml:space="preserve"> </v>
      </c>
      <c r="K14" s="374" t="str">
        <f>IF(OR(G14="TC",G14="MT"),'CARGA DOCENTE'!$G227," ")</f>
        <v xml:space="preserve"> </v>
      </c>
      <c r="L14" s="372">
        <f>'CARGA DOCENTE'!$H228</f>
        <v>0</v>
      </c>
      <c r="M14" s="373" t="str">
        <f>IF(OR(L14="TC",L14="MT"),'CARGA DOCENTE'!$A228," ")</f>
        <v xml:space="preserve"> </v>
      </c>
      <c r="N14" s="374" t="str">
        <f>IF(OR(L14="TC",L14="MT"),'CARGA DOCENTE'!$B228," ")</f>
        <v xml:space="preserve"> </v>
      </c>
      <c r="O14" s="374" t="str">
        <f>IF(OR(L14="TC",L14="MT"),'CARGA DOCENTE'!$C228," ")</f>
        <v xml:space="preserve"> </v>
      </c>
      <c r="P14" s="374" t="str">
        <f>IF(OR(L14="TC",L14="MT"),'CARGA DOCENTE'!$G228," ")</f>
        <v xml:space="preserve"> </v>
      </c>
      <c r="Q14" s="372">
        <f>'CARGA DOCENTE'!$H229</f>
        <v>0</v>
      </c>
      <c r="R14" s="373" t="str">
        <f>IF(OR(Q14="TC",Q14="MT"),'CARGA DOCENTE'!$A229," ")</f>
        <v xml:space="preserve"> </v>
      </c>
      <c r="S14" s="374" t="str">
        <f>IF(OR(Q14="TC",Q14="MT"),'CARGA DOCENTE'!$B229," ")</f>
        <v xml:space="preserve"> </v>
      </c>
      <c r="T14" s="374" t="str">
        <f>IF(OR(Q14="TC",Q14="MT"),'CARGA DOCENTE'!$C229," ")</f>
        <v xml:space="preserve"> </v>
      </c>
      <c r="U14" s="374" t="str">
        <f>IF(OR(Q14="TC",Q14="MT"),'CARGA DOCENTE'!$G229," ")</f>
        <v xml:space="preserve"> </v>
      </c>
      <c r="V14" s="372">
        <f>'CARGA DOCENTE'!$H230</f>
        <v>0</v>
      </c>
      <c r="W14" s="373" t="str">
        <f>IF(OR(V14="TC",V14="MT"),'CARGA DOCENTE'!$A230," ")</f>
        <v xml:space="preserve"> </v>
      </c>
      <c r="X14" s="374" t="str">
        <f>IF(OR(V14="TC",V14="MT"),'CARGA DOCENTE'!$B230," ")</f>
        <v xml:space="preserve"> </v>
      </c>
      <c r="Y14" s="374" t="str">
        <f>IF(OR(V14="TC",V14="MT"),'CARGA DOCENTE'!$C230," ")</f>
        <v xml:space="preserve"> </v>
      </c>
      <c r="Z14" s="374" t="str">
        <f>IF(OR(V14="TC",V14="MT"),'CARGA DOCENTE'!$G230," ")</f>
        <v xml:space="preserve"> </v>
      </c>
      <c r="AA14" s="372">
        <f>'CARGA DOCENTE'!$H231</f>
        <v>0</v>
      </c>
      <c r="AB14" s="373" t="str">
        <f>IF(OR(AA14="TC",AA14="MT"),'CARGA DOCENTE'!$A231," ")</f>
        <v xml:space="preserve"> </v>
      </c>
      <c r="AC14" s="374" t="str">
        <f>IF(OR(AA14="TC",AA14="MT"),'CARGA DOCENTE'!$B231," ")</f>
        <v xml:space="preserve"> </v>
      </c>
      <c r="AD14" s="374" t="str">
        <f>IF(OR(AA14="TC",AA14="MT"),'CARGA DOCENTE'!$C231," ")</f>
        <v xml:space="preserve"> </v>
      </c>
      <c r="AE14" s="374" t="str">
        <f>IF(OR(AA14="TC",AA14="MT"),'CARGA DOCENTE'!$G231," ")</f>
        <v xml:space="preserve"> </v>
      </c>
      <c r="AF14" s="372">
        <f>'CARGA DOCENTE'!$H232</f>
        <v>0</v>
      </c>
      <c r="AG14" s="373" t="str">
        <f>IF(OR(AF14="TC",AF14="MT"),'CARGA DOCENTE'!$A232," ")</f>
        <v xml:space="preserve"> </v>
      </c>
      <c r="AH14" s="374" t="str">
        <f>IF(OR(AF14="TC",AF14="MT"),'CARGA DOCENTE'!$B232," ")</f>
        <v xml:space="preserve"> </v>
      </c>
      <c r="AI14" s="374" t="str">
        <f>IF(OR(AF14="TC",AF14="MT"),'CARGA DOCENTE'!$C232," ")</f>
        <v xml:space="preserve"> </v>
      </c>
      <c r="AJ14" s="374" t="str">
        <f>IF(OR(AF14="TC",AF14="MT"),'CARGA DOCENTE'!$G232," ")</f>
        <v xml:space="preserve"> </v>
      </c>
      <c r="AK14" s="372">
        <f>'CARGA DOCENTE'!$H233</f>
        <v>0</v>
      </c>
      <c r="AL14" s="373" t="str">
        <f>IF(OR(AK14="TC",AK14="MT"),'CARGA DOCENTE'!$A233," ")</f>
        <v xml:space="preserve"> </v>
      </c>
      <c r="AM14" s="374" t="str">
        <f>IF(OR(AK14="TC",AK14="MT"),'CARGA DOCENTE'!$B233," ")</f>
        <v xml:space="preserve"> </v>
      </c>
      <c r="AN14" s="374" t="str">
        <f>IF(OR(AK14="TC",AK14="MT"),'CARGA DOCENTE'!$C233," ")</f>
        <v xml:space="preserve"> </v>
      </c>
      <c r="AO14" s="374" t="str">
        <f>IF(OR(AK14="TC",AK14="MT"),'CARGA DOCENTE'!$G233," ")</f>
        <v xml:space="preserve"> </v>
      </c>
      <c r="AP14" s="372">
        <f>'CARGA DOCENTE'!$H234</f>
        <v>0</v>
      </c>
      <c r="AQ14" s="373" t="str">
        <f>IF(OR(AP14="TC",AP14="MT"),'CARGA DOCENTE'!$A234," ")</f>
        <v xml:space="preserve"> </v>
      </c>
      <c r="AR14" s="374" t="str">
        <f>IF(OR(AP14="TC",AP14="MT"),'CARGA DOCENTE'!$B234," ")</f>
        <v xml:space="preserve"> </v>
      </c>
      <c r="AS14" s="374" t="str">
        <f>IF(OR(AP14="TC",AP14="MT"),'CARGA DOCENTE'!$C234," ")</f>
        <v xml:space="preserve"> </v>
      </c>
      <c r="AT14" s="374" t="str">
        <f>IF(OR(AP14="TC",AP14="MT"),'CARGA DOCENTE'!$G234," ")</f>
        <v xml:space="preserve"> </v>
      </c>
      <c r="AU14" s="372">
        <f>'CARGA DOCENTE'!$H235</f>
        <v>0</v>
      </c>
      <c r="AV14" s="373" t="str">
        <f>IF(OR(AU14="TC",AU14="MT"),'CARGA DOCENTE'!$A235," ")</f>
        <v xml:space="preserve"> </v>
      </c>
      <c r="AW14" s="374" t="str">
        <f>IF(OR(AU14="TC",AU14="MT"),'CARGA DOCENTE'!$B235," ")</f>
        <v xml:space="preserve"> </v>
      </c>
      <c r="AX14" s="374" t="str">
        <f>IF(OR(AU14="TC",AU14="MT"),'CARGA DOCENTE'!$C235," ")</f>
        <v xml:space="preserve"> </v>
      </c>
      <c r="AY14" s="374" t="str">
        <f>IF(OR(AU14="TC",AU14="MT"),'CARGA DOCENTE'!$G235," ")</f>
        <v xml:space="preserve"> </v>
      </c>
      <c r="AZ14" s="372">
        <f>'CARGA DOCENTE'!$H236</f>
        <v>0</v>
      </c>
      <c r="BA14" s="373" t="str">
        <f>IF(OR(AZ14="TC",AZ14="MT"),'CARGA DOCENTE'!$A236," ")</f>
        <v xml:space="preserve"> </v>
      </c>
      <c r="BB14" s="374" t="str">
        <f>IF(OR(AZ14="TC",AZ14="MT"),'CARGA DOCENTE'!$B236," ")</f>
        <v xml:space="preserve"> </v>
      </c>
      <c r="BC14" s="374" t="str">
        <f>IF(OR(AZ14="TC",AZ14="MT"),'CARGA DOCENTE'!$C236," ")</f>
        <v xml:space="preserve"> </v>
      </c>
      <c r="BD14" s="374" t="str">
        <f>IF(OR(AZ14="TC",AZ14="MT"),'CARGA DOCENTE'!$G236," ")</f>
        <v xml:space="preserve"> </v>
      </c>
      <c r="BE14" s="372">
        <f>'CARGA DOCENTE'!$H237</f>
        <v>0</v>
      </c>
      <c r="BF14" s="373" t="str">
        <f>IF(OR(BE14="TC",BE14="MT"),'CARGA DOCENTE'!$A237," ")</f>
        <v xml:space="preserve"> </v>
      </c>
      <c r="BG14" s="374" t="str">
        <f>IF(OR(BE14="TC",BE14="MT"),'CARGA DOCENTE'!$B237," ")</f>
        <v xml:space="preserve"> </v>
      </c>
      <c r="BH14" s="374" t="str">
        <f>IF(OR(BE14="TC",BE14="MT"),'CARGA DOCENTE'!$C237," ")</f>
        <v xml:space="preserve"> </v>
      </c>
      <c r="BI14" s="374" t="str">
        <f>IF(OR(BE14="TC",BE14="MT"),'CARGA DOCENTE'!$G237," ")</f>
        <v xml:space="preserve"> </v>
      </c>
      <c r="BJ14" s="372">
        <f>'CARGA DOCENTE'!$H238</f>
        <v>0</v>
      </c>
      <c r="BK14" s="373" t="str">
        <f>IF(OR(BJ14="TC",BJ14="MT"),'CARGA DOCENTE'!$A238," ")</f>
        <v xml:space="preserve"> </v>
      </c>
      <c r="BL14" s="374" t="str">
        <f>IF(OR(BJ14="TC",BJ14="MT"),'CARGA DOCENTE'!$B238," ")</f>
        <v xml:space="preserve"> </v>
      </c>
      <c r="BM14" s="374" t="str">
        <f>IF(OR(BJ14="TC",BJ14="MT"),'CARGA DOCENTE'!$C238," ")</f>
        <v xml:space="preserve"> </v>
      </c>
      <c r="BN14" s="374" t="str">
        <f>IF(OR(BJ14="TC",BJ14="MT"),'CARGA DOCENTE'!$G238," ")</f>
        <v xml:space="preserve"> </v>
      </c>
      <c r="BO14" s="372">
        <f>'CARGA DOCENTE'!$H239</f>
        <v>0</v>
      </c>
      <c r="BP14" s="373" t="str">
        <f>IF(OR(BO14="TC",BO14="MT"),'CARGA DOCENTE'!$A239," ")</f>
        <v xml:space="preserve"> </v>
      </c>
      <c r="BQ14" s="374" t="str">
        <f>IF(OR(BO14="TC",BO14="MT"),'CARGA DOCENTE'!$B239," ")</f>
        <v xml:space="preserve"> </v>
      </c>
      <c r="BR14" s="374" t="str">
        <f>IF(OR(BO14="TC",BO14="MT"),'CARGA DOCENTE'!$C239," ")</f>
        <v xml:space="preserve"> </v>
      </c>
      <c r="BS14" s="374" t="str">
        <f>IF(OR(BO14="TC",BO14="MT"),'CARGA DOCENTE'!$G239," ")</f>
        <v xml:space="preserve"> </v>
      </c>
      <c r="BT14" s="372">
        <f>'CARGA DOCENTE'!$H240</f>
        <v>0</v>
      </c>
      <c r="BU14" s="373" t="str">
        <f>IF(OR(BT14="TC",BT14="MT"),'CARGA DOCENTE'!$A240," ")</f>
        <v xml:space="preserve"> </v>
      </c>
      <c r="BV14" s="374" t="str">
        <f>IF(OR(BT14="TC",BT14="MT"),'CARGA DOCENTE'!$B240," ")</f>
        <v xml:space="preserve"> </v>
      </c>
      <c r="BW14" s="374" t="str">
        <f>IF(OR(BT14="TC",BT14="MT"),'CARGA DOCENTE'!$C240," ")</f>
        <v xml:space="preserve"> </v>
      </c>
      <c r="BX14" s="374" t="str">
        <f>IF(OR(BT14="TC",BT14="MT"),'CARGA DOCENTE'!$G240," ")</f>
        <v xml:space="preserve"> </v>
      </c>
    </row>
    <row r="15" spans="1:76" x14ac:dyDescent="0.2">
      <c r="A15" s="378">
        <f>'CARGA DOCENTE'!J244</f>
        <v>0</v>
      </c>
      <c r="B15" s="372">
        <f>'CARGA DOCENTE'!$H244</f>
        <v>0</v>
      </c>
      <c r="C15" s="373" t="str">
        <f>IF(OR(B15="TC",B15="MT"),'CARGA DOCENTE'!$A244," ")</f>
        <v xml:space="preserve"> </v>
      </c>
      <c r="D15" s="374" t="str">
        <f>IF(OR(B15="TC",B15="MT"),'CARGA DOCENTE'!$B244," ")</f>
        <v xml:space="preserve"> </v>
      </c>
      <c r="E15" s="374" t="str">
        <f>IF(OR(B15="TC",B15="MT"),'CARGA DOCENTE'!$C244," ")</f>
        <v xml:space="preserve"> </v>
      </c>
      <c r="F15" s="374" t="str">
        <f>IF(OR(B15="TC",B15="MT"),'CARGA DOCENTE'!$G244," ")</f>
        <v xml:space="preserve"> </v>
      </c>
      <c r="G15" s="372">
        <f>'CARGA DOCENTE'!$H245</f>
        <v>0</v>
      </c>
      <c r="H15" s="373" t="str">
        <f>IF(OR(G15="TC",G15="MT"),'CARGA DOCENTE'!$A245," ")</f>
        <v xml:space="preserve"> </v>
      </c>
      <c r="I15" s="374" t="str">
        <f>IF(OR(G15="TC",G15="MT"),'CARGA DOCENTE'!$B245," ")</f>
        <v xml:space="preserve"> </v>
      </c>
      <c r="J15" s="374" t="str">
        <f>IF(OR(G15="TC",G15="MT"),'CARGA DOCENTE'!$C245," ")</f>
        <v xml:space="preserve"> </v>
      </c>
      <c r="K15" s="374" t="str">
        <f>IF(OR(G15="TC",G15="MT"),'CARGA DOCENTE'!$G245," ")</f>
        <v xml:space="preserve"> </v>
      </c>
      <c r="L15" s="372">
        <f>'CARGA DOCENTE'!$H246</f>
        <v>0</v>
      </c>
      <c r="M15" s="373" t="str">
        <f>IF(OR(L15="TC",L15="MT"),'CARGA DOCENTE'!$A246," ")</f>
        <v xml:space="preserve"> </v>
      </c>
      <c r="N15" s="374" t="str">
        <f>IF(OR(L15="TC",L15="MT"),'CARGA DOCENTE'!$B246," ")</f>
        <v xml:space="preserve"> </v>
      </c>
      <c r="O15" s="374" t="str">
        <f>IF(OR(L15="TC",L15="MT"),'CARGA DOCENTE'!$C246," ")</f>
        <v xml:space="preserve"> </v>
      </c>
      <c r="P15" s="374" t="str">
        <f>IF(OR(L15="TC",L15="MT"),'CARGA DOCENTE'!$G246," ")</f>
        <v xml:space="preserve"> </v>
      </c>
      <c r="Q15" s="372">
        <f>'CARGA DOCENTE'!$H247</f>
        <v>0</v>
      </c>
      <c r="R15" s="373" t="str">
        <f>IF(OR(Q15="TC",Q15="MT"),'CARGA DOCENTE'!$A247," ")</f>
        <v xml:space="preserve"> </v>
      </c>
      <c r="S15" s="374" t="str">
        <f>IF(OR(Q15="TC",Q15="MT"),'CARGA DOCENTE'!$B247," ")</f>
        <v xml:space="preserve"> </v>
      </c>
      <c r="T15" s="374" t="str">
        <f>IF(OR(Q15="TC",Q15="MT"),'CARGA DOCENTE'!$C247," ")</f>
        <v xml:space="preserve"> </v>
      </c>
      <c r="U15" s="374" t="str">
        <f>IF(OR(Q15="TC",Q15="MT"),'CARGA DOCENTE'!$G247," ")</f>
        <v xml:space="preserve"> </v>
      </c>
      <c r="V15" s="372">
        <f>'CARGA DOCENTE'!$H248</f>
        <v>0</v>
      </c>
      <c r="W15" s="373" t="str">
        <f>IF(OR(V15="TC",V15="MT"),'CARGA DOCENTE'!$A248," ")</f>
        <v xml:space="preserve"> </v>
      </c>
      <c r="X15" s="374" t="str">
        <f>IF(OR(V15="TC",V15="MT"),'CARGA DOCENTE'!$B248," ")</f>
        <v xml:space="preserve"> </v>
      </c>
      <c r="Y15" s="374" t="str">
        <f>IF(OR(V15="TC",V15="MT"),'CARGA DOCENTE'!$C248," ")</f>
        <v xml:space="preserve"> </v>
      </c>
      <c r="Z15" s="374" t="str">
        <f>IF(OR(V15="TC",V15="MT"),'CARGA DOCENTE'!$G248," ")</f>
        <v xml:space="preserve"> </v>
      </c>
      <c r="AA15" s="372">
        <f>'CARGA DOCENTE'!$H249</f>
        <v>0</v>
      </c>
      <c r="AB15" s="373" t="str">
        <f>IF(OR(AA15="TC",AA15="MT"),'CARGA DOCENTE'!$A249," ")</f>
        <v xml:space="preserve"> </v>
      </c>
      <c r="AC15" s="374" t="str">
        <f>IF(OR(AA15="TC",AA15="MT"),'CARGA DOCENTE'!$B249," ")</f>
        <v xml:space="preserve"> </v>
      </c>
      <c r="AD15" s="374" t="str">
        <f>IF(OR(AA15="TC",AA15="MT"),'CARGA DOCENTE'!$C249," ")</f>
        <v xml:space="preserve"> </v>
      </c>
      <c r="AE15" s="374" t="str">
        <f>IF(OR(AA15="TC",AA15="MT"),'CARGA DOCENTE'!$G249," ")</f>
        <v xml:space="preserve"> </v>
      </c>
      <c r="AF15" s="372">
        <f>'CARGA DOCENTE'!$H250</f>
        <v>0</v>
      </c>
      <c r="AG15" s="373" t="str">
        <f>IF(OR(AF15="TC",AF15="MT"),'CARGA DOCENTE'!$A250," ")</f>
        <v xml:space="preserve"> </v>
      </c>
      <c r="AH15" s="374" t="str">
        <f>IF(OR(AF15="TC",AF15="MT"),'CARGA DOCENTE'!$B250," ")</f>
        <v xml:space="preserve"> </v>
      </c>
      <c r="AI15" s="374" t="str">
        <f>IF(OR(AF15="TC",AF15="MT"),'CARGA DOCENTE'!$C250," ")</f>
        <v xml:space="preserve"> </v>
      </c>
      <c r="AJ15" s="374" t="str">
        <f>IF(OR(AF15="TC",AF15="MT"),'CARGA DOCENTE'!$G250," ")</f>
        <v xml:space="preserve"> </v>
      </c>
      <c r="AK15" s="372">
        <f>'CARGA DOCENTE'!$H251</f>
        <v>0</v>
      </c>
      <c r="AL15" s="373" t="str">
        <f>IF(OR(AK15="TC",AK15="MT"),'CARGA DOCENTE'!$A251," ")</f>
        <v xml:space="preserve"> </v>
      </c>
      <c r="AM15" s="374" t="str">
        <f>IF(OR(AK15="TC",AK15="MT"),'CARGA DOCENTE'!$B251," ")</f>
        <v xml:space="preserve"> </v>
      </c>
      <c r="AN15" s="374" t="str">
        <f>IF(OR(AK15="TC",AK15="MT"),'CARGA DOCENTE'!$C251," ")</f>
        <v xml:space="preserve"> </v>
      </c>
      <c r="AO15" s="374" t="str">
        <f>IF(OR(AK15="TC",AK15="MT"),'CARGA DOCENTE'!$G251," ")</f>
        <v xml:space="preserve"> </v>
      </c>
      <c r="AP15" s="372">
        <f>'CARGA DOCENTE'!$H252</f>
        <v>0</v>
      </c>
      <c r="AQ15" s="373" t="str">
        <f>IF(OR(AP15="TC",AP15="MT"),'CARGA DOCENTE'!$A252," ")</f>
        <v xml:space="preserve"> </v>
      </c>
      <c r="AR15" s="374" t="str">
        <f>IF(OR(AP15="TC",AP15="MT"),'CARGA DOCENTE'!$B252," ")</f>
        <v xml:space="preserve"> </v>
      </c>
      <c r="AS15" s="374" t="str">
        <f>IF(OR(AP15="TC",AP15="MT"),'CARGA DOCENTE'!$C252," ")</f>
        <v xml:space="preserve"> </v>
      </c>
      <c r="AT15" s="374" t="str">
        <f>IF(OR(AP15="TC",AP15="MT"),'CARGA DOCENTE'!$G252," ")</f>
        <v xml:space="preserve"> </v>
      </c>
      <c r="AU15" s="372">
        <f>'CARGA DOCENTE'!$H253</f>
        <v>0</v>
      </c>
      <c r="AV15" s="373" t="str">
        <f>IF(OR(AU15="TC",AU15="MT"),'CARGA DOCENTE'!$A253," ")</f>
        <v xml:space="preserve"> </v>
      </c>
      <c r="AW15" s="374" t="str">
        <f>IF(OR(AU15="TC",AU15="MT"),'CARGA DOCENTE'!$B253," ")</f>
        <v xml:space="preserve"> </v>
      </c>
      <c r="AX15" s="374" t="str">
        <f>IF(OR(AU15="TC",AU15="MT"),'CARGA DOCENTE'!$C253," ")</f>
        <v xml:space="preserve"> </v>
      </c>
      <c r="AY15" s="374" t="str">
        <f>IF(OR(AU15="TC",AU15="MT"),'CARGA DOCENTE'!$G253," ")</f>
        <v xml:space="preserve"> </v>
      </c>
      <c r="AZ15" s="372">
        <f>'CARGA DOCENTE'!$H254</f>
        <v>0</v>
      </c>
      <c r="BA15" s="373" t="str">
        <f>IF(OR(AZ15="TC",AZ15="MT"),'CARGA DOCENTE'!$A254," ")</f>
        <v xml:space="preserve"> </v>
      </c>
      <c r="BB15" s="374" t="str">
        <f>IF(OR(AZ15="TC",AZ15="MT"),'CARGA DOCENTE'!$B254," ")</f>
        <v xml:space="preserve"> </v>
      </c>
      <c r="BC15" s="374" t="str">
        <f>IF(OR(AZ15="TC",AZ15="MT"),'CARGA DOCENTE'!$C254," ")</f>
        <v xml:space="preserve"> </v>
      </c>
      <c r="BD15" s="374" t="str">
        <f>IF(OR(AZ15="TC",AZ15="MT"),'CARGA DOCENTE'!$G254," ")</f>
        <v xml:space="preserve"> </v>
      </c>
      <c r="BE15" s="372">
        <f>'CARGA DOCENTE'!$H255</f>
        <v>0</v>
      </c>
      <c r="BF15" s="373" t="str">
        <f>IF(OR(BE15="TC",BE15="MT"),'CARGA DOCENTE'!$A255," ")</f>
        <v xml:space="preserve"> </v>
      </c>
      <c r="BG15" s="374" t="str">
        <f>IF(OR(BE15="TC",BE15="MT"),'CARGA DOCENTE'!$B255," ")</f>
        <v xml:space="preserve"> </v>
      </c>
      <c r="BH15" s="374" t="str">
        <f>IF(OR(BE15="TC",BE15="MT"),'CARGA DOCENTE'!$C255," ")</f>
        <v xml:space="preserve"> </v>
      </c>
      <c r="BI15" s="374" t="str">
        <f>IF(OR(BE15="TC",BE15="MT"),'CARGA DOCENTE'!$G255," ")</f>
        <v xml:space="preserve"> </v>
      </c>
      <c r="BJ15" s="372">
        <f>'CARGA DOCENTE'!$H256</f>
        <v>0</v>
      </c>
      <c r="BK15" s="373" t="str">
        <f>IF(OR(BJ15="TC",BJ15="MT"),'CARGA DOCENTE'!$A256," ")</f>
        <v xml:space="preserve"> </v>
      </c>
      <c r="BL15" s="374" t="str">
        <f>IF(OR(BJ15="TC",BJ15="MT"),'CARGA DOCENTE'!$B256," ")</f>
        <v xml:space="preserve"> </v>
      </c>
      <c r="BM15" s="374" t="str">
        <f>IF(OR(BJ15="TC",BJ15="MT"),'CARGA DOCENTE'!$C256," ")</f>
        <v xml:space="preserve"> </v>
      </c>
      <c r="BN15" s="374" t="str">
        <f>IF(OR(BJ15="TC",BJ15="MT"),'CARGA DOCENTE'!$G256," ")</f>
        <v xml:space="preserve"> </v>
      </c>
      <c r="BO15" s="372">
        <f>'CARGA DOCENTE'!$H257</f>
        <v>0</v>
      </c>
      <c r="BP15" s="373" t="str">
        <f>IF(OR(BO15="TC",BO15="MT"),'CARGA DOCENTE'!$A257," ")</f>
        <v xml:space="preserve"> </v>
      </c>
      <c r="BQ15" s="374" t="str">
        <f>IF(OR(BO15="TC",BO15="MT"),'CARGA DOCENTE'!$B257," ")</f>
        <v xml:space="preserve"> </v>
      </c>
      <c r="BR15" s="374" t="str">
        <f>IF(OR(BO15="TC",BO15="MT"),'CARGA DOCENTE'!$C257," ")</f>
        <v xml:space="preserve"> </v>
      </c>
      <c r="BS15" s="374" t="str">
        <f>IF(OR(BO15="TC",BO15="MT"),'CARGA DOCENTE'!$G257," ")</f>
        <v xml:space="preserve"> </v>
      </c>
      <c r="BT15" s="372">
        <f>'CARGA DOCENTE'!$H258</f>
        <v>0</v>
      </c>
      <c r="BU15" s="373" t="str">
        <f>IF(OR(BT15="TC",BT15="MT"),'CARGA DOCENTE'!$A258," ")</f>
        <v xml:space="preserve"> </v>
      </c>
      <c r="BV15" s="374" t="str">
        <f>IF(OR(BT15="TC",BT15="MT"),'CARGA DOCENTE'!$B258," ")</f>
        <v xml:space="preserve"> </v>
      </c>
      <c r="BW15" s="374" t="str">
        <f>IF(OR(BT15="TC",BT15="MT"),'CARGA DOCENTE'!$C258," ")</f>
        <v xml:space="preserve"> </v>
      </c>
      <c r="BX15" s="374" t="str">
        <f>IF(OR(BT15="TC",BT15="MT"),'CARGA DOCENTE'!$G258," ")</f>
        <v xml:space="preserve"> </v>
      </c>
    </row>
    <row r="16" spans="1:76" x14ac:dyDescent="0.2">
      <c r="A16" s="378">
        <f>'CARGA DOCENTE'!J262</f>
        <v>0</v>
      </c>
      <c r="B16" s="372">
        <f>'CARGA DOCENTE'!$H262</f>
        <v>0</v>
      </c>
      <c r="C16" s="373" t="str">
        <f>IF(OR(B16="TC",B16="MT"),'CARGA DOCENTE'!$A262," ")</f>
        <v xml:space="preserve"> </v>
      </c>
      <c r="D16" s="374" t="str">
        <f>IF(OR(B16="TC",B16="MT"),'CARGA DOCENTE'!$B262," ")</f>
        <v xml:space="preserve"> </v>
      </c>
      <c r="E16" s="374" t="str">
        <f>IF(OR(B16="TC",B16="MT"),'CARGA DOCENTE'!$C262," ")</f>
        <v xml:space="preserve"> </v>
      </c>
      <c r="F16" s="374" t="str">
        <f>IF(OR(B16="TC",B16="MT"),'CARGA DOCENTE'!$G262," ")</f>
        <v xml:space="preserve"> </v>
      </c>
      <c r="G16" s="372">
        <f>'CARGA DOCENTE'!$H263</f>
        <v>0</v>
      </c>
      <c r="H16" s="373" t="str">
        <f>IF(OR(G16="TC",G16="MT"),'CARGA DOCENTE'!$A263," ")</f>
        <v xml:space="preserve"> </v>
      </c>
      <c r="I16" s="374" t="str">
        <f>IF(OR(G16="TC",G16="MT"),'CARGA DOCENTE'!$B263," ")</f>
        <v xml:space="preserve"> </v>
      </c>
      <c r="J16" s="374" t="str">
        <f>IF(OR(G16="TC",G16="MT"),'CARGA DOCENTE'!$C263," ")</f>
        <v xml:space="preserve"> </v>
      </c>
      <c r="K16" s="374" t="str">
        <f>IF(OR(G16="TC",G16="MT"),'CARGA DOCENTE'!$G263," ")</f>
        <v xml:space="preserve"> </v>
      </c>
      <c r="L16" s="372">
        <f>'CARGA DOCENTE'!$H264</f>
        <v>0</v>
      </c>
      <c r="M16" s="373" t="str">
        <f>IF(OR(L16="TC",L16="MT"),'CARGA DOCENTE'!$A264," ")</f>
        <v xml:space="preserve"> </v>
      </c>
      <c r="N16" s="374" t="str">
        <f>IF(OR(L16="TC",L16="MT"),'CARGA DOCENTE'!$B264," ")</f>
        <v xml:space="preserve"> </v>
      </c>
      <c r="O16" s="374" t="str">
        <f>IF(OR(L16="TC",L16="MT"),'CARGA DOCENTE'!$C264," ")</f>
        <v xml:space="preserve"> </v>
      </c>
      <c r="P16" s="374" t="str">
        <f>IF(OR(L16="TC",L16="MT"),'CARGA DOCENTE'!$G264," ")</f>
        <v xml:space="preserve"> </v>
      </c>
      <c r="Q16" s="372">
        <f>'CARGA DOCENTE'!$H265</f>
        <v>0</v>
      </c>
      <c r="R16" s="373" t="str">
        <f>IF(OR(Q16="TC",Q16="MT"),'CARGA DOCENTE'!$A265," ")</f>
        <v xml:space="preserve"> </v>
      </c>
      <c r="S16" s="374" t="str">
        <f>IF(OR(Q16="TC",Q16="MT"),'CARGA DOCENTE'!$B265," ")</f>
        <v xml:space="preserve"> </v>
      </c>
      <c r="T16" s="374" t="str">
        <f>IF(OR(Q16="TC",Q16="MT"),'CARGA DOCENTE'!$C265," ")</f>
        <v xml:space="preserve"> </v>
      </c>
      <c r="U16" s="374" t="str">
        <f>IF(OR(Q16="TC",Q16="MT"),'CARGA DOCENTE'!$G265," ")</f>
        <v xml:space="preserve"> </v>
      </c>
      <c r="V16" s="372">
        <f>'CARGA DOCENTE'!$H266</f>
        <v>0</v>
      </c>
      <c r="W16" s="373" t="str">
        <f>IF(OR(V16="TC",V16="MT"),'CARGA DOCENTE'!$A266," ")</f>
        <v xml:space="preserve"> </v>
      </c>
      <c r="X16" s="374" t="str">
        <f>IF(OR(V16="TC",V16="MT"),'CARGA DOCENTE'!$B266," ")</f>
        <v xml:space="preserve"> </v>
      </c>
      <c r="Y16" s="374" t="str">
        <f>IF(OR(V16="TC",V16="MT"),'CARGA DOCENTE'!$C266," ")</f>
        <v xml:space="preserve"> </v>
      </c>
      <c r="Z16" s="374" t="str">
        <f>IF(OR(V16="TC",V16="MT"),'CARGA DOCENTE'!$G266," ")</f>
        <v xml:space="preserve"> </v>
      </c>
      <c r="AA16" s="372">
        <f>'CARGA DOCENTE'!$H267</f>
        <v>0</v>
      </c>
      <c r="AB16" s="373" t="str">
        <f>IF(OR(AA16="TC",AA16="MT"),'CARGA DOCENTE'!$A267," ")</f>
        <v xml:space="preserve"> </v>
      </c>
      <c r="AC16" s="374" t="str">
        <f>IF(OR(AA16="TC",AA16="MT"),'CARGA DOCENTE'!$B267," ")</f>
        <v xml:space="preserve"> </v>
      </c>
      <c r="AD16" s="374" t="str">
        <f>IF(OR(AA16="TC",AA16="MT"),'CARGA DOCENTE'!$C267," ")</f>
        <v xml:space="preserve"> </v>
      </c>
      <c r="AE16" s="374" t="str">
        <f>IF(OR(AA16="TC",AA16="MT"),'CARGA DOCENTE'!$G267," ")</f>
        <v xml:space="preserve"> </v>
      </c>
      <c r="AF16" s="372">
        <f>'CARGA DOCENTE'!$H268</f>
        <v>0</v>
      </c>
      <c r="AG16" s="373" t="str">
        <f>IF(OR(AF16="TC",AF16="MT"),'CARGA DOCENTE'!$A268," ")</f>
        <v xml:space="preserve"> </v>
      </c>
      <c r="AH16" s="374" t="str">
        <f>IF(OR(AF16="TC",AF16="MT"),'CARGA DOCENTE'!$B268," ")</f>
        <v xml:space="preserve"> </v>
      </c>
      <c r="AI16" s="374" t="str">
        <f>IF(OR(AF16="TC",AF16="MT"),'CARGA DOCENTE'!$C268," ")</f>
        <v xml:space="preserve"> </v>
      </c>
      <c r="AJ16" s="374" t="str">
        <f>IF(OR(AF16="TC",AF16="MT"),'CARGA DOCENTE'!$G268," ")</f>
        <v xml:space="preserve"> </v>
      </c>
      <c r="AK16" s="372">
        <f>'CARGA DOCENTE'!$H269</f>
        <v>0</v>
      </c>
      <c r="AL16" s="373" t="str">
        <f>IF(OR(AK16="TC",AK16="MT"),'CARGA DOCENTE'!$A269," ")</f>
        <v xml:space="preserve"> </v>
      </c>
      <c r="AM16" s="374" t="str">
        <f>IF(OR(AK16="TC",AK16="MT"),'CARGA DOCENTE'!$B269," ")</f>
        <v xml:space="preserve"> </v>
      </c>
      <c r="AN16" s="374" t="str">
        <f>IF(OR(AK16="TC",AK16="MT"),'CARGA DOCENTE'!$C269," ")</f>
        <v xml:space="preserve"> </v>
      </c>
      <c r="AO16" s="374" t="str">
        <f>IF(OR(AK16="TC",AK16="MT"),'CARGA DOCENTE'!$G269," ")</f>
        <v xml:space="preserve"> </v>
      </c>
      <c r="AP16" s="372">
        <f>'CARGA DOCENTE'!$H270</f>
        <v>0</v>
      </c>
      <c r="AQ16" s="373" t="str">
        <f>IF(OR(AP16="TC",AP16="MT"),'CARGA DOCENTE'!$A270," ")</f>
        <v xml:space="preserve"> </v>
      </c>
      <c r="AR16" s="374" t="str">
        <f>IF(OR(AP16="TC",AP16="MT"),'CARGA DOCENTE'!$B270," ")</f>
        <v xml:space="preserve"> </v>
      </c>
      <c r="AS16" s="374" t="str">
        <f>IF(OR(AP16="TC",AP16="MT"),'CARGA DOCENTE'!$C270," ")</f>
        <v xml:space="preserve"> </v>
      </c>
      <c r="AT16" s="374" t="str">
        <f>IF(OR(AP16="TC",AP16="MT"),'CARGA DOCENTE'!$G270," ")</f>
        <v xml:space="preserve"> </v>
      </c>
      <c r="AU16" s="372">
        <f>'CARGA DOCENTE'!$H271</f>
        <v>0</v>
      </c>
      <c r="AV16" s="373" t="str">
        <f>IF(OR(AU16="TC",AU16="MT"),'CARGA DOCENTE'!$A271," ")</f>
        <v xml:space="preserve"> </v>
      </c>
      <c r="AW16" s="374" t="str">
        <f>IF(OR(AU16="TC",AU16="MT"),'CARGA DOCENTE'!$B271," ")</f>
        <v xml:space="preserve"> </v>
      </c>
      <c r="AX16" s="374" t="str">
        <f>IF(OR(AU16="TC",AU16="MT"),'CARGA DOCENTE'!$C271," ")</f>
        <v xml:space="preserve"> </v>
      </c>
      <c r="AY16" s="374" t="str">
        <f>IF(OR(AU16="TC",AU16="MT"),'CARGA DOCENTE'!$G271," ")</f>
        <v xml:space="preserve"> </v>
      </c>
      <c r="AZ16" s="372">
        <f>'CARGA DOCENTE'!$H272</f>
        <v>0</v>
      </c>
      <c r="BA16" s="373" t="str">
        <f>IF(OR(AZ16="TC",AZ16="MT"),'CARGA DOCENTE'!$A272," ")</f>
        <v xml:space="preserve"> </v>
      </c>
      <c r="BB16" s="374" t="str">
        <f>IF(OR(AZ16="TC",AZ16="MT"),'CARGA DOCENTE'!$B272," ")</f>
        <v xml:space="preserve"> </v>
      </c>
      <c r="BC16" s="374" t="str">
        <f>IF(OR(AZ16="TC",AZ16="MT"),'CARGA DOCENTE'!$C272," ")</f>
        <v xml:space="preserve"> </v>
      </c>
      <c r="BD16" s="374" t="str">
        <f>IF(OR(AZ16="TC",AZ16="MT"),'CARGA DOCENTE'!$G272," ")</f>
        <v xml:space="preserve"> </v>
      </c>
      <c r="BE16" s="372">
        <f>'CARGA DOCENTE'!$H273</f>
        <v>0</v>
      </c>
      <c r="BF16" s="373" t="str">
        <f>IF(OR(BE16="TC",BE16="MT"),'CARGA DOCENTE'!$A273," ")</f>
        <v xml:space="preserve"> </v>
      </c>
      <c r="BG16" s="374" t="str">
        <f>IF(OR(BE16="TC",BE16="MT"),'CARGA DOCENTE'!$B273," ")</f>
        <v xml:space="preserve"> </v>
      </c>
      <c r="BH16" s="374" t="str">
        <f>IF(OR(BE16="TC",BE16="MT"),'CARGA DOCENTE'!$C273," ")</f>
        <v xml:space="preserve"> </v>
      </c>
      <c r="BI16" s="374" t="str">
        <f>IF(OR(BE16="TC",BE16="MT"),'CARGA DOCENTE'!$G273," ")</f>
        <v xml:space="preserve"> </v>
      </c>
      <c r="BJ16" s="372">
        <f>'CARGA DOCENTE'!$H274</f>
        <v>0</v>
      </c>
      <c r="BK16" s="373" t="str">
        <f>IF(OR(BJ16="TC",BJ16="MT"),'CARGA DOCENTE'!$A274," ")</f>
        <v xml:space="preserve"> </v>
      </c>
      <c r="BL16" s="374" t="str">
        <f>IF(OR(BJ16="TC",BJ16="MT"),'CARGA DOCENTE'!$B274," ")</f>
        <v xml:space="preserve"> </v>
      </c>
      <c r="BM16" s="374" t="str">
        <f>IF(OR(BJ16="TC",BJ16="MT"),'CARGA DOCENTE'!$C274," ")</f>
        <v xml:space="preserve"> </v>
      </c>
      <c r="BN16" s="374" t="str">
        <f>IF(OR(BJ16="TC",BJ16="MT"),'CARGA DOCENTE'!$G274," ")</f>
        <v xml:space="preserve"> </v>
      </c>
      <c r="BO16" s="372">
        <f>'CARGA DOCENTE'!$H275</f>
        <v>0</v>
      </c>
      <c r="BP16" s="373" t="str">
        <f>IF(OR(BO16="TC",BO16="MT"),'CARGA DOCENTE'!$A275," ")</f>
        <v xml:space="preserve"> </v>
      </c>
      <c r="BQ16" s="374" t="str">
        <f>IF(OR(BO16="TC",BO16="MT"),'CARGA DOCENTE'!$B275," ")</f>
        <v xml:space="preserve"> </v>
      </c>
      <c r="BR16" s="374" t="str">
        <f>IF(OR(BO16="TC",BO16="MT"),'CARGA DOCENTE'!$C275," ")</f>
        <v xml:space="preserve"> </v>
      </c>
      <c r="BS16" s="374" t="str">
        <f>IF(OR(BO16="TC",BO16="MT"),'CARGA DOCENTE'!$G275," ")</f>
        <v xml:space="preserve"> </v>
      </c>
      <c r="BT16" s="372">
        <f>'CARGA DOCENTE'!$H276</f>
        <v>0</v>
      </c>
      <c r="BU16" s="373" t="str">
        <f>IF(OR(BT16="TC",BT16="MT"),'CARGA DOCENTE'!$A276," ")</f>
        <v xml:space="preserve"> </v>
      </c>
      <c r="BV16" s="374" t="str">
        <f>IF(OR(BT16="TC",BT16="MT"),'CARGA DOCENTE'!$B276," ")</f>
        <v xml:space="preserve"> </v>
      </c>
      <c r="BW16" s="374" t="str">
        <f>IF(OR(BT16="TC",BT16="MT"),'CARGA DOCENTE'!$C276," ")</f>
        <v xml:space="preserve"> </v>
      </c>
      <c r="BX16" s="374" t="str">
        <f>IF(OR(BT16="TC",BT16="MT"),'CARGA DOCENTE'!$G276," ")</f>
        <v xml:space="preserve"> </v>
      </c>
    </row>
    <row r="17" spans="1:76" x14ac:dyDescent="0.2">
      <c r="A17" s="378">
        <f>'CARGA DOCENTE'!J280</f>
        <v>0</v>
      </c>
      <c r="B17" s="372">
        <f>'CARGA DOCENTE'!$H280</f>
        <v>0</v>
      </c>
      <c r="C17" s="373" t="str">
        <f>IF(OR(B17="TC",B17="MT"),'CARGA DOCENTE'!$A280," ")</f>
        <v xml:space="preserve"> </v>
      </c>
      <c r="D17" s="374" t="str">
        <f>IF(OR(B17="TC",B17="MT"),'CARGA DOCENTE'!$B280," ")</f>
        <v xml:space="preserve"> </v>
      </c>
      <c r="E17" s="374" t="str">
        <f>IF(OR(B17="TC",B17="MT"),'CARGA DOCENTE'!$C280," ")</f>
        <v xml:space="preserve"> </v>
      </c>
      <c r="F17" s="374" t="str">
        <f>IF(OR(B17="TC",B17="MT"),'CARGA DOCENTE'!$G280," ")</f>
        <v xml:space="preserve"> </v>
      </c>
      <c r="G17" s="372">
        <f>'CARGA DOCENTE'!$H281</f>
        <v>0</v>
      </c>
      <c r="H17" s="373" t="str">
        <f>IF(OR(G17="TC",G17="MT"),'CARGA DOCENTE'!$A281," ")</f>
        <v xml:space="preserve"> </v>
      </c>
      <c r="I17" s="374" t="str">
        <f>IF(OR(G17="TC",G17="MT"),'CARGA DOCENTE'!$B281," ")</f>
        <v xml:space="preserve"> </v>
      </c>
      <c r="J17" s="374" t="str">
        <f>IF(OR(G17="TC",G17="MT"),'CARGA DOCENTE'!$C281," ")</f>
        <v xml:space="preserve"> </v>
      </c>
      <c r="K17" s="374" t="str">
        <f>IF(OR(G17="TC",G17="MT"),'CARGA DOCENTE'!$G281," ")</f>
        <v xml:space="preserve"> </v>
      </c>
      <c r="L17" s="372">
        <f>'CARGA DOCENTE'!$H282</f>
        <v>0</v>
      </c>
      <c r="M17" s="373" t="str">
        <f>IF(OR(L17="TC",L17="MT"),'CARGA DOCENTE'!$A282," ")</f>
        <v xml:space="preserve"> </v>
      </c>
      <c r="N17" s="374" t="str">
        <f>IF(OR(L17="TC",L17="MT"),'CARGA DOCENTE'!$B282," ")</f>
        <v xml:space="preserve"> </v>
      </c>
      <c r="O17" s="374" t="str">
        <f>IF(OR(L17="TC",L17="MT"),'CARGA DOCENTE'!$C282," ")</f>
        <v xml:space="preserve"> </v>
      </c>
      <c r="P17" s="374" t="str">
        <f>IF(OR(L17="TC",L17="MT"),'CARGA DOCENTE'!$G282," ")</f>
        <v xml:space="preserve"> </v>
      </c>
      <c r="Q17" s="372">
        <f>'CARGA DOCENTE'!$H283</f>
        <v>0</v>
      </c>
      <c r="R17" s="373" t="str">
        <f>IF(OR(Q17="TC",Q17="MT"),'CARGA DOCENTE'!$A283," ")</f>
        <v xml:space="preserve"> </v>
      </c>
      <c r="S17" s="374" t="str">
        <f>IF(OR(Q17="TC",Q17="MT"),'CARGA DOCENTE'!$B283," ")</f>
        <v xml:space="preserve"> </v>
      </c>
      <c r="T17" s="374" t="str">
        <f>IF(OR(Q17="TC",Q17="MT"),'CARGA DOCENTE'!$C283," ")</f>
        <v xml:space="preserve"> </v>
      </c>
      <c r="U17" s="374" t="str">
        <f>IF(OR(Q17="TC",Q17="MT"),'CARGA DOCENTE'!$G283," ")</f>
        <v xml:space="preserve"> </v>
      </c>
      <c r="V17" s="372">
        <f>'CARGA DOCENTE'!$H284</f>
        <v>0</v>
      </c>
      <c r="W17" s="373" t="str">
        <f>IF(OR(V17="TC",V17="MT"),'CARGA DOCENTE'!$A284," ")</f>
        <v xml:space="preserve"> </v>
      </c>
      <c r="X17" s="374" t="str">
        <f>IF(OR(V17="TC",V17="MT"),'CARGA DOCENTE'!$B284," ")</f>
        <v xml:space="preserve"> </v>
      </c>
      <c r="Y17" s="374" t="str">
        <f>IF(OR(V17="TC",V17="MT"),'CARGA DOCENTE'!$C284," ")</f>
        <v xml:space="preserve"> </v>
      </c>
      <c r="Z17" s="374" t="str">
        <f>IF(OR(V17="TC",V17="MT"),'CARGA DOCENTE'!$G284," ")</f>
        <v xml:space="preserve"> </v>
      </c>
      <c r="AA17" s="372">
        <f>'CARGA DOCENTE'!$H285</f>
        <v>0</v>
      </c>
      <c r="AB17" s="373" t="str">
        <f>IF(OR(AA17="TC",AA17="MT"),'CARGA DOCENTE'!$A285," ")</f>
        <v xml:space="preserve"> </v>
      </c>
      <c r="AC17" s="374" t="str">
        <f>IF(OR(AA17="TC",AA17="MT"),'CARGA DOCENTE'!$B285," ")</f>
        <v xml:space="preserve"> </v>
      </c>
      <c r="AD17" s="374" t="str">
        <f>IF(OR(AA17="TC",AA17="MT"),'CARGA DOCENTE'!$C285," ")</f>
        <v xml:space="preserve"> </v>
      </c>
      <c r="AE17" s="374" t="str">
        <f>IF(OR(AA17="TC",AA17="MT"),'CARGA DOCENTE'!$G285," ")</f>
        <v xml:space="preserve"> </v>
      </c>
      <c r="AF17" s="372">
        <f>'CARGA DOCENTE'!$H286</f>
        <v>0</v>
      </c>
      <c r="AG17" s="373" t="str">
        <f>IF(OR(AF17="TC",AF17="MT"),'CARGA DOCENTE'!$A286," ")</f>
        <v xml:space="preserve"> </v>
      </c>
      <c r="AH17" s="374" t="str">
        <f>IF(OR(AF17="TC",AF17="MT"),'CARGA DOCENTE'!$B286," ")</f>
        <v xml:space="preserve"> </v>
      </c>
      <c r="AI17" s="374" t="str">
        <f>IF(OR(AF17="TC",AF17="MT"),'CARGA DOCENTE'!$C286," ")</f>
        <v xml:space="preserve"> </v>
      </c>
      <c r="AJ17" s="374" t="str">
        <f>IF(OR(AF17="TC",AF17="MT"),'CARGA DOCENTE'!$G286," ")</f>
        <v xml:space="preserve"> </v>
      </c>
      <c r="AK17" s="372">
        <f>'CARGA DOCENTE'!$H287</f>
        <v>0</v>
      </c>
      <c r="AL17" s="373" t="str">
        <f>IF(OR(AK17="TC",AK17="MT"),'CARGA DOCENTE'!$A287," ")</f>
        <v xml:space="preserve"> </v>
      </c>
      <c r="AM17" s="374" t="str">
        <f>IF(OR(AK17="TC",AK17="MT"),'CARGA DOCENTE'!$B287," ")</f>
        <v xml:space="preserve"> </v>
      </c>
      <c r="AN17" s="374" t="str">
        <f>IF(OR(AK17="TC",AK17="MT"),'CARGA DOCENTE'!$C287," ")</f>
        <v xml:space="preserve"> </v>
      </c>
      <c r="AO17" s="374" t="str">
        <f>IF(OR(AK17="TC",AK17="MT"),'CARGA DOCENTE'!$G287," ")</f>
        <v xml:space="preserve"> </v>
      </c>
      <c r="AP17" s="372">
        <f>'CARGA DOCENTE'!$H288</f>
        <v>0</v>
      </c>
      <c r="AQ17" s="373" t="str">
        <f>IF(OR(AP17="TC",AP17="MT"),'CARGA DOCENTE'!$A288," ")</f>
        <v xml:space="preserve"> </v>
      </c>
      <c r="AR17" s="374" t="str">
        <f>IF(OR(AP17="TC",AP17="MT"),'CARGA DOCENTE'!$B288," ")</f>
        <v xml:space="preserve"> </v>
      </c>
      <c r="AS17" s="374" t="str">
        <f>IF(OR(AP17="TC",AP17="MT"),'CARGA DOCENTE'!$C288," ")</f>
        <v xml:space="preserve"> </v>
      </c>
      <c r="AT17" s="374" t="str">
        <f>IF(OR(AP17="TC",AP17="MT"),'CARGA DOCENTE'!$G288," ")</f>
        <v xml:space="preserve"> </v>
      </c>
      <c r="AU17" s="372">
        <f>'CARGA DOCENTE'!$H289</f>
        <v>0</v>
      </c>
      <c r="AV17" s="373" t="str">
        <f>IF(OR(AU17="TC",AU17="MT"),'CARGA DOCENTE'!$A289," ")</f>
        <v xml:space="preserve"> </v>
      </c>
      <c r="AW17" s="374" t="str">
        <f>IF(OR(AU17="TC",AU17="MT"),'CARGA DOCENTE'!$B289," ")</f>
        <v xml:space="preserve"> </v>
      </c>
      <c r="AX17" s="374" t="str">
        <f>IF(OR(AU17="TC",AU17="MT"),'CARGA DOCENTE'!$C289," ")</f>
        <v xml:space="preserve"> </v>
      </c>
      <c r="AY17" s="374" t="str">
        <f>IF(OR(AU17="TC",AU17="MT"),'CARGA DOCENTE'!$G289," ")</f>
        <v xml:space="preserve"> </v>
      </c>
      <c r="AZ17" s="372">
        <f>'CARGA DOCENTE'!$H290</f>
        <v>0</v>
      </c>
      <c r="BA17" s="373" t="str">
        <f>IF(OR(AZ17="TC",AZ17="MT"),'CARGA DOCENTE'!$A290," ")</f>
        <v xml:space="preserve"> </v>
      </c>
      <c r="BB17" s="374" t="str">
        <f>IF(OR(AZ17="TC",AZ17="MT"),'CARGA DOCENTE'!$B290," ")</f>
        <v xml:space="preserve"> </v>
      </c>
      <c r="BC17" s="374" t="str">
        <f>IF(OR(AZ17="TC",AZ17="MT"),'CARGA DOCENTE'!$C290," ")</f>
        <v xml:space="preserve"> </v>
      </c>
      <c r="BD17" s="374" t="str">
        <f>IF(OR(AZ17="TC",AZ17="MT"),'CARGA DOCENTE'!$G290," ")</f>
        <v xml:space="preserve"> </v>
      </c>
      <c r="BE17" s="372">
        <f>'CARGA DOCENTE'!$H291</f>
        <v>0</v>
      </c>
      <c r="BF17" s="373" t="str">
        <f>IF(OR(BE17="TC",BE17="MT"),'CARGA DOCENTE'!$A291," ")</f>
        <v xml:space="preserve"> </v>
      </c>
      <c r="BG17" s="374" t="str">
        <f>IF(OR(BE17="TC",BE17="MT"),'CARGA DOCENTE'!$B291," ")</f>
        <v xml:space="preserve"> </v>
      </c>
      <c r="BH17" s="374" t="str">
        <f>IF(OR(BE17="TC",BE17="MT"),'CARGA DOCENTE'!$C291," ")</f>
        <v xml:space="preserve"> </v>
      </c>
      <c r="BI17" s="374" t="str">
        <f>IF(OR(BE17="TC",BE17="MT"),'CARGA DOCENTE'!$G291," ")</f>
        <v xml:space="preserve"> </v>
      </c>
      <c r="BJ17" s="372">
        <f>'CARGA DOCENTE'!$H292</f>
        <v>0</v>
      </c>
      <c r="BK17" s="373" t="str">
        <f>IF(OR(BJ17="TC",BJ17="MT"),'CARGA DOCENTE'!$A292," ")</f>
        <v xml:space="preserve"> </v>
      </c>
      <c r="BL17" s="374" t="str">
        <f>IF(OR(BJ17="TC",BJ17="MT"),'CARGA DOCENTE'!$B292," ")</f>
        <v xml:space="preserve"> </v>
      </c>
      <c r="BM17" s="374" t="str">
        <f>IF(OR(BJ17="TC",BJ17="MT"),'CARGA DOCENTE'!$C292," ")</f>
        <v xml:space="preserve"> </v>
      </c>
      <c r="BN17" s="374" t="str">
        <f>IF(OR(BJ17="TC",BJ17="MT"),'CARGA DOCENTE'!$G292," ")</f>
        <v xml:space="preserve"> </v>
      </c>
      <c r="BO17" s="372">
        <f>'CARGA DOCENTE'!$H293</f>
        <v>0</v>
      </c>
      <c r="BP17" s="373" t="str">
        <f>IF(OR(BO17="TC",BO17="MT"),'CARGA DOCENTE'!$A293," ")</f>
        <v xml:space="preserve"> </v>
      </c>
      <c r="BQ17" s="374" t="str">
        <f>IF(OR(BO17="TC",BO17="MT"),'CARGA DOCENTE'!$B293," ")</f>
        <v xml:space="preserve"> </v>
      </c>
      <c r="BR17" s="374" t="str">
        <f>IF(OR(BO17="TC",BO17="MT"),'CARGA DOCENTE'!$C293," ")</f>
        <v xml:space="preserve"> </v>
      </c>
      <c r="BS17" s="374" t="str">
        <f>IF(OR(BO17="TC",BO17="MT"),'CARGA DOCENTE'!$G293," ")</f>
        <v xml:space="preserve"> </v>
      </c>
      <c r="BT17" s="372">
        <f>'CARGA DOCENTE'!$H294</f>
        <v>0</v>
      </c>
      <c r="BU17" s="373" t="str">
        <f>IF(OR(BT17="TC",BT17="MT"),'CARGA DOCENTE'!$A294," ")</f>
        <v xml:space="preserve"> </v>
      </c>
      <c r="BV17" s="374" t="str">
        <f>IF(OR(BT17="TC",BT17="MT"),'CARGA DOCENTE'!$B294," ")</f>
        <v xml:space="preserve"> </v>
      </c>
      <c r="BW17" s="374" t="str">
        <f>IF(OR(BT17="TC",BT17="MT"),'CARGA DOCENTE'!$C294," ")</f>
        <v xml:space="preserve"> </v>
      </c>
      <c r="BX17" s="374" t="str">
        <f>IF(OR(BT17="TC",BT17="MT"),'CARGA DOCENTE'!$G294," ")</f>
        <v xml:space="preserve"> </v>
      </c>
    </row>
    <row r="18" spans="1:76" x14ac:dyDescent="0.2">
      <c r="A18" s="378">
        <f>'CARGA DOCENTE'!J298</f>
        <v>0</v>
      </c>
      <c r="B18" s="372">
        <f>'CARGA DOCENTE'!$H298</f>
        <v>0</v>
      </c>
      <c r="C18" s="373" t="str">
        <f>IF(OR(B18="TC",B18="MT"),'CARGA DOCENTE'!$A298," ")</f>
        <v xml:space="preserve"> </v>
      </c>
      <c r="D18" s="374" t="str">
        <f>IF(OR(B18="TC",B18="MT"),'CARGA DOCENTE'!$B298," ")</f>
        <v xml:space="preserve"> </v>
      </c>
      <c r="E18" s="374" t="str">
        <f>IF(OR(B18="TC",B18="MT"),'CARGA DOCENTE'!$C298," ")</f>
        <v xml:space="preserve"> </v>
      </c>
      <c r="F18" s="374" t="str">
        <f>IF(OR(B18="TC",B18="MT"),'CARGA DOCENTE'!$G298," ")</f>
        <v xml:space="preserve"> </v>
      </c>
      <c r="G18" s="372">
        <f>'CARGA DOCENTE'!$H299</f>
        <v>0</v>
      </c>
      <c r="H18" s="373" t="str">
        <f>IF(OR(G18="TC",G18="MT"),'CARGA DOCENTE'!$A299," ")</f>
        <v xml:space="preserve"> </v>
      </c>
      <c r="I18" s="374" t="str">
        <f>IF(OR(G18="TC",G18="MT"),'CARGA DOCENTE'!$B299," ")</f>
        <v xml:space="preserve"> </v>
      </c>
      <c r="J18" s="374" t="str">
        <f>IF(OR(G18="TC",G18="MT"),'CARGA DOCENTE'!$C299," ")</f>
        <v xml:space="preserve"> </v>
      </c>
      <c r="K18" s="374" t="str">
        <f>IF(OR(G18="TC",G18="MT"),'CARGA DOCENTE'!$G299," ")</f>
        <v xml:space="preserve"> </v>
      </c>
      <c r="L18" s="372">
        <f>'CARGA DOCENTE'!$H300</f>
        <v>0</v>
      </c>
      <c r="M18" s="373" t="str">
        <f>IF(OR(L18="TC",L18="MT"),'CARGA DOCENTE'!$A300," ")</f>
        <v xml:space="preserve"> </v>
      </c>
      <c r="N18" s="374" t="str">
        <f>IF(OR(L18="TC",L18="MT"),'CARGA DOCENTE'!$B300," ")</f>
        <v xml:space="preserve"> </v>
      </c>
      <c r="O18" s="374" t="str">
        <f>IF(OR(L18="TC",L18="MT"),'CARGA DOCENTE'!$C300," ")</f>
        <v xml:space="preserve"> </v>
      </c>
      <c r="P18" s="374" t="str">
        <f>IF(OR(L18="TC",L18="MT"),'CARGA DOCENTE'!$G300," ")</f>
        <v xml:space="preserve"> </v>
      </c>
      <c r="Q18" s="372">
        <f>'CARGA DOCENTE'!$H301</f>
        <v>0</v>
      </c>
      <c r="R18" s="373" t="str">
        <f>IF(OR(Q18="TC",Q18="MT"),'CARGA DOCENTE'!$A301," ")</f>
        <v xml:space="preserve"> </v>
      </c>
      <c r="S18" s="374" t="str">
        <f>IF(OR(Q18="TC",Q18="MT"),'CARGA DOCENTE'!$B301," ")</f>
        <v xml:space="preserve"> </v>
      </c>
      <c r="T18" s="374" t="str">
        <f>IF(OR(Q18="TC",Q18="MT"),'CARGA DOCENTE'!$C301," ")</f>
        <v xml:space="preserve"> </v>
      </c>
      <c r="U18" s="374" t="str">
        <f>IF(OR(Q18="TC",Q18="MT"),'CARGA DOCENTE'!$G301," ")</f>
        <v xml:space="preserve"> </v>
      </c>
      <c r="V18" s="372">
        <f>'CARGA DOCENTE'!$H302</f>
        <v>0</v>
      </c>
      <c r="W18" s="373" t="str">
        <f>IF(OR(V18="TC",V18="MT"),'CARGA DOCENTE'!$A302," ")</f>
        <v xml:space="preserve"> </v>
      </c>
      <c r="X18" s="374" t="str">
        <f>IF(OR(V18="TC",V18="MT"),'CARGA DOCENTE'!$B302," ")</f>
        <v xml:space="preserve"> </v>
      </c>
      <c r="Y18" s="374" t="str">
        <f>IF(OR(V18="TC",V18="MT"),'CARGA DOCENTE'!$C302," ")</f>
        <v xml:space="preserve"> </v>
      </c>
      <c r="Z18" s="374" t="str">
        <f>IF(OR(V18="TC",V18="MT"),'CARGA DOCENTE'!$G302," ")</f>
        <v xml:space="preserve"> </v>
      </c>
      <c r="AA18" s="372">
        <f>'CARGA DOCENTE'!$H303</f>
        <v>0</v>
      </c>
      <c r="AB18" s="373" t="str">
        <f>IF(OR(AA18="TC",AA18="MT"),'CARGA DOCENTE'!$A303," ")</f>
        <v xml:space="preserve"> </v>
      </c>
      <c r="AC18" s="374" t="str">
        <f>IF(OR(AA18="TC",AA18="MT"),'CARGA DOCENTE'!$B303," ")</f>
        <v xml:space="preserve"> </v>
      </c>
      <c r="AD18" s="374" t="str">
        <f>IF(OR(AA18="TC",AA18="MT"),'CARGA DOCENTE'!$C303," ")</f>
        <v xml:space="preserve"> </v>
      </c>
      <c r="AE18" s="374" t="str">
        <f>IF(OR(AA18="TC",AA18="MT"),'CARGA DOCENTE'!$G303," ")</f>
        <v xml:space="preserve"> </v>
      </c>
      <c r="AF18" s="372">
        <f>'CARGA DOCENTE'!$H304</f>
        <v>0</v>
      </c>
      <c r="AG18" s="373" t="str">
        <f>IF(OR(AF18="TC",AF18="MT"),'CARGA DOCENTE'!$A304," ")</f>
        <v xml:space="preserve"> </v>
      </c>
      <c r="AH18" s="374" t="str">
        <f>IF(OR(AF18="TC",AF18="MT"),'CARGA DOCENTE'!$B304," ")</f>
        <v xml:space="preserve"> </v>
      </c>
      <c r="AI18" s="374" t="str">
        <f>IF(OR(AF18="TC",AF18="MT"),'CARGA DOCENTE'!$C304," ")</f>
        <v xml:space="preserve"> </v>
      </c>
      <c r="AJ18" s="374" t="str">
        <f>IF(OR(AF18="TC",AF18="MT"),'CARGA DOCENTE'!$G304," ")</f>
        <v xml:space="preserve"> </v>
      </c>
      <c r="AK18" s="372">
        <f>'CARGA DOCENTE'!$H305</f>
        <v>0</v>
      </c>
      <c r="AL18" s="373" t="str">
        <f>IF(OR(AK18="TC",AK18="MT"),'CARGA DOCENTE'!$A305," ")</f>
        <v xml:space="preserve"> </v>
      </c>
      <c r="AM18" s="374" t="str">
        <f>IF(OR(AK18="TC",AK18="MT"),'CARGA DOCENTE'!$B305," ")</f>
        <v xml:space="preserve"> </v>
      </c>
      <c r="AN18" s="374" t="str">
        <f>IF(OR(AK18="TC",AK18="MT"),'CARGA DOCENTE'!$C305," ")</f>
        <v xml:space="preserve"> </v>
      </c>
      <c r="AO18" s="374" t="str">
        <f>IF(OR(AK18="TC",AK18="MT"),'CARGA DOCENTE'!$G305," ")</f>
        <v xml:space="preserve"> </v>
      </c>
      <c r="AP18" s="372">
        <f>'CARGA DOCENTE'!$H306</f>
        <v>0</v>
      </c>
      <c r="AQ18" s="373" t="str">
        <f>IF(OR(AP18="TC",AP18="MT"),'CARGA DOCENTE'!$A306," ")</f>
        <v xml:space="preserve"> </v>
      </c>
      <c r="AR18" s="374" t="str">
        <f>IF(OR(AP18="TC",AP18="MT"),'CARGA DOCENTE'!$B306," ")</f>
        <v xml:space="preserve"> </v>
      </c>
      <c r="AS18" s="374" t="str">
        <f>IF(OR(AP18="TC",AP18="MT"),'CARGA DOCENTE'!$C306," ")</f>
        <v xml:space="preserve"> </v>
      </c>
      <c r="AT18" s="374" t="str">
        <f>IF(OR(AP18="TC",AP18="MT"),'CARGA DOCENTE'!$G306," ")</f>
        <v xml:space="preserve"> </v>
      </c>
      <c r="AU18" s="372">
        <f>'CARGA DOCENTE'!$H307</f>
        <v>0</v>
      </c>
      <c r="AV18" s="373" t="str">
        <f>IF(OR(AU18="TC",AU18="MT"),'CARGA DOCENTE'!$A307," ")</f>
        <v xml:space="preserve"> </v>
      </c>
      <c r="AW18" s="374" t="str">
        <f>IF(OR(AU18="TC",AU18="MT"),'CARGA DOCENTE'!$B307," ")</f>
        <v xml:space="preserve"> </v>
      </c>
      <c r="AX18" s="374" t="str">
        <f>IF(OR(AU18="TC",AU18="MT"),'CARGA DOCENTE'!$C307," ")</f>
        <v xml:space="preserve"> </v>
      </c>
      <c r="AY18" s="374" t="str">
        <f>IF(OR(AU18="TC",AU18="MT"),'CARGA DOCENTE'!$G307," ")</f>
        <v xml:space="preserve"> </v>
      </c>
      <c r="AZ18" s="372">
        <f>'CARGA DOCENTE'!$H308</f>
        <v>0</v>
      </c>
      <c r="BA18" s="373" t="str">
        <f>IF(OR(AZ18="TC",AZ18="MT"),'CARGA DOCENTE'!$A308," ")</f>
        <v xml:space="preserve"> </v>
      </c>
      <c r="BB18" s="374" t="str">
        <f>IF(OR(AZ18="TC",AZ18="MT"),'CARGA DOCENTE'!$B308," ")</f>
        <v xml:space="preserve"> </v>
      </c>
      <c r="BC18" s="374" t="str">
        <f>IF(OR(AZ18="TC",AZ18="MT"),'CARGA DOCENTE'!$C308," ")</f>
        <v xml:space="preserve"> </v>
      </c>
      <c r="BD18" s="374" t="str">
        <f>IF(OR(AZ18="TC",AZ18="MT"),'CARGA DOCENTE'!$G308," ")</f>
        <v xml:space="preserve"> </v>
      </c>
      <c r="BE18" s="372">
        <f>'CARGA DOCENTE'!$H309</f>
        <v>0</v>
      </c>
      <c r="BF18" s="373" t="str">
        <f>IF(OR(BE18="TC",BE18="MT"),'CARGA DOCENTE'!$A309," ")</f>
        <v xml:space="preserve"> </v>
      </c>
      <c r="BG18" s="374" t="str">
        <f>IF(OR(BE18="TC",BE18="MT"),'CARGA DOCENTE'!$B309," ")</f>
        <v xml:space="preserve"> </v>
      </c>
      <c r="BH18" s="374" t="str">
        <f>IF(OR(BE18="TC",BE18="MT"),'CARGA DOCENTE'!$C309," ")</f>
        <v xml:space="preserve"> </v>
      </c>
      <c r="BI18" s="374" t="str">
        <f>IF(OR(BE18="TC",BE18="MT"),'CARGA DOCENTE'!$G309," ")</f>
        <v xml:space="preserve"> </v>
      </c>
      <c r="BJ18" s="372">
        <f>'CARGA DOCENTE'!$H310</f>
        <v>0</v>
      </c>
      <c r="BK18" s="373" t="str">
        <f>IF(OR(BJ18="TC",BJ18="MT"),'CARGA DOCENTE'!$A310," ")</f>
        <v xml:space="preserve"> </v>
      </c>
      <c r="BL18" s="374" t="str">
        <f>IF(OR(BJ18="TC",BJ18="MT"),'CARGA DOCENTE'!$B310," ")</f>
        <v xml:space="preserve"> </v>
      </c>
      <c r="BM18" s="374" t="str">
        <f>IF(OR(BJ18="TC",BJ18="MT"),'CARGA DOCENTE'!$C310," ")</f>
        <v xml:space="preserve"> </v>
      </c>
      <c r="BN18" s="374" t="str">
        <f>IF(OR(BJ18="TC",BJ18="MT"),'CARGA DOCENTE'!$G310," ")</f>
        <v xml:space="preserve"> </v>
      </c>
      <c r="BO18" s="372">
        <f>'CARGA DOCENTE'!$H311</f>
        <v>0</v>
      </c>
      <c r="BP18" s="373" t="str">
        <f>IF(OR(BO18="TC",BO18="MT"),'CARGA DOCENTE'!$A311," ")</f>
        <v xml:space="preserve"> </v>
      </c>
      <c r="BQ18" s="374" t="str">
        <f>IF(OR(BO18="TC",BO18="MT"),'CARGA DOCENTE'!$B311," ")</f>
        <v xml:space="preserve"> </v>
      </c>
      <c r="BR18" s="374" t="str">
        <f>IF(OR(BO18="TC",BO18="MT"),'CARGA DOCENTE'!$C311," ")</f>
        <v xml:space="preserve"> </v>
      </c>
      <c r="BS18" s="374" t="str">
        <f>IF(OR(BO18="TC",BO18="MT"),'CARGA DOCENTE'!$G311," ")</f>
        <v xml:space="preserve"> </v>
      </c>
      <c r="BT18" s="372">
        <f>'CARGA DOCENTE'!$H312</f>
        <v>0</v>
      </c>
      <c r="BU18" s="373" t="str">
        <f>IF(OR(BT18="TC",BT18="MT"),'CARGA DOCENTE'!$A312," ")</f>
        <v xml:space="preserve"> </v>
      </c>
      <c r="BV18" s="374" t="str">
        <f>IF(OR(BT18="TC",BT18="MT"),'CARGA DOCENTE'!$B312," ")</f>
        <v xml:space="preserve"> </v>
      </c>
      <c r="BW18" s="374" t="str">
        <f>IF(OR(BT18="TC",BT18="MT"),'CARGA DOCENTE'!$C312," ")</f>
        <v xml:space="preserve"> </v>
      </c>
      <c r="BX18" s="374" t="str">
        <f>IF(OR(BT18="TC",BT18="MT"),'CARGA DOCENTE'!$G312," ")</f>
        <v xml:space="preserve"> </v>
      </c>
    </row>
    <row r="19" spans="1:76" x14ac:dyDescent="0.2">
      <c r="A19" s="378">
        <f>'CARGA DOCENTE'!J316</f>
        <v>0</v>
      </c>
      <c r="B19" s="372">
        <f>'CARGA DOCENTE'!$H316</f>
        <v>0</v>
      </c>
      <c r="C19" s="373" t="str">
        <f>IF(OR(B19="TC",B19="MT"),'CARGA DOCENTE'!$A316," ")</f>
        <v xml:space="preserve"> </v>
      </c>
      <c r="D19" s="374" t="str">
        <f>IF(OR(B19="TC",B19="MT"),'CARGA DOCENTE'!$B316," ")</f>
        <v xml:space="preserve"> </v>
      </c>
      <c r="E19" s="374" t="str">
        <f>IF(OR(B19="TC",B19="MT"),'CARGA DOCENTE'!$C316," ")</f>
        <v xml:space="preserve"> </v>
      </c>
      <c r="F19" s="374" t="str">
        <f>IF(OR(B19="TC",B19="MT"),'CARGA DOCENTE'!$G316," ")</f>
        <v xml:space="preserve"> </v>
      </c>
      <c r="G19" s="372">
        <f>'CARGA DOCENTE'!$H317</f>
        <v>0</v>
      </c>
      <c r="H19" s="373" t="str">
        <f>IF(OR(G19="TC",G19="MT"),'CARGA DOCENTE'!$A317," ")</f>
        <v xml:space="preserve"> </v>
      </c>
      <c r="I19" s="374" t="str">
        <f>IF(OR(G19="TC",G19="MT"),'CARGA DOCENTE'!$B317," ")</f>
        <v xml:space="preserve"> </v>
      </c>
      <c r="J19" s="374" t="str">
        <f>IF(OR(G19="TC",G19="MT"),'CARGA DOCENTE'!$C317," ")</f>
        <v xml:space="preserve"> </v>
      </c>
      <c r="K19" s="374" t="str">
        <f>IF(OR(G19="TC",G19="MT"),'CARGA DOCENTE'!$G317," ")</f>
        <v xml:space="preserve"> </v>
      </c>
      <c r="L19" s="372">
        <f>'CARGA DOCENTE'!$H318</f>
        <v>0</v>
      </c>
      <c r="M19" s="373" t="str">
        <f>IF(OR(L19="TC",L19="MT"),'CARGA DOCENTE'!$A318," ")</f>
        <v xml:space="preserve"> </v>
      </c>
      <c r="N19" s="374" t="str">
        <f>IF(OR(L19="TC",L19="MT"),'CARGA DOCENTE'!$B318," ")</f>
        <v xml:space="preserve"> </v>
      </c>
      <c r="O19" s="374" t="str">
        <f>IF(OR(L19="TC",L19="MT"),'CARGA DOCENTE'!$C318," ")</f>
        <v xml:space="preserve"> </v>
      </c>
      <c r="P19" s="374" t="str">
        <f>IF(OR(L19="TC",L19="MT"),'CARGA DOCENTE'!$G318," ")</f>
        <v xml:space="preserve"> </v>
      </c>
      <c r="Q19" s="372">
        <f>'CARGA DOCENTE'!$H319</f>
        <v>0</v>
      </c>
      <c r="R19" s="373" t="str">
        <f>IF(OR(Q19="TC",Q19="MT"),'CARGA DOCENTE'!$A319," ")</f>
        <v xml:space="preserve"> </v>
      </c>
      <c r="S19" s="374" t="str">
        <f>IF(OR(Q19="TC",Q19="MT"),'CARGA DOCENTE'!$B319," ")</f>
        <v xml:space="preserve"> </v>
      </c>
      <c r="T19" s="374" t="str">
        <f>IF(OR(Q19="TC",Q19="MT"),'CARGA DOCENTE'!$C319," ")</f>
        <v xml:space="preserve"> </v>
      </c>
      <c r="U19" s="374" t="str">
        <f>IF(OR(Q19="TC",Q19="MT"),'CARGA DOCENTE'!$G319," ")</f>
        <v xml:space="preserve"> </v>
      </c>
      <c r="V19" s="372">
        <f>'CARGA DOCENTE'!$H320</f>
        <v>0</v>
      </c>
      <c r="W19" s="373" t="str">
        <f>IF(OR(V19="TC",V19="MT"),'CARGA DOCENTE'!$A320," ")</f>
        <v xml:space="preserve"> </v>
      </c>
      <c r="X19" s="374" t="str">
        <f>IF(OR(V19="TC",V19="MT"),'CARGA DOCENTE'!$B320," ")</f>
        <v xml:space="preserve"> </v>
      </c>
      <c r="Y19" s="374" t="str">
        <f>IF(OR(V19="TC",V19="MT"),'CARGA DOCENTE'!$C320," ")</f>
        <v xml:space="preserve"> </v>
      </c>
      <c r="Z19" s="374" t="str">
        <f>IF(OR(V19="TC",V19="MT"),'CARGA DOCENTE'!$G320," ")</f>
        <v xml:space="preserve"> </v>
      </c>
      <c r="AA19" s="372">
        <f>'CARGA DOCENTE'!$H321</f>
        <v>0</v>
      </c>
      <c r="AB19" s="373" t="str">
        <f>IF(OR(AA19="TC",AA19="MT"),'CARGA DOCENTE'!$A321," ")</f>
        <v xml:space="preserve"> </v>
      </c>
      <c r="AC19" s="374" t="str">
        <f>IF(OR(AA19="TC",AA19="MT"),'CARGA DOCENTE'!$B321," ")</f>
        <v xml:space="preserve"> </v>
      </c>
      <c r="AD19" s="374" t="str">
        <f>IF(OR(AA19="TC",AA19="MT"),'CARGA DOCENTE'!$C321," ")</f>
        <v xml:space="preserve"> </v>
      </c>
      <c r="AE19" s="374" t="str">
        <f>IF(OR(AA19="TC",AA19="MT"),'CARGA DOCENTE'!$G321," ")</f>
        <v xml:space="preserve"> </v>
      </c>
      <c r="AF19" s="372">
        <f>'CARGA DOCENTE'!$H322</f>
        <v>0</v>
      </c>
      <c r="AG19" s="373" t="str">
        <f>IF(OR(AF19="TC",AF19="MT"),'CARGA DOCENTE'!$A322," ")</f>
        <v xml:space="preserve"> </v>
      </c>
      <c r="AH19" s="374" t="str">
        <f>IF(OR(AF19="TC",AF19="MT"),'CARGA DOCENTE'!$B322," ")</f>
        <v xml:space="preserve"> </v>
      </c>
      <c r="AI19" s="374" t="str">
        <f>IF(OR(AF19="TC",AF19="MT"),'CARGA DOCENTE'!$C322," ")</f>
        <v xml:space="preserve"> </v>
      </c>
      <c r="AJ19" s="374" t="str">
        <f>IF(OR(AF19="TC",AF19="MT"),'CARGA DOCENTE'!$G322," ")</f>
        <v xml:space="preserve"> </v>
      </c>
      <c r="AK19" s="372">
        <f>'CARGA DOCENTE'!$H323</f>
        <v>0</v>
      </c>
      <c r="AL19" s="373" t="str">
        <f>IF(OR(AK19="TC",AK19="MT"),'CARGA DOCENTE'!$A323," ")</f>
        <v xml:space="preserve"> </v>
      </c>
      <c r="AM19" s="374" t="str">
        <f>IF(OR(AK19="TC",AK19="MT"),'CARGA DOCENTE'!$B323," ")</f>
        <v xml:space="preserve"> </v>
      </c>
      <c r="AN19" s="374" t="str">
        <f>IF(OR(AK19="TC",AK19="MT"),'CARGA DOCENTE'!$C323," ")</f>
        <v xml:space="preserve"> </v>
      </c>
      <c r="AO19" s="374" t="str">
        <f>IF(OR(AK19="TC",AK19="MT"),'CARGA DOCENTE'!$G323," ")</f>
        <v xml:space="preserve"> </v>
      </c>
      <c r="AP19" s="372">
        <f>'CARGA DOCENTE'!$H324</f>
        <v>0</v>
      </c>
      <c r="AQ19" s="373" t="str">
        <f>IF(OR(AP19="TC",AP19="MT"),'CARGA DOCENTE'!$A324," ")</f>
        <v xml:space="preserve"> </v>
      </c>
      <c r="AR19" s="374" t="str">
        <f>IF(OR(AP19="TC",AP19="MT"),'CARGA DOCENTE'!$B324," ")</f>
        <v xml:space="preserve"> </v>
      </c>
      <c r="AS19" s="374" t="str">
        <f>IF(OR(AP19="TC",AP19="MT"),'CARGA DOCENTE'!$C324," ")</f>
        <v xml:space="preserve"> </v>
      </c>
      <c r="AT19" s="374" t="str">
        <f>IF(OR(AP19="TC",AP19="MT"),'CARGA DOCENTE'!$G324," ")</f>
        <v xml:space="preserve"> </v>
      </c>
      <c r="AU19" s="372">
        <f>'CARGA DOCENTE'!$H325</f>
        <v>0</v>
      </c>
      <c r="AV19" s="373" t="str">
        <f>IF(OR(AU19="TC",AU19="MT"),'CARGA DOCENTE'!$A325," ")</f>
        <v xml:space="preserve"> </v>
      </c>
      <c r="AW19" s="374" t="str">
        <f>IF(OR(AU19="TC",AU19="MT"),'CARGA DOCENTE'!$B325," ")</f>
        <v xml:space="preserve"> </v>
      </c>
      <c r="AX19" s="374" t="str">
        <f>IF(OR(AU19="TC",AU19="MT"),'CARGA DOCENTE'!$C325," ")</f>
        <v xml:space="preserve"> </v>
      </c>
      <c r="AY19" s="374" t="str">
        <f>IF(OR(AU19="TC",AU19="MT"),'CARGA DOCENTE'!$G325," ")</f>
        <v xml:space="preserve"> </v>
      </c>
      <c r="AZ19" s="372">
        <f>'CARGA DOCENTE'!$H326</f>
        <v>0</v>
      </c>
      <c r="BA19" s="373" t="str">
        <f>IF(OR(AZ19="TC",AZ19="MT"),'CARGA DOCENTE'!$A326," ")</f>
        <v xml:space="preserve"> </v>
      </c>
      <c r="BB19" s="374" t="str">
        <f>IF(OR(AZ19="TC",AZ19="MT"),'CARGA DOCENTE'!$B326," ")</f>
        <v xml:space="preserve"> </v>
      </c>
      <c r="BC19" s="374" t="str">
        <f>IF(OR(AZ19="TC",AZ19="MT"),'CARGA DOCENTE'!$C326," ")</f>
        <v xml:space="preserve"> </v>
      </c>
      <c r="BD19" s="374" t="str">
        <f>IF(OR(AZ19="TC",AZ19="MT"),'CARGA DOCENTE'!$G326," ")</f>
        <v xml:space="preserve"> </v>
      </c>
      <c r="BE19" s="372">
        <f>'CARGA DOCENTE'!$H327</f>
        <v>0</v>
      </c>
      <c r="BF19" s="373" t="str">
        <f>IF(OR(BE19="TC",BE19="MT"),'CARGA DOCENTE'!$A327," ")</f>
        <v xml:space="preserve"> </v>
      </c>
      <c r="BG19" s="374" t="str">
        <f>IF(OR(BE19="TC",BE19="MT"),'CARGA DOCENTE'!$B327," ")</f>
        <v xml:space="preserve"> </v>
      </c>
      <c r="BH19" s="374" t="str">
        <f>IF(OR(BE19="TC",BE19="MT"),'CARGA DOCENTE'!$C327," ")</f>
        <v xml:space="preserve"> </v>
      </c>
      <c r="BI19" s="374" t="str">
        <f>IF(OR(BE19="TC",BE19="MT"),'CARGA DOCENTE'!$G327," ")</f>
        <v xml:space="preserve"> </v>
      </c>
      <c r="BJ19" s="372">
        <f>'CARGA DOCENTE'!$H328</f>
        <v>0</v>
      </c>
      <c r="BK19" s="373" t="str">
        <f>IF(OR(BJ19="TC",BJ19="MT"),'CARGA DOCENTE'!$A328," ")</f>
        <v xml:space="preserve"> </v>
      </c>
      <c r="BL19" s="374" t="str">
        <f>IF(OR(BJ19="TC",BJ19="MT"),'CARGA DOCENTE'!$B328," ")</f>
        <v xml:space="preserve"> </v>
      </c>
      <c r="BM19" s="374" t="str">
        <f>IF(OR(BJ19="TC",BJ19="MT"),'CARGA DOCENTE'!$C328," ")</f>
        <v xml:space="preserve"> </v>
      </c>
      <c r="BN19" s="374" t="str">
        <f>IF(OR(BJ19="TC",BJ19="MT"),'CARGA DOCENTE'!$G328," ")</f>
        <v xml:space="preserve"> </v>
      </c>
      <c r="BO19" s="372">
        <f>'CARGA DOCENTE'!$H329</f>
        <v>0</v>
      </c>
      <c r="BP19" s="373" t="str">
        <f>IF(OR(BO19="TC",BO19="MT"),'CARGA DOCENTE'!$A329," ")</f>
        <v xml:space="preserve"> </v>
      </c>
      <c r="BQ19" s="374" t="str">
        <f>IF(OR(BO19="TC",BO19="MT"),'CARGA DOCENTE'!$B329," ")</f>
        <v xml:space="preserve"> </v>
      </c>
      <c r="BR19" s="374" t="str">
        <f>IF(OR(BO19="TC",BO19="MT"),'CARGA DOCENTE'!$C329," ")</f>
        <v xml:space="preserve"> </v>
      </c>
      <c r="BS19" s="374" t="str">
        <f>IF(OR(BO19="TC",BO19="MT"),'CARGA DOCENTE'!$G329," ")</f>
        <v xml:space="preserve"> </v>
      </c>
      <c r="BT19" s="372">
        <f>'CARGA DOCENTE'!$H330</f>
        <v>0</v>
      </c>
      <c r="BU19" s="373" t="str">
        <f>IF(OR(BT19="TC",BT19="MT"),'CARGA DOCENTE'!$A330," ")</f>
        <v xml:space="preserve"> </v>
      </c>
      <c r="BV19" s="374" t="str">
        <f>IF(OR(BT19="TC",BT19="MT"),'CARGA DOCENTE'!$B330," ")</f>
        <v xml:space="preserve"> </v>
      </c>
      <c r="BW19" s="374" t="str">
        <f>IF(OR(BT19="TC",BT19="MT"),'CARGA DOCENTE'!$C330," ")</f>
        <v xml:space="preserve"> </v>
      </c>
      <c r="BX19" s="374" t="str">
        <f>IF(OR(BT19="TC",BT19="MT"),'CARGA DOCENTE'!$G330," ")</f>
        <v xml:space="preserve"> </v>
      </c>
    </row>
    <row r="20" spans="1:76" x14ac:dyDescent="0.2">
      <c r="A20" s="378">
        <f>'CARGA DOCENTE'!J334</f>
        <v>0</v>
      </c>
      <c r="B20" s="372">
        <f>'CARGA DOCENTE'!$H334</f>
        <v>0</v>
      </c>
      <c r="C20" s="373" t="str">
        <f>IF(OR(B20="TC",B20="MT"),'CARGA DOCENTE'!$A334," ")</f>
        <v xml:space="preserve"> </v>
      </c>
      <c r="D20" s="374" t="str">
        <f>IF(OR(B20="TC",B20="MT"),'CARGA DOCENTE'!$B334," ")</f>
        <v xml:space="preserve"> </v>
      </c>
      <c r="E20" s="374" t="str">
        <f>IF(OR(B20="TC",B20="MT"),'CARGA DOCENTE'!$C334," ")</f>
        <v xml:space="preserve"> </v>
      </c>
      <c r="F20" s="374" t="str">
        <f>IF(OR(B20="TC",B20="MT"),'CARGA DOCENTE'!$G334," ")</f>
        <v xml:space="preserve"> </v>
      </c>
      <c r="G20" s="372">
        <f>'CARGA DOCENTE'!$H335</f>
        <v>0</v>
      </c>
      <c r="H20" s="373" t="str">
        <f>IF(OR(G20="TC",G20="MT"),'CARGA DOCENTE'!$A335," ")</f>
        <v xml:space="preserve"> </v>
      </c>
      <c r="I20" s="374" t="str">
        <f>IF(OR(G20="TC",G20="MT"),'CARGA DOCENTE'!$B335," ")</f>
        <v xml:space="preserve"> </v>
      </c>
      <c r="J20" s="374" t="str">
        <f>IF(OR(G20="TC",G20="MT"),'CARGA DOCENTE'!$C335," ")</f>
        <v xml:space="preserve"> </v>
      </c>
      <c r="K20" s="374" t="str">
        <f>IF(OR(G20="TC",G20="MT"),'CARGA DOCENTE'!$G335," ")</f>
        <v xml:space="preserve"> </v>
      </c>
      <c r="L20" s="372">
        <f>'CARGA DOCENTE'!$H336</f>
        <v>0</v>
      </c>
      <c r="M20" s="373" t="str">
        <f>IF(OR(L20="TC",L20="MT"),'CARGA DOCENTE'!$A336," ")</f>
        <v xml:space="preserve"> </v>
      </c>
      <c r="N20" s="374" t="str">
        <f>IF(OR(L20="TC",L20="MT"),'CARGA DOCENTE'!$B336," ")</f>
        <v xml:space="preserve"> </v>
      </c>
      <c r="O20" s="374" t="str">
        <f>IF(OR(L20="TC",L20="MT"),'CARGA DOCENTE'!$C336," ")</f>
        <v xml:space="preserve"> </v>
      </c>
      <c r="P20" s="374" t="str">
        <f>IF(OR(L20="TC",L20="MT"),'CARGA DOCENTE'!$G336," ")</f>
        <v xml:space="preserve"> </v>
      </c>
      <c r="Q20" s="372">
        <f>'CARGA DOCENTE'!$H337</f>
        <v>0</v>
      </c>
      <c r="R20" s="373" t="str">
        <f>IF(OR(Q20="TC",Q20="MT"),'CARGA DOCENTE'!$A337," ")</f>
        <v xml:space="preserve"> </v>
      </c>
      <c r="S20" s="374" t="str">
        <f>IF(OR(Q20="TC",Q20="MT"),'CARGA DOCENTE'!$B337," ")</f>
        <v xml:space="preserve"> </v>
      </c>
      <c r="T20" s="374" t="str">
        <f>IF(OR(Q20="TC",Q20="MT"),'CARGA DOCENTE'!$C337," ")</f>
        <v xml:space="preserve"> </v>
      </c>
      <c r="U20" s="374" t="str">
        <f>IF(OR(Q20="TC",Q20="MT"),'CARGA DOCENTE'!$G337," ")</f>
        <v xml:space="preserve"> </v>
      </c>
      <c r="V20" s="372">
        <f>'CARGA DOCENTE'!$H338</f>
        <v>0</v>
      </c>
      <c r="W20" s="373" t="str">
        <f>IF(OR(V20="TC",V20="MT"),'CARGA DOCENTE'!$A338," ")</f>
        <v xml:space="preserve"> </v>
      </c>
      <c r="X20" s="374" t="str">
        <f>IF(OR(V20="TC",V20="MT"),'CARGA DOCENTE'!$B338," ")</f>
        <v xml:space="preserve"> </v>
      </c>
      <c r="Y20" s="374" t="str">
        <f>IF(OR(V20="TC",V20="MT"),'CARGA DOCENTE'!$C338," ")</f>
        <v xml:space="preserve"> </v>
      </c>
      <c r="Z20" s="374" t="str">
        <f>IF(OR(V20="TC",V20="MT"),'CARGA DOCENTE'!$G338," ")</f>
        <v xml:space="preserve"> </v>
      </c>
      <c r="AA20" s="372">
        <f>'CARGA DOCENTE'!$H339</f>
        <v>0</v>
      </c>
      <c r="AB20" s="373" t="str">
        <f>IF(OR(AA20="TC",AA20="MT"),'CARGA DOCENTE'!$A339," ")</f>
        <v xml:space="preserve"> </v>
      </c>
      <c r="AC20" s="374" t="str">
        <f>IF(OR(AA20="TC",AA20="MT"),'CARGA DOCENTE'!$B339," ")</f>
        <v xml:space="preserve"> </v>
      </c>
      <c r="AD20" s="374" t="str">
        <f>IF(OR(AA20="TC",AA20="MT"),'CARGA DOCENTE'!$C339," ")</f>
        <v xml:space="preserve"> </v>
      </c>
      <c r="AE20" s="374" t="str">
        <f>IF(OR(AA20="TC",AA20="MT"),'CARGA DOCENTE'!$G339," ")</f>
        <v xml:space="preserve"> </v>
      </c>
      <c r="AF20" s="372">
        <f>'CARGA DOCENTE'!$H340</f>
        <v>0</v>
      </c>
      <c r="AG20" s="373" t="str">
        <f>IF(OR(AF20="TC",AF20="MT"),'CARGA DOCENTE'!$A340," ")</f>
        <v xml:space="preserve"> </v>
      </c>
      <c r="AH20" s="374" t="str">
        <f>IF(OR(AF20="TC",AF20="MT"),'CARGA DOCENTE'!$B340," ")</f>
        <v xml:space="preserve"> </v>
      </c>
      <c r="AI20" s="374" t="str">
        <f>IF(OR(AF20="TC",AF20="MT"),'CARGA DOCENTE'!$C340," ")</f>
        <v xml:space="preserve"> </v>
      </c>
      <c r="AJ20" s="374" t="str">
        <f>IF(OR(AF20="TC",AF20="MT"),'CARGA DOCENTE'!$G340," ")</f>
        <v xml:space="preserve"> </v>
      </c>
      <c r="AK20" s="372">
        <f>'CARGA DOCENTE'!$H341</f>
        <v>0</v>
      </c>
      <c r="AL20" s="373" t="str">
        <f>IF(OR(AK20="TC",AK20="MT"),'CARGA DOCENTE'!$A341," ")</f>
        <v xml:space="preserve"> </v>
      </c>
      <c r="AM20" s="374" t="str">
        <f>IF(OR(AK20="TC",AK20="MT"),'CARGA DOCENTE'!$B341," ")</f>
        <v xml:space="preserve"> </v>
      </c>
      <c r="AN20" s="374" t="str">
        <f>IF(OR(AK20="TC",AK20="MT"),'CARGA DOCENTE'!$C341," ")</f>
        <v xml:space="preserve"> </v>
      </c>
      <c r="AO20" s="374" t="str">
        <f>IF(OR(AK20="TC",AK20="MT"),'CARGA DOCENTE'!$G341," ")</f>
        <v xml:space="preserve"> </v>
      </c>
      <c r="AP20" s="372">
        <f>'CARGA DOCENTE'!$H342</f>
        <v>0</v>
      </c>
      <c r="AQ20" s="373" t="str">
        <f>IF(OR(AP20="TC",AP20="MT"),'CARGA DOCENTE'!$A342," ")</f>
        <v xml:space="preserve"> </v>
      </c>
      <c r="AR20" s="374" t="str">
        <f>IF(OR(AP20="TC",AP20="MT"),'CARGA DOCENTE'!$B342," ")</f>
        <v xml:space="preserve"> </v>
      </c>
      <c r="AS20" s="374" t="str">
        <f>IF(OR(AP20="TC",AP20="MT"),'CARGA DOCENTE'!$C342," ")</f>
        <v xml:space="preserve"> </v>
      </c>
      <c r="AT20" s="374" t="str">
        <f>IF(OR(AP20="TC",AP20="MT"),'CARGA DOCENTE'!$G342," ")</f>
        <v xml:space="preserve"> </v>
      </c>
      <c r="AU20" s="372">
        <f>'CARGA DOCENTE'!$H343</f>
        <v>0</v>
      </c>
      <c r="AV20" s="373" t="str">
        <f>IF(OR(AU20="TC",AU20="MT"),'CARGA DOCENTE'!$A343," ")</f>
        <v xml:space="preserve"> </v>
      </c>
      <c r="AW20" s="374" t="str">
        <f>IF(OR(AU20="TC",AU20="MT"),'CARGA DOCENTE'!$B343," ")</f>
        <v xml:space="preserve"> </v>
      </c>
      <c r="AX20" s="374" t="str">
        <f>IF(OR(AU20="TC",AU20="MT"),'CARGA DOCENTE'!$C343," ")</f>
        <v xml:space="preserve"> </v>
      </c>
      <c r="AY20" s="374" t="str">
        <f>IF(OR(AU20="TC",AU20="MT"),'CARGA DOCENTE'!$G343," ")</f>
        <v xml:space="preserve"> </v>
      </c>
      <c r="AZ20" s="372">
        <f>'CARGA DOCENTE'!$H344</f>
        <v>0</v>
      </c>
      <c r="BA20" s="373" t="str">
        <f>IF(OR(AZ20="TC",AZ20="MT"),'CARGA DOCENTE'!$A344," ")</f>
        <v xml:space="preserve"> </v>
      </c>
      <c r="BB20" s="374" t="str">
        <f>IF(OR(AZ20="TC",AZ20="MT"),'CARGA DOCENTE'!$B344," ")</f>
        <v xml:space="preserve"> </v>
      </c>
      <c r="BC20" s="374" t="str">
        <f>IF(OR(AZ20="TC",AZ20="MT"),'CARGA DOCENTE'!$C344," ")</f>
        <v xml:space="preserve"> </v>
      </c>
      <c r="BD20" s="374" t="str">
        <f>IF(OR(AZ20="TC",AZ20="MT"),'CARGA DOCENTE'!$G344," ")</f>
        <v xml:space="preserve"> </v>
      </c>
      <c r="BE20" s="372">
        <f>'CARGA DOCENTE'!$H345</f>
        <v>0</v>
      </c>
      <c r="BF20" s="373" t="str">
        <f>IF(OR(BE20="TC",BE20="MT"),'CARGA DOCENTE'!$A345," ")</f>
        <v xml:space="preserve"> </v>
      </c>
      <c r="BG20" s="374" t="str">
        <f>IF(OR(BE20="TC",BE20="MT"),'CARGA DOCENTE'!$B345," ")</f>
        <v xml:space="preserve"> </v>
      </c>
      <c r="BH20" s="374" t="str">
        <f>IF(OR(BE20="TC",BE20="MT"),'CARGA DOCENTE'!$C345," ")</f>
        <v xml:space="preserve"> </v>
      </c>
      <c r="BI20" s="374" t="str">
        <f>IF(OR(BE20="TC",BE20="MT"),'CARGA DOCENTE'!$G345," ")</f>
        <v xml:space="preserve"> </v>
      </c>
      <c r="BJ20" s="372">
        <f>'CARGA DOCENTE'!$H346</f>
        <v>0</v>
      </c>
      <c r="BK20" s="373" t="str">
        <f>IF(OR(BJ20="TC",BJ20="MT"),'CARGA DOCENTE'!$A346," ")</f>
        <v xml:space="preserve"> </v>
      </c>
      <c r="BL20" s="374" t="str">
        <f>IF(OR(BJ20="TC",BJ20="MT"),'CARGA DOCENTE'!$B346," ")</f>
        <v xml:space="preserve"> </v>
      </c>
      <c r="BM20" s="374" t="str">
        <f>IF(OR(BJ20="TC",BJ20="MT"),'CARGA DOCENTE'!$C346," ")</f>
        <v xml:space="preserve"> </v>
      </c>
      <c r="BN20" s="374" t="str">
        <f>IF(OR(BJ20="TC",BJ20="MT"),'CARGA DOCENTE'!$G346," ")</f>
        <v xml:space="preserve"> </v>
      </c>
      <c r="BO20" s="372">
        <f>'CARGA DOCENTE'!$H347</f>
        <v>0</v>
      </c>
      <c r="BP20" s="373" t="str">
        <f>IF(OR(BO20="TC",BO20="MT"),'CARGA DOCENTE'!$A347," ")</f>
        <v xml:space="preserve"> </v>
      </c>
      <c r="BQ20" s="374" t="str">
        <f>IF(OR(BO20="TC",BO20="MT"),'CARGA DOCENTE'!$B347," ")</f>
        <v xml:space="preserve"> </v>
      </c>
      <c r="BR20" s="374" t="str">
        <f>IF(OR(BO20="TC",BO20="MT"),'CARGA DOCENTE'!$C347," ")</f>
        <v xml:space="preserve"> </v>
      </c>
      <c r="BS20" s="374" t="str">
        <f>IF(OR(BO20="TC",BO20="MT"),'CARGA DOCENTE'!$G347," ")</f>
        <v xml:space="preserve"> </v>
      </c>
      <c r="BT20" s="372">
        <f>'CARGA DOCENTE'!$H348</f>
        <v>0</v>
      </c>
      <c r="BU20" s="373" t="str">
        <f>IF(OR(BT20="TC",BT20="MT"),'CARGA DOCENTE'!$A348," ")</f>
        <v xml:space="preserve"> </v>
      </c>
      <c r="BV20" s="374" t="str">
        <f>IF(OR(BT20="TC",BT20="MT"),'CARGA DOCENTE'!$B348," ")</f>
        <v xml:space="preserve"> </v>
      </c>
      <c r="BW20" s="374" t="str">
        <f>IF(OR(BT20="TC",BT20="MT"),'CARGA DOCENTE'!$C348," ")</f>
        <v xml:space="preserve"> </v>
      </c>
      <c r="BX20" s="374" t="str">
        <f>IF(OR(BT20="TC",BT20="MT"),'CARGA DOCENTE'!$G348," ")</f>
        <v xml:space="preserve"> </v>
      </c>
    </row>
    <row r="21" spans="1:76" x14ac:dyDescent="0.2">
      <c r="A21" s="378">
        <f>'CARGA DOCENTE'!J352</f>
        <v>0</v>
      </c>
      <c r="B21" s="372">
        <f>'CARGA DOCENTE'!$H352</f>
        <v>0</v>
      </c>
      <c r="C21" s="373" t="str">
        <f>IF(OR(B21="TC",B21="MT"),'CARGA DOCENTE'!$A352," ")</f>
        <v xml:space="preserve"> </v>
      </c>
      <c r="D21" s="374" t="str">
        <f>IF(OR(B21="TC",B21="MT"),'CARGA DOCENTE'!$B352," ")</f>
        <v xml:space="preserve"> </v>
      </c>
      <c r="E21" s="374" t="str">
        <f>IF(OR(B21="TC",B21="MT"),'CARGA DOCENTE'!$C352," ")</f>
        <v xml:space="preserve"> </v>
      </c>
      <c r="F21" s="374" t="str">
        <f>IF(OR(B21="TC",B21="MT"),'CARGA DOCENTE'!$G352," ")</f>
        <v xml:space="preserve"> </v>
      </c>
      <c r="G21" s="372">
        <f>'CARGA DOCENTE'!$H353</f>
        <v>0</v>
      </c>
      <c r="H21" s="373" t="str">
        <f>IF(OR(G21="TC",G21="MT"),'CARGA DOCENTE'!$A353," ")</f>
        <v xml:space="preserve"> </v>
      </c>
      <c r="I21" s="374" t="str">
        <f>IF(OR(G21="TC",G21="MT"),'CARGA DOCENTE'!$B353," ")</f>
        <v xml:space="preserve"> </v>
      </c>
      <c r="J21" s="374" t="str">
        <f>IF(OR(G21="TC",G21="MT"),'CARGA DOCENTE'!$C353," ")</f>
        <v xml:space="preserve"> </v>
      </c>
      <c r="K21" s="374" t="str">
        <f>IF(OR(G21="TC",G21="MT"),'CARGA DOCENTE'!$G353," ")</f>
        <v xml:space="preserve"> </v>
      </c>
      <c r="L21" s="372">
        <f>'CARGA DOCENTE'!$H354</f>
        <v>0</v>
      </c>
      <c r="M21" s="373" t="str">
        <f>IF(OR(L21="TC",L21="MT"),'CARGA DOCENTE'!$A354," ")</f>
        <v xml:space="preserve"> </v>
      </c>
      <c r="N21" s="374" t="str">
        <f>IF(OR(L21="TC",L21="MT"),'CARGA DOCENTE'!$B354," ")</f>
        <v xml:space="preserve"> </v>
      </c>
      <c r="O21" s="374" t="str">
        <f>IF(OR(L21="TC",L21="MT"),'CARGA DOCENTE'!$C354," ")</f>
        <v xml:space="preserve"> </v>
      </c>
      <c r="P21" s="374" t="str">
        <f>IF(OR(L21="TC",L21="MT"),'CARGA DOCENTE'!$G354," ")</f>
        <v xml:space="preserve"> </v>
      </c>
      <c r="Q21" s="372">
        <f>'CARGA DOCENTE'!$H355</f>
        <v>0</v>
      </c>
      <c r="R21" s="373" t="str">
        <f>IF(OR(Q21="TC",Q21="MT"),'CARGA DOCENTE'!$A355," ")</f>
        <v xml:space="preserve"> </v>
      </c>
      <c r="S21" s="374" t="str">
        <f>IF(OR(Q21="TC",Q21="MT"),'CARGA DOCENTE'!$B355," ")</f>
        <v xml:space="preserve"> </v>
      </c>
      <c r="T21" s="374" t="str">
        <f>IF(OR(Q21="TC",Q21="MT"),'CARGA DOCENTE'!$C355," ")</f>
        <v xml:space="preserve"> </v>
      </c>
      <c r="U21" s="374" t="str">
        <f>IF(OR(Q21="TC",Q21="MT"),'CARGA DOCENTE'!$G355," ")</f>
        <v xml:space="preserve"> </v>
      </c>
      <c r="V21" s="372">
        <f>'CARGA DOCENTE'!$H356</f>
        <v>0</v>
      </c>
      <c r="W21" s="373" t="str">
        <f>IF(OR(V21="TC",V21="MT"),'CARGA DOCENTE'!$A356," ")</f>
        <v xml:space="preserve"> </v>
      </c>
      <c r="X21" s="374" t="str">
        <f>IF(OR(V21="TC",V21="MT"),'CARGA DOCENTE'!$B356," ")</f>
        <v xml:space="preserve"> </v>
      </c>
      <c r="Y21" s="374" t="str">
        <f>IF(OR(V21="TC",V21="MT"),'CARGA DOCENTE'!$C356," ")</f>
        <v xml:space="preserve"> </v>
      </c>
      <c r="Z21" s="374" t="str">
        <f>IF(OR(V21="TC",V21="MT"),'CARGA DOCENTE'!$G356," ")</f>
        <v xml:space="preserve"> </v>
      </c>
      <c r="AA21" s="372">
        <f>'CARGA DOCENTE'!$H357</f>
        <v>0</v>
      </c>
      <c r="AB21" s="373" t="str">
        <f>IF(OR(AA21="TC",AA21="MT"),'CARGA DOCENTE'!$A357," ")</f>
        <v xml:space="preserve"> </v>
      </c>
      <c r="AC21" s="374" t="str">
        <f>IF(OR(AA21="TC",AA21="MT"),'CARGA DOCENTE'!$B357," ")</f>
        <v xml:space="preserve"> </v>
      </c>
      <c r="AD21" s="374" t="str">
        <f>IF(OR(AA21="TC",AA21="MT"),'CARGA DOCENTE'!$C357," ")</f>
        <v xml:space="preserve"> </v>
      </c>
      <c r="AE21" s="374" t="str">
        <f>IF(OR(AA21="TC",AA21="MT"),'CARGA DOCENTE'!$G357," ")</f>
        <v xml:space="preserve"> </v>
      </c>
      <c r="AF21" s="372">
        <f>'CARGA DOCENTE'!$H358</f>
        <v>0</v>
      </c>
      <c r="AG21" s="373" t="str">
        <f>IF(OR(AF21="TC",AF21="MT"),'CARGA DOCENTE'!$A358," ")</f>
        <v xml:space="preserve"> </v>
      </c>
      <c r="AH21" s="374" t="str">
        <f>IF(OR(AF21="TC",AF21="MT"),'CARGA DOCENTE'!$B358," ")</f>
        <v xml:space="preserve"> </v>
      </c>
      <c r="AI21" s="374" t="str">
        <f>IF(OR(AF21="TC",AF21="MT"),'CARGA DOCENTE'!$C358," ")</f>
        <v xml:space="preserve"> </v>
      </c>
      <c r="AJ21" s="374" t="str">
        <f>IF(OR(AF21="TC",AF21="MT"),'CARGA DOCENTE'!$G358," ")</f>
        <v xml:space="preserve"> </v>
      </c>
      <c r="AK21" s="372">
        <f>'CARGA DOCENTE'!$H359</f>
        <v>0</v>
      </c>
      <c r="AL21" s="373" t="str">
        <f>IF(OR(AK21="TC",AK21="MT"),'CARGA DOCENTE'!$A359," ")</f>
        <v xml:space="preserve"> </v>
      </c>
      <c r="AM21" s="374" t="str">
        <f>IF(OR(AK21="TC",AK21="MT"),'CARGA DOCENTE'!$B359," ")</f>
        <v xml:space="preserve"> </v>
      </c>
      <c r="AN21" s="374" t="str">
        <f>IF(OR(AK21="TC",AK21="MT"),'CARGA DOCENTE'!$C359," ")</f>
        <v xml:space="preserve"> </v>
      </c>
      <c r="AO21" s="374" t="str">
        <f>IF(OR(AK21="TC",AK21="MT"),'CARGA DOCENTE'!$G359," ")</f>
        <v xml:space="preserve"> </v>
      </c>
      <c r="AP21" s="372">
        <f>'CARGA DOCENTE'!$H360</f>
        <v>0</v>
      </c>
      <c r="AQ21" s="373" t="str">
        <f>IF(OR(AP21="TC",AP21="MT"),'CARGA DOCENTE'!$A360," ")</f>
        <v xml:space="preserve"> </v>
      </c>
      <c r="AR21" s="374" t="str">
        <f>IF(OR(AP21="TC",AP21="MT"),'CARGA DOCENTE'!$B360," ")</f>
        <v xml:space="preserve"> </v>
      </c>
      <c r="AS21" s="374" t="str">
        <f>IF(OR(AP21="TC",AP21="MT"),'CARGA DOCENTE'!$C360," ")</f>
        <v xml:space="preserve"> </v>
      </c>
      <c r="AT21" s="374" t="str">
        <f>IF(OR(AP21="TC",AP21="MT"),'CARGA DOCENTE'!$G360," ")</f>
        <v xml:space="preserve"> </v>
      </c>
      <c r="AU21" s="372">
        <f>'CARGA DOCENTE'!$H361</f>
        <v>0</v>
      </c>
      <c r="AV21" s="373" t="str">
        <f>IF(OR(AU21="TC",AU21="MT"),'CARGA DOCENTE'!$A361," ")</f>
        <v xml:space="preserve"> </v>
      </c>
      <c r="AW21" s="374" t="str">
        <f>IF(OR(AU21="TC",AU21="MT"),'CARGA DOCENTE'!$B361," ")</f>
        <v xml:space="preserve"> </v>
      </c>
      <c r="AX21" s="374" t="str">
        <f>IF(OR(AU21="TC",AU21="MT"),'CARGA DOCENTE'!$C361," ")</f>
        <v xml:space="preserve"> </v>
      </c>
      <c r="AY21" s="374" t="str">
        <f>IF(OR(AU21="TC",AU21="MT"),'CARGA DOCENTE'!$G361," ")</f>
        <v xml:space="preserve"> </v>
      </c>
      <c r="AZ21" s="372">
        <f>'CARGA DOCENTE'!$H362</f>
        <v>0</v>
      </c>
      <c r="BA21" s="373" t="str">
        <f>IF(OR(AZ21="TC",AZ21="MT"),'CARGA DOCENTE'!$A362," ")</f>
        <v xml:space="preserve"> </v>
      </c>
      <c r="BB21" s="374" t="str">
        <f>IF(OR(AZ21="TC",AZ21="MT"),'CARGA DOCENTE'!$B362," ")</f>
        <v xml:space="preserve"> </v>
      </c>
      <c r="BC21" s="374" t="str">
        <f>IF(OR(AZ21="TC",AZ21="MT"),'CARGA DOCENTE'!$C362," ")</f>
        <v xml:space="preserve"> </v>
      </c>
      <c r="BD21" s="374" t="str">
        <f>IF(OR(AZ21="TC",AZ21="MT"),'CARGA DOCENTE'!$G362," ")</f>
        <v xml:space="preserve"> </v>
      </c>
      <c r="BE21" s="372">
        <f>'CARGA DOCENTE'!$H363</f>
        <v>0</v>
      </c>
      <c r="BF21" s="373" t="str">
        <f>IF(OR(BE21="TC",BE21="MT"),'CARGA DOCENTE'!$A363," ")</f>
        <v xml:space="preserve"> </v>
      </c>
      <c r="BG21" s="374" t="str">
        <f>IF(OR(BE21="TC",BE21="MT"),'CARGA DOCENTE'!$B363," ")</f>
        <v xml:space="preserve"> </v>
      </c>
      <c r="BH21" s="374" t="str">
        <f>IF(OR(BE21="TC",BE21="MT"),'CARGA DOCENTE'!$C363," ")</f>
        <v xml:space="preserve"> </v>
      </c>
      <c r="BI21" s="374" t="str">
        <f>IF(OR(BE21="TC",BE21="MT"),'CARGA DOCENTE'!$G363," ")</f>
        <v xml:space="preserve"> </v>
      </c>
      <c r="BJ21" s="372">
        <f>'CARGA DOCENTE'!$H364</f>
        <v>0</v>
      </c>
      <c r="BK21" s="373" t="str">
        <f>IF(OR(BJ21="TC",BJ21="MT"),'CARGA DOCENTE'!$A364," ")</f>
        <v xml:space="preserve"> </v>
      </c>
      <c r="BL21" s="374" t="str">
        <f>IF(OR(BJ21="TC",BJ21="MT"),'CARGA DOCENTE'!$B364," ")</f>
        <v xml:space="preserve"> </v>
      </c>
      <c r="BM21" s="374" t="str">
        <f>IF(OR(BJ21="TC",BJ21="MT"),'CARGA DOCENTE'!$C364," ")</f>
        <v xml:space="preserve"> </v>
      </c>
      <c r="BN21" s="374" t="str">
        <f>IF(OR(BJ21="TC",BJ21="MT"),'CARGA DOCENTE'!$G364," ")</f>
        <v xml:space="preserve"> </v>
      </c>
      <c r="BO21" s="372">
        <f>'CARGA DOCENTE'!$H365</f>
        <v>0</v>
      </c>
      <c r="BP21" s="373" t="str">
        <f>IF(OR(BO21="TC",BO21="MT"),'CARGA DOCENTE'!$A365," ")</f>
        <v xml:space="preserve"> </v>
      </c>
      <c r="BQ21" s="374" t="str">
        <f>IF(OR(BO21="TC",BO21="MT"),'CARGA DOCENTE'!$B365," ")</f>
        <v xml:space="preserve"> </v>
      </c>
      <c r="BR21" s="374" t="str">
        <f>IF(OR(BO21="TC",BO21="MT"),'CARGA DOCENTE'!$C365," ")</f>
        <v xml:space="preserve"> </v>
      </c>
      <c r="BS21" s="374" t="str">
        <f>IF(OR(BO21="TC",BO21="MT"),'CARGA DOCENTE'!$G365," ")</f>
        <v xml:space="preserve"> </v>
      </c>
      <c r="BT21" s="372">
        <f>'CARGA DOCENTE'!$H366</f>
        <v>0</v>
      </c>
      <c r="BU21" s="373" t="str">
        <f>IF(OR(BT21="TC",BT21="MT"),'CARGA DOCENTE'!$A366," ")</f>
        <v xml:space="preserve"> </v>
      </c>
      <c r="BV21" s="374" t="str">
        <f>IF(OR(BT21="TC",BT21="MT"),'CARGA DOCENTE'!$B366," ")</f>
        <v xml:space="preserve"> </v>
      </c>
      <c r="BW21" s="374" t="str">
        <f>IF(OR(BT21="TC",BT21="MT"),'CARGA DOCENTE'!$C366," ")</f>
        <v xml:space="preserve"> </v>
      </c>
      <c r="BX21" s="374" t="str">
        <f>IF(OR(BT21="TC",BT21="MT"),'CARGA DOCENTE'!$G366," ")</f>
        <v xml:space="preserve"> </v>
      </c>
    </row>
    <row r="22" spans="1:76" x14ac:dyDescent="0.2">
      <c r="A22" s="378">
        <f>'CARGA DOCENTE'!J370</f>
        <v>0</v>
      </c>
      <c r="B22" s="372">
        <f>'CARGA DOCENTE'!$H370</f>
        <v>0</v>
      </c>
      <c r="C22" s="373" t="str">
        <f>IF(OR(B22="TC",B22="MT"),'CARGA DOCENTE'!$A370," ")</f>
        <v xml:space="preserve"> </v>
      </c>
      <c r="D22" s="374" t="str">
        <f>IF(OR(B22="TC",B22="MT"),'CARGA DOCENTE'!$B370," ")</f>
        <v xml:space="preserve"> </v>
      </c>
      <c r="E22" s="374" t="str">
        <f>IF(OR(B22="TC",B22="MT"),'CARGA DOCENTE'!$C370," ")</f>
        <v xml:space="preserve"> </v>
      </c>
      <c r="F22" s="374" t="str">
        <f>IF(OR(B22="TC",B22="MT"),'CARGA DOCENTE'!$G370," ")</f>
        <v xml:space="preserve"> </v>
      </c>
      <c r="G22" s="372">
        <f>'CARGA DOCENTE'!$H371</f>
        <v>0</v>
      </c>
      <c r="H22" s="373" t="str">
        <f>IF(OR(G22="TC",G22="MT"),'CARGA DOCENTE'!$A371," ")</f>
        <v xml:space="preserve"> </v>
      </c>
      <c r="I22" s="374" t="str">
        <f>IF(OR(G22="TC",G22="MT"),'CARGA DOCENTE'!$B371," ")</f>
        <v xml:space="preserve"> </v>
      </c>
      <c r="J22" s="374" t="str">
        <f>IF(OR(G22="TC",G22="MT"),'CARGA DOCENTE'!$C371," ")</f>
        <v xml:space="preserve"> </v>
      </c>
      <c r="K22" s="374" t="str">
        <f>IF(OR(G22="TC",G22="MT"),'CARGA DOCENTE'!$G371," ")</f>
        <v xml:space="preserve"> </v>
      </c>
      <c r="L22" s="372">
        <f>'CARGA DOCENTE'!$H372</f>
        <v>0</v>
      </c>
      <c r="M22" s="373" t="str">
        <f>IF(OR(L22="TC",L22="MT"),'CARGA DOCENTE'!$A372," ")</f>
        <v xml:space="preserve"> </v>
      </c>
      <c r="N22" s="374" t="str">
        <f>IF(OR(L22="TC",L22="MT"),'CARGA DOCENTE'!$B372," ")</f>
        <v xml:space="preserve"> </v>
      </c>
      <c r="O22" s="374" t="str">
        <f>IF(OR(L22="TC",L22="MT"),'CARGA DOCENTE'!$C372," ")</f>
        <v xml:space="preserve"> </v>
      </c>
      <c r="P22" s="374" t="str">
        <f>IF(OR(L22="TC",L22="MT"),'CARGA DOCENTE'!$G372," ")</f>
        <v xml:space="preserve"> </v>
      </c>
      <c r="Q22" s="372">
        <f>'CARGA DOCENTE'!$H373</f>
        <v>0</v>
      </c>
      <c r="R22" s="373" t="str">
        <f>IF(OR(Q22="TC",Q22="MT"),'CARGA DOCENTE'!$A373," ")</f>
        <v xml:space="preserve"> </v>
      </c>
      <c r="S22" s="374" t="str">
        <f>IF(OR(Q22="TC",Q22="MT"),'CARGA DOCENTE'!$B373," ")</f>
        <v xml:space="preserve"> </v>
      </c>
      <c r="T22" s="374" t="str">
        <f>IF(OR(Q22="TC",Q22="MT"),'CARGA DOCENTE'!$C373," ")</f>
        <v xml:space="preserve"> </v>
      </c>
      <c r="U22" s="374" t="str">
        <f>IF(OR(Q22="TC",Q22="MT"),'CARGA DOCENTE'!$G373," ")</f>
        <v xml:space="preserve"> </v>
      </c>
      <c r="V22" s="372">
        <f>'CARGA DOCENTE'!$H374</f>
        <v>0</v>
      </c>
      <c r="W22" s="373" t="str">
        <f>IF(OR(V22="TC",V22="MT"),'CARGA DOCENTE'!$A374," ")</f>
        <v xml:space="preserve"> </v>
      </c>
      <c r="X22" s="374" t="str">
        <f>IF(OR(V22="TC",V22="MT"),'CARGA DOCENTE'!$B374," ")</f>
        <v xml:space="preserve"> </v>
      </c>
      <c r="Y22" s="374" t="str">
        <f>IF(OR(V22="TC",V22="MT"),'CARGA DOCENTE'!$C374," ")</f>
        <v xml:space="preserve"> </v>
      </c>
      <c r="Z22" s="374" t="str">
        <f>IF(OR(V22="TC",V22="MT"),'CARGA DOCENTE'!$G374," ")</f>
        <v xml:space="preserve"> </v>
      </c>
      <c r="AA22" s="372">
        <f>'CARGA DOCENTE'!$H375</f>
        <v>0</v>
      </c>
      <c r="AB22" s="373" t="str">
        <f>IF(OR(AA22="TC",AA22="MT"),'CARGA DOCENTE'!$A375," ")</f>
        <v xml:space="preserve"> </v>
      </c>
      <c r="AC22" s="374" t="str">
        <f>IF(OR(AA22="TC",AA22="MT"),'CARGA DOCENTE'!$B375," ")</f>
        <v xml:space="preserve"> </v>
      </c>
      <c r="AD22" s="374" t="str">
        <f>IF(OR(AA22="TC",AA22="MT"),'CARGA DOCENTE'!$C375," ")</f>
        <v xml:space="preserve"> </v>
      </c>
      <c r="AE22" s="374" t="str">
        <f>IF(OR(AA22="TC",AA22="MT"),'CARGA DOCENTE'!$G375," ")</f>
        <v xml:space="preserve"> </v>
      </c>
      <c r="AF22" s="372">
        <f>'CARGA DOCENTE'!$H376</f>
        <v>0</v>
      </c>
      <c r="AG22" s="373" t="str">
        <f>IF(OR(AF22="TC",AF22="MT"),'CARGA DOCENTE'!$A376," ")</f>
        <v xml:space="preserve"> </v>
      </c>
      <c r="AH22" s="374" t="str">
        <f>IF(OR(AF22="TC",AF22="MT"),'CARGA DOCENTE'!$B376," ")</f>
        <v xml:space="preserve"> </v>
      </c>
      <c r="AI22" s="374" t="str">
        <f>IF(OR(AF22="TC",AF22="MT"),'CARGA DOCENTE'!$C376," ")</f>
        <v xml:space="preserve"> </v>
      </c>
      <c r="AJ22" s="374" t="str">
        <f>IF(OR(AF22="TC",AF22="MT"),'CARGA DOCENTE'!$G376," ")</f>
        <v xml:space="preserve"> </v>
      </c>
      <c r="AK22" s="372">
        <f>'CARGA DOCENTE'!$H377</f>
        <v>0</v>
      </c>
      <c r="AL22" s="373" t="str">
        <f>IF(OR(AK22="TC",AK22="MT"),'CARGA DOCENTE'!$A377," ")</f>
        <v xml:space="preserve"> </v>
      </c>
      <c r="AM22" s="374" t="str">
        <f>IF(OR(AK22="TC",AK22="MT"),'CARGA DOCENTE'!$B377," ")</f>
        <v xml:space="preserve"> </v>
      </c>
      <c r="AN22" s="374" t="str">
        <f>IF(OR(AK22="TC",AK22="MT"),'CARGA DOCENTE'!$C377," ")</f>
        <v xml:space="preserve"> </v>
      </c>
      <c r="AO22" s="374" t="str">
        <f>IF(OR(AK22="TC",AK22="MT"),'CARGA DOCENTE'!$G377," ")</f>
        <v xml:space="preserve"> </v>
      </c>
      <c r="AP22" s="372">
        <f>'CARGA DOCENTE'!$H378</f>
        <v>0</v>
      </c>
      <c r="AQ22" s="373" t="str">
        <f>IF(OR(AP22="TC",AP22="MT"),'CARGA DOCENTE'!$A378," ")</f>
        <v xml:space="preserve"> </v>
      </c>
      <c r="AR22" s="374" t="str">
        <f>IF(OR(AP22="TC",AP22="MT"),'CARGA DOCENTE'!$B378," ")</f>
        <v xml:space="preserve"> </v>
      </c>
      <c r="AS22" s="374" t="str">
        <f>IF(OR(AP22="TC",AP22="MT"),'CARGA DOCENTE'!$C378," ")</f>
        <v xml:space="preserve"> </v>
      </c>
      <c r="AT22" s="374" t="str">
        <f>IF(OR(AP22="TC",AP22="MT"),'CARGA DOCENTE'!$G378," ")</f>
        <v xml:space="preserve"> </v>
      </c>
      <c r="AU22" s="372">
        <f>'CARGA DOCENTE'!$H379</f>
        <v>0</v>
      </c>
      <c r="AV22" s="373" t="str">
        <f>IF(OR(AU22="TC",AU22="MT"),'CARGA DOCENTE'!$A379," ")</f>
        <v xml:space="preserve"> </v>
      </c>
      <c r="AW22" s="374" t="str">
        <f>IF(OR(AU22="TC",AU22="MT"),'CARGA DOCENTE'!$B379," ")</f>
        <v xml:space="preserve"> </v>
      </c>
      <c r="AX22" s="374" t="str">
        <f>IF(OR(AU22="TC",AU22="MT"),'CARGA DOCENTE'!$C379," ")</f>
        <v xml:space="preserve"> </v>
      </c>
      <c r="AY22" s="374" t="str">
        <f>IF(OR(AU22="TC",AU22="MT"),'CARGA DOCENTE'!$G379," ")</f>
        <v xml:space="preserve"> </v>
      </c>
      <c r="AZ22" s="372">
        <f>'CARGA DOCENTE'!$H380</f>
        <v>0</v>
      </c>
      <c r="BA22" s="373" t="str">
        <f>IF(OR(AZ22="TC",AZ22="MT"),'CARGA DOCENTE'!$A380," ")</f>
        <v xml:space="preserve"> </v>
      </c>
      <c r="BB22" s="374" t="str">
        <f>IF(OR(AZ22="TC",AZ22="MT"),'CARGA DOCENTE'!$B380," ")</f>
        <v xml:space="preserve"> </v>
      </c>
      <c r="BC22" s="374" t="str">
        <f>IF(OR(AZ22="TC",AZ22="MT"),'CARGA DOCENTE'!$C380," ")</f>
        <v xml:space="preserve"> </v>
      </c>
      <c r="BD22" s="374" t="str">
        <f>IF(OR(AZ22="TC",AZ22="MT"),'CARGA DOCENTE'!$G380," ")</f>
        <v xml:space="preserve"> </v>
      </c>
      <c r="BE22" s="372">
        <f>'CARGA DOCENTE'!$H381</f>
        <v>0</v>
      </c>
      <c r="BF22" s="373" t="str">
        <f>IF(OR(BE22="TC",BE22="MT"),'CARGA DOCENTE'!$A381," ")</f>
        <v xml:space="preserve"> </v>
      </c>
      <c r="BG22" s="374" t="str">
        <f>IF(OR(BE22="TC",BE22="MT"),'CARGA DOCENTE'!$B381," ")</f>
        <v xml:space="preserve"> </v>
      </c>
      <c r="BH22" s="374" t="str">
        <f>IF(OR(BE22="TC",BE22="MT"),'CARGA DOCENTE'!$C381," ")</f>
        <v xml:space="preserve"> </v>
      </c>
      <c r="BI22" s="374" t="str">
        <f>IF(OR(BE22="TC",BE22="MT"),'CARGA DOCENTE'!$G381," ")</f>
        <v xml:space="preserve"> </v>
      </c>
      <c r="BJ22" s="372">
        <f>'CARGA DOCENTE'!$H382</f>
        <v>0</v>
      </c>
      <c r="BK22" s="373" t="str">
        <f>IF(OR(BJ22="TC",BJ22="MT"),'CARGA DOCENTE'!$A382," ")</f>
        <v xml:space="preserve"> </v>
      </c>
      <c r="BL22" s="374" t="str">
        <f>IF(OR(BJ22="TC",BJ22="MT"),'CARGA DOCENTE'!$B382," ")</f>
        <v xml:space="preserve"> </v>
      </c>
      <c r="BM22" s="374" t="str">
        <f>IF(OR(BJ22="TC",BJ22="MT"),'CARGA DOCENTE'!$C382," ")</f>
        <v xml:space="preserve"> </v>
      </c>
      <c r="BN22" s="374" t="str">
        <f>IF(OR(BJ22="TC",BJ22="MT"),'CARGA DOCENTE'!$G382," ")</f>
        <v xml:space="preserve"> </v>
      </c>
      <c r="BO22" s="372">
        <f>'CARGA DOCENTE'!$H383</f>
        <v>0</v>
      </c>
      <c r="BP22" s="373" t="str">
        <f>IF(OR(BO22="TC",BO22="MT"),'CARGA DOCENTE'!$A383," ")</f>
        <v xml:space="preserve"> </v>
      </c>
      <c r="BQ22" s="374" t="str">
        <f>IF(OR(BO22="TC",BO22="MT"),'CARGA DOCENTE'!$B383," ")</f>
        <v xml:space="preserve"> </v>
      </c>
      <c r="BR22" s="374" t="str">
        <f>IF(OR(BO22="TC",BO22="MT"),'CARGA DOCENTE'!$C383," ")</f>
        <v xml:space="preserve"> </v>
      </c>
      <c r="BS22" s="374" t="str">
        <f>IF(OR(BO22="TC",BO22="MT"),'CARGA DOCENTE'!$G383," ")</f>
        <v xml:space="preserve"> </v>
      </c>
      <c r="BT22" s="372">
        <f>'CARGA DOCENTE'!$H384</f>
        <v>0</v>
      </c>
      <c r="BU22" s="373" t="str">
        <f>IF(OR(BT22="TC",BT22="MT"),'CARGA DOCENTE'!$A384," ")</f>
        <v xml:space="preserve"> </v>
      </c>
      <c r="BV22" s="374" t="str">
        <f>IF(OR(BT22="TC",BT22="MT"),'CARGA DOCENTE'!$B384," ")</f>
        <v xml:space="preserve"> </v>
      </c>
      <c r="BW22" s="374" t="str">
        <f>IF(OR(BT22="TC",BT22="MT"),'CARGA DOCENTE'!$C384," ")</f>
        <v xml:space="preserve"> </v>
      </c>
      <c r="BX22" s="374" t="str">
        <f>IF(OR(BT22="TC",BT22="MT"),'CARGA DOCENTE'!$G384," ")</f>
        <v xml:space="preserve"> </v>
      </c>
    </row>
    <row r="23" spans="1:76" x14ac:dyDescent="0.2">
      <c r="A23" s="378">
        <f>'CARGA DOCENTE'!J388</f>
        <v>0</v>
      </c>
      <c r="B23" s="372">
        <f>'CARGA DOCENTE'!$H388</f>
        <v>0</v>
      </c>
      <c r="C23" s="373" t="str">
        <f>IF(OR(B23="TC",B23="MT"),'CARGA DOCENTE'!$A388," ")</f>
        <v xml:space="preserve"> </v>
      </c>
      <c r="D23" s="374" t="str">
        <f>IF(OR(B23="TC",B23="MT"),'CARGA DOCENTE'!$B388," ")</f>
        <v xml:space="preserve"> </v>
      </c>
      <c r="E23" s="374" t="str">
        <f>IF(OR(B23="TC",B23="MT"),'CARGA DOCENTE'!$C388," ")</f>
        <v xml:space="preserve"> </v>
      </c>
      <c r="F23" s="374" t="str">
        <f>IF(OR(B23="TC",B23="MT"),'CARGA DOCENTE'!$G388," ")</f>
        <v xml:space="preserve"> </v>
      </c>
      <c r="G23" s="372">
        <f>'CARGA DOCENTE'!$H389</f>
        <v>0</v>
      </c>
      <c r="H23" s="373" t="str">
        <f>IF(OR(G23="TC",G23="MT"),'CARGA DOCENTE'!$A389," ")</f>
        <v xml:space="preserve"> </v>
      </c>
      <c r="I23" s="374" t="str">
        <f>IF(OR(G23="TC",G23="MT"),'CARGA DOCENTE'!$B389," ")</f>
        <v xml:space="preserve"> </v>
      </c>
      <c r="J23" s="374" t="str">
        <f>IF(OR(G23="TC",G23="MT"),'CARGA DOCENTE'!$C389," ")</f>
        <v xml:space="preserve"> </v>
      </c>
      <c r="K23" s="374" t="str">
        <f>IF(OR(G23="TC",G23="MT"),'CARGA DOCENTE'!$G389," ")</f>
        <v xml:space="preserve"> </v>
      </c>
      <c r="L23" s="372">
        <f>'CARGA DOCENTE'!$H390</f>
        <v>0</v>
      </c>
      <c r="M23" s="373" t="str">
        <f>IF(OR(L23="TC",L23="MT"),'CARGA DOCENTE'!$A390," ")</f>
        <v xml:space="preserve"> </v>
      </c>
      <c r="N23" s="374" t="str">
        <f>IF(OR(L23="TC",L23="MT"),'CARGA DOCENTE'!$B390," ")</f>
        <v xml:space="preserve"> </v>
      </c>
      <c r="O23" s="374" t="str">
        <f>IF(OR(L23="TC",L23="MT"),'CARGA DOCENTE'!$C390," ")</f>
        <v xml:space="preserve"> </v>
      </c>
      <c r="P23" s="374" t="str">
        <f>IF(OR(L23="TC",L23="MT"),'CARGA DOCENTE'!$G390," ")</f>
        <v xml:space="preserve"> </v>
      </c>
      <c r="Q23" s="372">
        <f>'CARGA DOCENTE'!$H391</f>
        <v>0</v>
      </c>
      <c r="R23" s="373" t="str">
        <f>IF(OR(Q23="TC",Q23="MT"),'CARGA DOCENTE'!$A391," ")</f>
        <v xml:space="preserve"> </v>
      </c>
      <c r="S23" s="374" t="str">
        <f>IF(OR(Q23="TC",Q23="MT"),'CARGA DOCENTE'!$B391," ")</f>
        <v xml:space="preserve"> </v>
      </c>
      <c r="T23" s="374" t="str">
        <f>IF(OR(Q23="TC",Q23="MT"),'CARGA DOCENTE'!$C391," ")</f>
        <v xml:space="preserve"> </v>
      </c>
      <c r="U23" s="374" t="str">
        <f>IF(OR(Q23="TC",Q23="MT"),'CARGA DOCENTE'!$G391," ")</f>
        <v xml:space="preserve"> </v>
      </c>
      <c r="V23" s="372">
        <f>'CARGA DOCENTE'!$H392</f>
        <v>0</v>
      </c>
      <c r="W23" s="373" t="str">
        <f>IF(OR(V23="TC",V23="MT"),'CARGA DOCENTE'!$A392," ")</f>
        <v xml:space="preserve"> </v>
      </c>
      <c r="X23" s="374" t="str">
        <f>IF(OR(V23="TC",V23="MT"),'CARGA DOCENTE'!$B392," ")</f>
        <v xml:space="preserve"> </v>
      </c>
      <c r="Y23" s="374" t="str">
        <f>IF(OR(V23="TC",V23="MT"),'CARGA DOCENTE'!$C392," ")</f>
        <v xml:space="preserve"> </v>
      </c>
      <c r="Z23" s="374" t="str">
        <f>IF(OR(V23="TC",V23="MT"),'CARGA DOCENTE'!$G392," ")</f>
        <v xml:space="preserve"> </v>
      </c>
      <c r="AA23" s="372">
        <f>'CARGA DOCENTE'!$H393</f>
        <v>0</v>
      </c>
      <c r="AB23" s="373" t="str">
        <f>IF(OR(AA23="TC",AA23="MT"),'CARGA DOCENTE'!$A393," ")</f>
        <v xml:space="preserve"> </v>
      </c>
      <c r="AC23" s="374" t="str">
        <f>IF(OR(AA23="TC",AA23="MT"),'CARGA DOCENTE'!$B393," ")</f>
        <v xml:space="preserve"> </v>
      </c>
      <c r="AD23" s="374" t="str">
        <f>IF(OR(AA23="TC",AA23="MT"),'CARGA DOCENTE'!$C393," ")</f>
        <v xml:space="preserve"> </v>
      </c>
      <c r="AE23" s="374" t="str">
        <f>IF(OR(AA23="TC",AA23="MT"),'CARGA DOCENTE'!$G393," ")</f>
        <v xml:space="preserve"> </v>
      </c>
      <c r="AF23" s="372">
        <f>'CARGA DOCENTE'!$H394</f>
        <v>0</v>
      </c>
      <c r="AG23" s="373" t="str">
        <f>IF(OR(AF23="TC",AF23="MT"),'CARGA DOCENTE'!$A394," ")</f>
        <v xml:space="preserve"> </v>
      </c>
      <c r="AH23" s="374" t="str">
        <f>IF(OR(AF23="TC",AF23="MT"),'CARGA DOCENTE'!$B394," ")</f>
        <v xml:space="preserve"> </v>
      </c>
      <c r="AI23" s="374" t="str">
        <f>IF(OR(AF23="TC",AF23="MT"),'CARGA DOCENTE'!$C394," ")</f>
        <v xml:space="preserve"> </v>
      </c>
      <c r="AJ23" s="374" t="str">
        <f>IF(OR(AF23="TC",AF23="MT"),'CARGA DOCENTE'!$G394," ")</f>
        <v xml:space="preserve"> </v>
      </c>
      <c r="AK23" s="372">
        <f>'CARGA DOCENTE'!$H395</f>
        <v>0</v>
      </c>
      <c r="AL23" s="373" t="str">
        <f>IF(OR(AK23="TC",AK23="MT"),'CARGA DOCENTE'!$A395," ")</f>
        <v xml:space="preserve"> </v>
      </c>
      <c r="AM23" s="374" t="str">
        <f>IF(OR(AK23="TC",AK23="MT"),'CARGA DOCENTE'!$B395," ")</f>
        <v xml:space="preserve"> </v>
      </c>
      <c r="AN23" s="374" t="str">
        <f>IF(OR(AK23="TC",AK23="MT"),'CARGA DOCENTE'!$C395," ")</f>
        <v xml:space="preserve"> </v>
      </c>
      <c r="AO23" s="374" t="str">
        <f>IF(OR(AK23="TC",AK23="MT"),'CARGA DOCENTE'!$G395," ")</f>
        <v xml:space="preserve"> </v>
      </c>
      <c r="AP23" s="372">
        <f>'CARGA DOCENTE'!$H396</f>
        <v>0</v>
      </c>
      <c r="AQ23" s="373" t="str">
        <f>IF(OR(AP23="TC",AP23="MT"),'CARGA DOCENTE'!$A396," ")</f>
        <v xml:space="preserve"> </v>
      </c>
      <c r="AR23" s="374" t="str">
        <f>IF(OR(AP23="TC",AP23="MT"),'CARGA DOCENTE'!$B396," ")</f>
        <v xml:space="preserve"> </v>
      </c>
      <c r="AS23" s="374" t="str">
        <f>IF(OR(AP23="TC",AP23="MT"),'CARGA DOCENTE'!$C396," ")</f>
        <v xml:space="preserve"> </v>
      </c>
      <c r="AT23" s="374" t="str">
        <f>IF(OR(AP23="TC",AP23="MT"),'CARGA DOCENTE'!$G396," ")</f>
        <v xml:space="preserve"> </v>
      </c>
      <c r="AU23" s="372">
        <f>'CARGA DOCENTE'!$H397</f>
        <v>0</v>
      </c>
      <c r="AV23" s="373" t="str">
        <f>IF(OR(AU23="TC",AU23="MT"),'CARGA DOCENTE'!$A397," ")</f>
        <v xml:space="preserve"> </v>
      </c>
      <c r="AW23" s="374" t="str">
        <f>IF(OR(AU23="TC",AU23="MT"),'CARGA DOCENTE'!$B397," ")</f>
        <v xml:space="preserve"> </v>
      </c>
      <c r="AX23" s="374" t="str">
        <f>IF(OR(AU23="TC",AU23="MT"),'CARGA DOCENTE'!$C397," ")</f>
        <v xml:space="preserve"> </v>
      </c>
      <c r="AY23" s="374" t="str">
        <f>IF(OR(AU23="TC",AU23="MT"),'CARGA DOCENTE'!$G397," ")</f>
        <v xml:space="preserve"> </v>
      </c>
      <c r="AZ23" s="372">
        <f>'CARGA DOCENTE'!$H398</f>
        <v>0</v>
      </c>
      <c r="BA23" s="373" t="str">
        <f>IF(OR(AZ23="TC",AZ23="MT"),'CARGA DOCENTE'!$A398," ")</f>
        <v xml:space="preserve"> </v>
      </c>
      <c r="BB23" s="374" t="str">
        <f>IF(OR(AZ23="TC",AZ23="MT"),'CARGA DOCENTE'!$B398," ")</f>
        <v xml:space="preserve"> </v>
      </c>
      <c r="BC23" s="374" t="str">
        <f>IF(OR(AZ23="TC",AZ23="MT"),'CARGA DOCENTE'!$C398," ")</f>
        <v xml:space="preserve"> </v>
      </c>
      <c r="BD23" s="374" t="str">
        <f>IF(OR(AZ23="TC",AZ23="MT"),'CARGA DOCENTE'!$G398," ")</f>
        <v xml:space="preserve"> </v>
      </c>
      <c r="BE23" s="372">
        <f>'CARGA DOCENTE'!$H399</f>
        <v>0</v>
      </c>
      <c r="BF23" s="373" t="str">
        <f>IF(OR(BE23="TC",BE23="MT"),'CARGA DOCENTE'!$A399," ")</f>
        <v xml:space="preserve"> </v>
      </c>
      <c r="BG23" s="374" t="str">
        <f>IF(OR(BE23="TC",BE23="MT"),'CARGA DOCENTE'!$B399," ")</f>
        <v xml:space="preserve"> </v>
      </c>
      <c r="BH23" s="374" t="str">
        <f>IF(OR(BE23="TC",BE23="MT"),'CARGA DOCENTE'!$C399," ")</f>
        <v xml:space="preserve"> </v>
      </c>
      <c r="BI23" s="374" t="str">
        <f>IF(OR(BE23="TC",BE23="MT"),'CARGA DOCENTE'!$G399," ")</f>
        <v xml:space="preserve"> </v>
      </c>
      <c r="BJ23" s="372">
        <f>'CARGA DOCENTE'!$H400</f>
        <v>0</v>
      </c>
      <c r="BK23" s="373" t="str">
        <f>IF(OR(BJ23="TC",BJ23="MT"),'CARGA DOCENTE'!$A400," ")</f>
        <v xml:space="preserve"> </v>
      </c>
      <c r="BL23" s="374" t="str">
        <f>IF(OR(BJ23="TC",BJ23="MT"),'CARGA DOCENTE'!$B400," ")</f>
        <v xml:space="preserve"> </v>
      </c>
      <c r="BM23" s="374" t="str">
        <f>IF(OR(BJ23="TC",BJ23="MT"),'CARGA DOCENTE'!$C400," ")</f>
        <v xml:space="preserve"> </v>
      </c>
      <c r="BN23" s="374" t="str">
        <f>IF(OR(BJ23="TC",BJ23="MT"),'CARGA DOCENTE'!$G400," ")</f>
        <v xml:space="preserve"> </v>
      </c>
      <c r="BO23" s="372">
        <f>'CARGA DOCENTE'!$H401</f>
        <v>0</v>
      </c>
      <c r="BP23" s="373" t="str">
        <f>IF(OR(BO23="TC",BO23="MT"),'CARGA DOCENTE'!$A401," ")</f>
        <v xml:space="preserve"> </v>
      </c>
      <c r="BQ23" s="374" t="str">
        <f>IF(OR(BO23="TC",BO23="MT"),'CARGA DOCENTE'!$B401," ")</f>
        <v xml:space="preserve"> </v>
      </c>
      <c r="BR23" s="374" t="str">
        <f>IF(OR(BO23="TC",BO23="MT"),'CARGA DOCENTE'!$C401," ")</f>
        <v xml:space="preserve"> </v>
      </c>
      <c r="BS23" s="374" t="str">
        <f>IF(OR(BO23="TC",BO23="MT"),'CARGA DOCENTE'!$G401," ")</f>
        <v xml:space="preserve"> </v>
      </c>
      <c r="BT23" s="372">
        <f>'CARGA DOCENTE'!$H402</f>
        <v>0</v>
      </c>
      <c r="BU23" s="373" t="str">
        <f>IF(OR(BT23="TC",BT23="MT"),'CARGA DOCENTE'!$A402," ")</f>
        <v xml:space="preserve"> </v>
      </c>
      <c r="BV23" s="374" t="str">
        <f>IF(OR(BT23="TC",BT23="MT"),'CARGA DOCENTE'!$B402," ")</f>
        <v xml:space="preserve"> </v>
      </c>
      <c r="BW23" s="374" t="str">
        <f>IF(OR(BT23="TC",BT23="MT"),'CARGA DOCENTE'!$C402," ")</f>
        <v xml:space="preserve"> </v>
      </c>
      <c r="BX23" s="374" t="str">
        <f>IF(OR(BT23="TC",BT23="MT"),'CARGA DOCENTE'!$G402," ")</f>
        <v xml:space="preserve"> </v>
      </c>
    </row>
    <row r="24" spans="1:76" x14ac:dyDescent="0.2">
      <c r="A24" s="378">
        <f>'CARGA DOCENTE'!J406</f>
        <v>0</v>
      </c>
      <c r="B24" s="372">
        <f>'CARGA DOCENTE'!H$406</f>
        <v>0</v>
      </c>
      <c r="C24" s="373" t="str">
        <f>IF(OR(B24="TC",B24="MT"),'CARGA DOCENTE'!$A406," ")</f>
        <v xml:space="preserve"> </v>
      </c>
      <c r="D24" s="374" t="str">
        <f>IF(OR(B24="TC",B24="MT"),'CARGA DOCENTE'!$B406," ")</f>
        <v xml:space="preserve"> </v>
      </c>
      <c r="E24" s="374" t="str">
        <f>IF(OR(B24="TC",B24="MT"),'CARGA DOCENTE'!$C406," ")</f>
        <v xml:space="preserve"> </v>
      </c>
      <c r="F24" s="374" t="str">
        <f>IF(OR(B24="TC",B24="MT"),'CARGA DOCENTE'!$G406," ")</f>
        <v xml:space="preserve"> </v>
      </c>
      <c r="G24" s="372">
        <f>'CARGA DOCENTE'!$H407</f>
        <v>0</v>
      </c>
      <c r="H24" s="373" t="str">
        <f>IF(OR(G24="TC",G24="MT"),'CARGA DOCENTE'!$A407," ")</f>
        <v xml:space="preserve"> </v>
      </c>
      <c r="I24" s="374" t="str">
        <f>IF(OR(G24="TC",G24="MT"),'CARGA DOCENTE'!$B407," ")</f>
        <v xml:space="preserve"> </v>
      </c>
      <c r="J24" s="374" t="str">
        <f>IF(OR(G24="TC",G24="MT"),'CARGA DOCENTE'!$C407," ")</f>
        <v xml:space="preserve"> </v>
      </c>
      <c r="K24" s="374" t="str">
        <f>IF(OR(G24="TC",G24="MT"),'CARGA DOCENTE'!$G407," ")</f>
        <v xml:space="preserve"> </v>
      </c>
      <c r="L24" s="372">
        <f>'CARGA DOCENTE'!R$408</f>
        <v>0</v>
      </c>
      <c r="M24" s="373" t="str">
        <f>IF(OR(L24="TC",L24="MT"),'CARGA DOCENTE'!$A408," ")</f>
        <v xml:space="preserve"> </v>
      </c>
      <c r="N24" s="374" t="str">
        <f>IF(OR(L24="TC",L24="MT"),'CARGA DOCENTE'!$B408," ")</f>
        <v xml:space="preserve"> </v>
      </c>
      <c r="O24" s="374" t="str">
        <f>IF(OR(L24="TC",L24="MT"),'CARGA DOCENTE'!$C408," ")</f>
        <v xml:space="preserve"> </v>
      </c>
      <c r="P24" s="374" t="str">
        <f>IF(OR(L24="TC",L24="MT"),'CARGA DOCENTE'!$G408," ")</f>
        <v xml:space="preserve"> </v>
      </c>
      <c r="Q24" s="372">
        <f>'CARGA DOCENTE'!W$409</f>
        <v>0</v>
      </c>
      <c r="R24" s="373" t="str">
        <f>IF(OR(Q24="TC",Q24="MT"),'CARGA DOCENTE'!$A409," ")</f>
        <v xml:space="preserve"> </v>
      </c>
      <c r="S24" s="374" t="str">
        <f>IF(OR(Q24="TC",Q24="MT"),'CARGA DOCENTE'!$B409," ")</f>
        <v xml:space="preserve"> </v>
      </c>
      <c r="T24" s="374" t="str">
        <f>IF(OR(Q24="TC",Q24="MT"),'CARGA DOCENTE'!$C409," ")</f>
        <v xml:space="preserve"> </v>
      </c>
      <c r="U24" s="374" t="str">
        <f>IF(OR(Q24="TC",Q24="MT"),'CARGA DOCENTE'!$G409," ")</f>
        <v xml:space="preserve"> </v>
      </c>
      <c r="V24" s="372">
        <f>'CARGA DOCENTE'!AB$410</f>
        <v>0</v>
      </c>
      <c r="W24" s="373" t="str">
        <f>IF(OR(V24="TC",V24="MT"),'CARGA DOCENTE'!$A410," ")</f>
        <v xml:space="preserve"> </v>
      </c>
      <c r="X24" s="374" t="str">
        <f>IF(OR(V24="TC",V24="MT"),'CARGA DOCENTE'!$B410," ")</f>
        <v xml:space="preserve"> </v>
      </c>
      <c r="Y24" s="374" t="str">
        <f>IF(OR(V24="TC",V24="MT"),'CARGA DOCENTE'!$C410," ")</f>
        <v xml:space="preserve"> </v>
      </c>
      <c r="Z24" s="374" t="str">
        <f>IF(OR(V24="TC",V24="MT"),'CARGA DOCENTE'!$G410," ")</f>
        <v xml:space="preserve"> </v>
      </c>
      <c r="AA24" s="372">
        <f>'CARGA DOCENTE'!AG$411</f>
        <v>0</v>
      </c>
      <c r="AB24" s="373" t="str">
        <f>IF(OR(AA24="TC",AA24="MT"),'CARGA DOCENTE'!$A411," ")</f>
        <v xml:space="preserve"> </v>
      </c>
      <c r="AC24" s="374" t="str">
        <f>IF(OR(AA24="TC",AA24="MT"),'CARGA DOCENTE'!$B411," ")</f>
        <v xml:space="preserve"> </v>
      </c>
      <c r="AD24" s="374" t="str">
        <f>IF(OR(AA24="TC",AA24="MT"),'CARGA DOCENTE'!$C411," ")</f>
        <v xml:space="preserve"> </v>
      </c>
      <c r="AE24" s="374" t="str">
        <f>IF(OR(AA24="TC",AA24="MT"),'CARGA DOCENTE'!$G411," ")</f>
        <v xml:space="preserve"> </v>
      </c>
      <c r="AF24" s="372">
        <f>'CARGA DOCENTE'!AL$412</f>
        <v>0</v>
      </c>
      <c r="AG24" s="373" t="str">
        <f>IF(OR(AF24="TC",AF24="MT"),'CARGA DOCENTE'!$A412," ")</f>
        <v xml:space="preserve"> </v>
      </c>
      <c r="AH24" s="374" t="str">
        <f>IF(OR(AF24="TC",AF24="MT"),'CARGA DOCENTE'!$B412," ")</f>
        <v xml:space="preserve"> </v>
      </c>
      <c r="AI24" s="374" t="str">
        <f>IF(OR(AF24="TC",AF24="MT"),'CARGA DOCENTE'!$C412," ")</f>
        <v xml:space="preserve"> </v>
      </c>
      <c r="AJ24" s="374" t="str">
        <f>IF(OR(AF24="TC",AF24="MT"),'CARGA DOCENTE'!$G412," ")</f>
        <v xml:space="preserve"> </v>
      </c>
      <c r="AK24" s="372">
        <f>'CARGA DOCENTE'!AQ$413</f>
        <v>0</v>
      </c>
      <c r="AL24" s="373" t="str">
        <f>IF(OR(AK24="TC",AK24="MT"),'CARGA DOCENTE'!$A413," ")</f>
        <v xml:space="preserve"> </v>
      </c>
      <c r="AM24" s="374" t="str">
        <f>IF(OR(AK24="TC",AK24="MT"),'CARGA DOCENTE'!$B413," ")</f>
        <v xml:space="preserve"> </v>
      </c>
      <c r="AN24" s="374" t="str">
        <f>IF(OR(AK24="TC",AK24="MT"),'CARGA DOCENTE'!$C413," ")</f>
        <v xml:space="preserve"> </v>
      </c>
      <c r="AO24" s="374" t="str">
        <f>IF(OR(AK24="TC",AK24="MT"),'CARGA DOCENTE'!$G413," ")</f>
        <v xml:space="preserve"> </v>
      </c>
      <c r="AP24" s="372">
        <f>'CARGA DOCENTE'!AV$414</f>
        <v>0</v>
      </c>
      <c r="AQ24" s="373" t="str">
        <f>IF(OR(AP24="TC",AP24="MT"),'CARGA DOCENTE'!$A414," ")</f>
        <v xml:space="preserve"> </v>
      </c>
      <c r="AR24" s="374" t="str">
        <f>IF(OR(AP24="TC",AP24="MT"),'CARGA DOCENTE'!$B414," ")</f>
        <v xml:space="preserve"> </v>
      </c>
      <c r="AS24" s="374" t="str">
        <f>IF(OR(AP24="TC",AP24="MT"),'CARGA DOCENTE'!$C414," ")</f>
        <v xml:space="preserve"> </v>
      </c>
      <c r="AT24" s="374" t="str">
        <f>IF(OR(AP24="TC",AP24="MT"),'CARGA DOCENTE'!$G414," ")</f>
        <v xml:space="preserve"> </v>
      </c>
      <c r="AU24" s="372">
        <f>'CARGA DOCENTE'!BA$415</f>
        <v>0</v>
      </c>
      <c r="AV24" s="373" t="str">
        <f>IF(OR(AU24="TC",AU24="MT"),'CARGA DOCENTE'!$A415," ")</f>
        <v xml:space="preserve"> </v>
      </c>
      <c r="AW24" s="374" t="str">
        <f>IF(OR(AU24="TC",AU24="MT"),'CARGA DOCENTE'!$B415," ")</f>
        <v xml:space="preserve"> </v>
      </c>
      <c r="AX24" s="374" t="str">
        <f>IF(OR(AU24="TC",AU24="MT"),'CARGA DOCENTE'!$C415," ")</f>
        <v xml:space="preserve"> </v>
      </c>
      <c r="AY24" s="374" t="str">
        <f>IF(OR(AU24="TC",AU24="MT"),'CARGA DOCENTE'!$G415," ")</f>
        <v xml:space="preserve"> </v>
      </c>
      <c r="AZ24" s="372">
        <f>'CARGA DOCENTE'!BF$416</f>
        <v>0</v>
      </c>
      <c r="BA24" s="373" t="str">
        <f>IF(OR(AZ24="TC",AZ24="MT"),'CARGA DOCENTE'!$A416," ")</f>
        <v xml:space="preserve"> </v>
      </c>
      <c r="BB24" s="374" t="str">
        <f>IF(OR(AZ24="TC",AZ24="MT"),'CARGA DOCENTE'!$B416," ")</f>
        <v xml:space="preserve"> </v>
      </c>
      <c r="BC24" s="374" t="str">
        <f>IF(OR(AZ24="TC",AZ24="MT"),'CARGA DOCENTE'!$C416," ")</f>
        <v xml:space="preserve"> </v>
      </c>
      <c r="BD24" s="374" t="str">
        <f>IF(OR(AZ24="TC",AZ24="MT"),'CARGA DOCENTE'!$G416," ")</f>
        <v xml:space="preserve"> </v>
      </c>
      <c r="BE24" s="372">
        <f>'CARGA DOCENTE'!BK$417</f>
        <v>0</v>
      </c>
      <c r="BF24" s="373" t="str">
        <f>IF(OR(BE24="TC",BE24="MT"),'CARGA DOCENTE'!$A417," ")</f>
        <v xml:space="preserve"> </v>
      </c>
      <c r="BG24" s="374" t="str">
        <f>IF(OR(BE24="TC",BE24="MT"),'CARGA DOCENTE'!$B417," ")</f>
        <v xml:space="preserve"> </v>
      </c>
      <c r="BH24" s="374" t="str">
        <f>IF(OR(BE24="TC",BE24="MT"),'CARGA DOCENTE'!$C417," ")</f>
        <v xml:space="preserve"> </v>
      </c>
      <c r="BI24" s="374" t="str">
        <f>IF(OR(BE24="TC",BE24="MT"),'CARGA DOCENTE'!$G417," ")</f>
        <v xml:space="preserve"> </v>
      </c>
      <c r="BJ24" s="372">
        <f>'CARGA DOCENTE'!BP$418</f>
        <v>0</v>
      </c>
      <c r="BK24" s="373" t="str">
        <f>IF(OR(BJ24="TC",BJ24="MT"),'CARGA DOCENTE'!$A418," ")</f>
        <v xml:space="preserve"> </v>
      </c>
      <c r="BL24" s="374" t="str">
        <f>IF(OR(BJ24="TC",BJ24="MT"),'CARGA DOCENTE'!$B418," ")</f>
        <v xml:space="preserve"> </v>
      </c>
      <c r="BM24" s="374" t="str">
        <f>IF(OR(BJ24="TC",BJ24="MT"),'CARGA DOCENTE'!$C418," ")</f>
        <v xml:space="preserve"> </v>
      </c>
      <c r="BN24" s="374" t="str">
        <f>IF(OR(BJ24="TC",BJ24="MT"),'CARGA DOCENTE'!$G418," ")</f>
        <v xml:space="preserve"> </v>
      </c>
      <c r="BO24" s="372">
        <f>'CARGA DOCENTE'!BU$419</f>
        <v>0</v>
      </c>
      <c r="BP24" s="373" t="str">
        <f>IF(OR(BO24="TC",BO24="MT"),'CARGA DOCENTE'!$A419," ")</f>
        <v xml:space="preserve"> </v>
      </c>
      <c r="BQ24" s="374" t="str">
        <f>IF(OR(BO24="TC",BO24="MT"),'CARGA DOCENTE'!$B419," ")</f>
        <v xml:space="preserve"> </v>
      </c>
      <c r="BR24" s="374" t="str">
        <f>IF(OR(BO24="TC",BO24="MT"),'CARGA DOCENTE'!$C419," ")</f>
        <v xml:space="preserve"> </v>
      </c>
      <c r="BS24" s="374" t="str">
        <f>IF(OR(BO24="TC",BO24="MT"),'CARGA DOCENTE'!$G419," ")</f>
        <v xml:space="preserve"> </v>
      </c>
      <c r="BT24" s="372">
        <f>'CARGA DOCENTE'!BZ$420</f>
        <v>0</v>
      </c>
      <c r="BU24" s="373" t="str">
        <f>IF(OR(BT24="TC",BT24="MT"),'CARGA DOCENTE'!$A420," ")</f>
        <v xml:space="preserve"> </v>
      </c>
      <c r="BV24" s="374" t="str">
        <f>IF(OR(BT24="TC",BT24="MT"),'CARGA DOCENTE'!$B420," ")</f>
        <v xml:space="preserve"> </v>
      </c>
      <c r="BW24" s="374" t="str">
        <f>IF(OR(BT24="TC",BT24="MT"),'CARGA DOCENTE'!$C420," ")</f>
        <v xml:space="preserve"> </v>
      </c>
      <c r="BX24" s="374" t="str">
        <f>IF(OR(BT24="TC",BT24="MT"),'CARGA DOCENTE'!$G420," ")</f>
        <v xml:space="preserve"> </v>
      </c>
    </row>
    <row r="25" spans="1:76" x14ac:dyDescent="0.2">
      <c r="A25" s="378">
        <f>'CARGA DOCENTE'!J424</f>
        <v>0</v>
      </c>
      <c r="B25" s="372">
        <f>'CARGA DOCENTE'!$H424</f>
        <v>0</v>
      </c>
      <c r="C25" s="373" t="str">
        <f>IF(OR(B25="TC",B25="MT"),'CARGA DOCENTE'!$A424," ")</f>
        <v xml:space="preserve"> </v>
      </c>
      <c r="D25" s="374" t="str">
        <f>IF(OR(B25="TC",B25="MT"),'CARGA DOCENTE'!$B424," ")</f>
        <v xml:space="preserve"> </v>
      </c>
      <c r="E25" s="374" t="str">
        <f>IF(OR(B25="TC",B25="MT"),'CARGA DOCENTE'!$C424," ")</f>
        <v xml:space="preserve"> </v>
      </c>
      <c r="F25" s="374" t="str">
        <f>IF(OR(B25="TC",B25="MT"),'CARGA DOCENTE'!$G424," ")</f>
        <v xml:space="preserve"> </v>
      </c>
      <c r="G25" s="372">
        <f>'CARGA DOCENTE'!$H425</f>
        <v>0</v>
      </c>
      <c r="H25" s="373" t="str">
        <f>IF(OR(G25="TC",G25="MT"),'CARGA DOCENTE'!$A425," ")</f>
        <v xml:space="preserve"> </v>
      </c>
      <c r="I25" s="374" t="str">
        <f>IF(OR(G25="TC",G25="MT"),'CARGA DOCENTE'!$B425," ")</f>
        <v xml:space="preserve"> </v>
      </c>
      <c r="J25" s="374" t="str">
        <f>IF(OR(G25="TC",G25="MT"),'CARGA DOCENTE'!$C425," ")</f>
        <v xml:space="preserve"> </v>
      </c>
      <c r="K25" s="374" t="str">
        <f>IF(OR(G25="TC",G25="MT"),'CARGA DOCENTE'!$G425," ")</f>
        <v xml:space="preserve"> </v>
      </c>
      <c r="L25" s="372">
        <f>'CARGA DOCENTE'!$H426</f>
        <v>0</v>
      </c>
      <c r="M25" s="373" t="str">
        <f>IF(OR(L25="TC",L25="MT"),'CARGA DOCENTE'!$A426," ")</f>
        <v xml:space="preserve"> </v>
      </c>
      <c r="N25" s="374" t="str">
        <f>IF(OR(L25="TC",L25="MT"),'CARGA DOCENTE'!$B426," ")</f>
        <v xml:space="preserve"> </v>
      </c>
      <c r="O25" s="374" t="str">
        <f>IF(OR(L25="TC",L25="MT"),'CARGA DOCENTE'!$C426," ")</f>
        <v xml:space="preserve"> </v>
      </c>
      <c r="P25" s="374" t="str">
        <f>IF(OR(L25="TC",L25="MT"),'CARGA DOCENTE'!$G426," ")</f>
        <v xml:space="preserve"> </v>
      </c>
      <c r="Q25" s="372">
        <f>'CARGA DOCENTE'!$H427</f>
        <v>0</v>
      </c>
      <c r="R25" s="373" t="str">
        <f>IF(OR(Q25="TC",Q25="MT"),'CARGA DOCENTE'!$A427," ")</f>
        <v xml:space="preserve"> </v>
      </c>
      <c r="S25" s="374" t="str">
        <f>IF(OR(Q25="TC",Q25="MT"),'CARGA DOCENTE'!$B427," ")</f>
        <v xml:space="preserve"> </v>
      </c>
      <c r="T25" s="374" t="str">
        <f>IF(OR(Q25="TC",Q25="MT"),'CARGA DOCENTE'!$C427," ")</f>
        <v xml:space="preserve"> </v>
      </c>
      <c r="U25" s="374" t="str">
        <f>IF(OR(Q25="TC",Q25="MT"),'CARGA DOCENTE'!$G427," ")</f>
        <v xml:space="preserve"> </v>
      </c>
      <c r="V25" s="372">
        <f>'CARGA DOCENTE'!$H428</f>
        <v>0</v>
      </c>
      <c r="W25" s="373" t="str">
        <f>IF(OR(V25="TC",V25="MT"),'CARGA DOCENTE'!$A428," ")</f>
        <v xml:space="preserve"> </v>
      </c>
      <c r="X25" s="374" t="str">
        <f>IF(OR(V25="TC",V25="MT"),'CARGA DOCENTE'!$B428," ")</f>
        <v xml:space="preserve"> </v>
      </c>
      <c r="Y25" s="374" t="str">
        <f>IF(OR(V25="TC",V25="MT"),'CARGA DOCENTE'!$C428," ")</f>
        <v xml:space="preserve"> </v>
      </c>
      <c r="Z25" s="374" t="str">
        <f>IF(OR(V25="TC",V25="MT"),'CARGA DOCENTE'!$G428," ")</f>
        <v xml:space="preserve"> </v>
      </c>
      <c r="AA25" s="372">
        <f>'CARGA DOCENTE'!$H429</f>
        <v>0</v>
      </c>
      <c r="AB25" s="373" t="str">
        <f>IF(OR(AA25="TC",AA25="MT"),'CARGA DOCENTE'!$A429," ")</f>
        <v xml:space="preserve"> </v>
      </c>
      <c r="AC25" s="374" t="str">
        <f>IF(OR(AA25="TC",AA25="MT"),'CARGA DOCENTE'!$B429," ")</f>
        <v xml:space="preserve"> </v>
      </c>
      <c r="AD25" s="374" t="str">
        <f>IF(OR(AA25="TC",AA25="MT"),'CARGA DOCENTE'!$C429," ")</f>
        <v xml:space="preserve"> </v>
      </c>
      <c r="AE25" s="374" t="str">
        <f>IF(OR(AA25="TC",AA25="MT"),'CARGA DOCENTE'!$G429," ")</f>
        <v xml:space="preserve"> </v>
      </c>
      <c r="AF25" s="372">
        <f>'CARGA DOCENTE'!$H430</f>
        <v>0</v>
      </c>
      <c r="AG25" s="373" t="str">
        <f>IF(OR(AF25="TC",AF25="MT"),'CARGA DOCENTE'!$A430," ")</f>
        <v xml:space="preserve"> </v>
      </c>
      <c r="AH25" s="374" t="str">
        <f>IF(OR(AF25="TC",AF25="MT"),'CARGA DOCENTE'!$B430," ")</f>
        <v xml:space="preserve"> </v>
      </c>
      <c r="AI25" s="374" t="str">
        <f>IF(OR(AF25="TC",AF25="MT"),'CARGA DOCENTE'!$C430," ")</f>
        <v xml:space="preserve"> </v>
      </c>
      <c r="AJ25" s="374" t="str">
        <f>IF(OR(AF25="TC",AF25="MT"),'CARGA DOCENTE'!$G430," ")</f>
        <v xml:space="preserve"> </v>
      </c>
      <c r="AK25" s="372">
        <f>'CARGA DOCENTE'!$H431</f>
        <v>0</v>
      </c>
      <c r="AL25" s="373" t="str">
        <f>IF(OR(AK25="TC",AK25="MT"),'CARGA DOCENTE'!$A431," ")</f>
        <v xml:space="preserve"> </v>
      </c>
      <c r="AM25" s="374" t="str">
        <f>IF(OR(AK25="TC",AK25="MT"),'CARGA DOCENTE'!$B431," ")</f>
        <v xml:space="preserve"> </v>
      </c>
      <c r="AN25" s="374" t="str">
        <f>IF(OR(AK25="TC",AK25="MT"),'CARGA DOCENTE'!$C431," ")</f>
        <v xml:space="preserve"> </v>
      </c>
      <c r="AO25" s="374" t="str">
        <f>IF(OR(AK25="TC",AK25="MT"),'CARGA DOCENTE'!$G431," ")</f>
        <v xml:space="preserve"> </v>
      </c>
      <c r="AP25" s="372">
        <f>'CARGA DOCENTE'!$H432</f>
        <v>0</v>
      </c>
      <c r="AQ25" s="373" t="str">
        <f>IF(OR(AP25="TC",AP25="MT"),'CARGA DOCENTE'!$A432," ")</f>
        <v xml:space="preserve"> </v>
      </c>
      <c r="AR25" s="374" t="str">
        <f>IF(OR(AP25="TC",AP25="MT"),'CARGA DOCENTE'!$B432," ")</f>
        <v xml:space="preserve"> </v>
      </c>
      <c r="AS25" s="374" t="str">
        <f>IF(OR(AP25="TC",AP25="MT"),'CARGA DOCENTE'!$C432," ")</f>
        <v xml:space="preserve"> </v>
      </c>
      <c r="AT25" s="374" t="str">
        <f>IF(OR(AP25="TC",AP25="MT"),'CARGA DOCENTE'!$G432," ")</f>
        <v xml:space="preserve"> </v>
      </c>
      <c r="AU25" s="372">
        <f>'CARGA DOCENTE'!$H433</f>
        <v>0</v>
      </c>
      <c r="AV25" s="373" t="str">
        <f>IF(OR(AU25="TC",AU25="MT"),'CARGA DOCENTE'!$A433," ")</f>
        <v xml:space="preserve"> </v>
      </c>
      <c r="AW25" s="374" t="str">
        <f>IF(OR(AU25="TC",AU25="MT"),'CARGA DOCENTE'!$B433," ")</f>
        <v xml:space="preserve"> </v>
      </c>
      <c r="AX25" s="374" t="str">
        <f>IF(OR(AU25="TC",AU25="MT"),'CARGA DOCENTE'!$C433," ")</f>
        <v xml:space="preserve"> </v>
      </c>
      <c r="AY25" s="374" t="str">
        <f>IF(OR(AU25="TC",AU25="MT"),'CARGA DOCENTE'!$G433," ")</f>
        <v xml:space="preserve"> </v>
      </c>
      <c r="AZ25" s="372">
        <f>'CARGA DOCENTE'!$H434</f>
        <v>0</v>
      </c>
      <c r="BA25" s="373" t="str">
        <f>IF(OR(AZ25="TC",AZ25="MT"),'CARGA DOCENTE'!$A434," ")</f>
        <v xml:space="preserve"> </v>
      </c>
      <c r="BB25" s="374" t="str">
        <f>IF(OR(AZ25="TC",AZ25="MT"),'CARGA DOCENTE'!$B434," ")</f>
        <v xml:space="preserve"> </v>
      </c>
      <c r="BC25" s="374" t="str">
        <f>IF(OR(AZ25="TC",AZ25="MT"),'CARGA DOCENTE'!$C434," ")</f>
        <v xml:space="preserve"> </v>
      </c>
      <c r="BD25" s="374" t="str">
        <f>IF(OR(AZ25="TC",AZ25="MT"),'CARGA DOCENTE'!$G434," ")</f>
        <v xml:space="preserve"> </v>
      </c>
      <c r="BE25" s="372">
        <f>'CARGA DOCENTE'!$H435</f>
        <v>0</v>
      </c>
      <c r="BF25" s="373" t="str">
        <f>IF(OR(BE25="TC",BE25="MT"),'CARGA DOCENTE'!$A435," ")</f>
        <v xml:space="preserve"> </v>
      </c>
      <c r="BG25" s="374" t="str">
        <f>IF(OR(BE25="TC",BE25="MT"),'CARGA DOCENTE'!$B435," ")</f>
        <v xml:space="preserve"> </v>
      </c>
      <c r="BH25" s="374" t="str">
        <f>IF(OR(BE25="TC",BE25="MT"),'CARGA DOCENTE'!$C435," ")</f>
        <v xml:space="preserve"> </v>
      </c>
      <c r="BI25" s="374" t="str">
        <f>IF(OR(BE25="TC",BE25="MT"),'CARGA DOCENTE'!$G435," ")</f>
        <v xml:space="preserve"> </v>
      </c>
      <c r="BJ25" s="372">
        <f>'CARGA DOCENTE'!$H436</f>
        <v>0</v>
      </c>
      <c r="BK25" s="373" t="str">
        <f>IF(OR(BJ25="TC",BJ25="MT"),'CARGA DOCENTE'!$A436," ")</f>
        <v xml:space="preserve"> </v>
      </c>
      <c r="BL25" s="374" t="str">
        <f>IF(OR(BJ25="TC",BJ25="MT"),'CARGA DOCENTE'!$B436," ")</f>
        <v xml:space="preserve"> </v>
      </c>
      <c r="BM25" s="374" t="str">
        <f>IF(OR(BJ25="TC",BJ25="MT"),'CARGA DOCENTE'!$C436," ")</f>
        <v xml:space="preserve"> </v>
      </c>
      <c r="BN25" s="374" t="str">
        <f>IF(OR(BJ25="TC",BJ25="MT"),'CARGA DOCENTE'!$G436," ")</f>
        <v xml:space="preserve"> </v>
      </c>
      <c r="BO25" s="372">
        <f>'CARGA DOCENTE'!$H437</f>
        <v>0</v>
      </c>
      <c r="BP25" s="373" t="str">
        <f>IF(OR(BO25="TC",BO25="MT"),'CARGA DOCENTE'!$A437," ")</f>
        <v xml:space="preserve"> </v>
      </c>
      <c r="BQ25" s="374" t="str">
        <f>IF(OR(BO25="TC",BO25="MT"),'CARGA DOCENTE'!$B437," ")</f>
        <v xml:space="preserve"> </v>
      </c>
      <c r="BR25" s="374" t="str">
        <f>IF(OR(BO25="TC",BO25="MT"),'CARGA DOCENTE'!$C437," ")</f>
        <v xml:space="preserve"> </v>
      </c>
      <c r="BS25" s="374" t="str">
        <f>IF(OR(BO25="TC",BO25="MT"),'CARGA DOCENTE'!$G437," ")</f>
        <v xml:space="preserve"> </v>
      </c>
      <c r="BT25" s="372">
        <f>'CARGA DOCENTE'!$H438</f>
        <v>0</v>
      </c>
      <c r="BU25" s="373" t="str">
        <f>IF(OR(BT25="TC",BT25="MT"),'CARGA DOCENTE'!$A438," ")</f>
        <v xml:space="preserve"> </v>
      </c>
      <c r="BV25" s="374" t="str">
        <f>IF(OR(BT25="TC",BT25="MT"),'CARGA DOCENTE'!$B438," ")</f>
        <v xml:space="preserve"> </v>
      </c>
      <c r="BW25" s="374" t="str">
        <f>IF(OR(BT25="TC",BT25="MT"),'CARGA DOCENTE'!$C438," ")</f>
        <v xml:space="preserve"> </v>
      </c>
      <c r="BX25" s="374" t="str">
        <f>IF(OR(BT25="TC",BT25="MT"),'CARGA DOCENTE'!$G438," ")</f>
        <v xml:space="preserve"> </v>
      </c>
    </row>
    <row r="26" spans="1:76" x14ac:dyDescent="0.2">
      <c r="A26" s="378">
        <f>'CARGA DOCENTE'!J442</f>
        <v>0</v>
      </c>
      <c r="B26" s="372">
        <f>'CARGA DOCENTE'!$H442</f>
        <v>0</v>
      </c>
      <c r="C26" s="373" t="str">
        <f>IF(OR(B26="TC",B26="MT"),'CARGA DOCENTE'!$A442," ")</f>
        <v xml:space="preserve"> </v>
      </c>
      <c r="D26" s="374" t="str">
        <f>IF(OR(B26="TC",B26="MT"),'CARGA DOCENTE'!$B442," ")</f>
        <v xml:space="preserve"> </v>
      </c>
      <c r="E26" s="374" t="str">
        <f>IF(OR(B26="TC",B26="MT"),'CARGA DOCENTE'!$C442," ")</f>
        <v xml:space="preserve"> </v>
      </c>
      <c r="F26" s="374" t="str">
        <f>IF(OR(B26="TC",B26="MT"),'CARGA DOCENTE'!$G442," ")</f>
        <v xml:space="preserve"> </v>
      </c>
      <c r="G26" s="372">
        <f>'CARGA DOCENTE'!$H443</f>
        <v>0</v>
      </c>
      <c r="H26" s="373" t="str">
        <f>IF(OR(G26="TC",G26="MT"),'CARGA DOCENTE'!$A443," ")</f>
        <v xml:space="preserve"> </v>
      </c>
      <c r="I26" s="374" t="str">
        <f>IF(OR(G26="TC",G26="MT"),'CARGA DOCENTE'!$B443," ")</f>
        <v xml:space="preserve"> </v>
      </c>
      <c r="J26" s="374" t="str">
        <f>IF(OR(G26="TC",G26="MT"),'CARGA DOCENTE'!$C443," ")</f>
        <v xml:space="preserve"> </v>
      </c>
      <c r="K26" s="374" t="str">
        <f>IF(OR(G26="TC",G26="MT"),'CARGA DOCENTE'!$G443," ")</f>
        <v xml:space="preserve"> </v>
      </c>
      <c r="L26" s="372">
        <f>'CARGA DOCENTE'!$H444</f>
        <v>0</v>
      </c>
      <c r="M26" s="373" t="str">
        <f>IF(OR(L26="TC",L26="MT"),'CARGA DOCENTE'!$A444," ")</f>
        <v xml:space="preserve"> </v>
      </c>
      <c r="N26" s="374" t="str">
        <f>IF(OR(L26="TC",L26="MT"),'CARGA DOCENTE'!$B444," ")</f>
        <v xml:space="preserve"> </v>
      </c>
      <c r="O26" s="374" t="str">
        <f>IF(OR(L26="TC",L26="MT"),'CARGA DOCENTE'!$C444," ")</f>
        <v xml:space="preserve"> </v>
      </c>
      <c r="P26" s="374" t="str">
        <f>IF(OR(L26="TC",L26="MT"),'CARGA DOCENTE'!$G444," ")</f>
        <v xml:space="preserve"> </v>
      </c>
      <c r="Q26" s="372">
        <f>'CARGA DOCENTE'!$H445</f>
        <v>0</v>
      </c>
      <c r="R26" s="373" t="str">
        <f>IF(OR(Q26="TC",Q26="MT"),'CARGA DOCENTE'!$A445," ")</f>
        <v xml:space="preserve"> </v>
      </c>
      <c r="S26" s="374" t="str">
        <f>IF(OR(Q26="TC",Q26="MT"),'CARGA DOCENTE'!$B445," ")</f>
        <v xml:space="preserve"> </v>
      </c>
      <c r="T26" s="374" t="str">
        <f>IF(OR(Q26="TC",Q26="MT"),'CARGA DOCENTE'!$C445," ")</f>
        <v xml:space="preserve"> </v>
      </c>
      <c r="U26" s="374" t="str">
        <f>IF(OR(Q26="TC",Q26="MT"),'CARGA DOCENTE'!$G445," ")</f>
        <v xml:space="preserve"> </v>
      </c>
      <c r="V26" s="372">
        <f>'CARGA DOCENTE'!$H446</f>
        <v>0</v>
      </c>
      <c r="W26" s="373" t="str">
        <f>IF(OR(V26="TC",V26="MT"),'CARGA DOCENTE'!$A446," ")</f>
        <v xml:space="preserve"> </v>
      </c>
      <c r="X26" s="374" t="str">
        <f>IF(OR(V26="TC",V26="MT"),'CARGA DOCENTE'!$B446," ")</f>
        <v xml:space="preserve"> </v>
      </c>
      <c r="Y26" s="374" t="str">
        <f>IF(OR(V26="TC",V26="MT"),'CARGA DOCENTE'!$C446," ")</f>
        <v xml:space="preserve"> </v>
      </c>
      <c r="Z26" s="374" t="str">
        <f>IF(OR(V26="TC",V26="MT"),'CARGA DOCENTE'!$G446," ")</f>
        <v xml:space="preserve"> </v>
      </c>
      <c r="AA26" s="372">
        <f>'CARGA DOCENTE'!$H447</f>
        <v>0</v>
      </c>
      <c r="AB26" s="373" t="str">
        <f>IF(OR(AA26="TC",AA26="MT"),'CARGA DOCENTE'!$A447," ")</f>
        <v xml:space="preserve"> </v>
      </c>
      <c r="AC26" s="374" t="str">
        <f>IF(OR(AA26="TC",AA26="MT"),'CARGA DOCENTE'!$B447," ")</f>
        <v xml:space="preserve"> </v>
      </c>
      <c r="AD26" s="374" t="str">
        <f>IF(OR(AA26="TC",AA26="MT"),'CARGA DOCENTE'!$C447," ")</f>
        <v xml:space="preserve"> </v>
      </c>
      <c r="AE26" s="374" t="str">
        <f>IF(OR(AA26="TC",AA26="MT"),'CARGA DOCENTE'!$G447," ")</f>
        <v xml:space="preserve"> </v>
      </c>
      <c r="AF26" s="372">
        <f>'CARGA DOCENTE'!$H448</f>
        <v>0</v>
      </c>
      <c r="AG26" s="373" t="str">
        <f>IF(OR(AF26="TC",AF26="MT"),'CARGA DOCENTE'!$A448," ")</f>
        <v xml:space="preserve"> </v>
      </c>
      <c r="AH26" s="374" t="str">
        <f>IF(OR(AF26="TC",AF26="MT"),'CARGA DOCENTE'!$B448," ")</f>
        <v xml:space="preserve"> </v>
      </c>
      <c r="AI26" s="374" t="str">
        <f>IF(OR(AF26="TC",AF26="MT"),'CARGA DOCENTE'!$C448," ")</f>
        <v xml:space="preserve"> </v>
      </c>
      <c r="AJ26" s="374" t="str">
        <f>IF(OR(AF26="TC",AF26="MT"),'CARGA DOCENTE'!$G448," ")</f>
        <v xml:space="preserve"> </v>
      </c>
      <c r="AK26" s="372">
        <f>'CARGA DOCENTE'!$H449</f>
        <v>0</v>
      </c>
      <c r="AL26" s="373" t="str">
        <f>IF(OR(AK26="TC",AK26="MT"),'CARGA DOCENTE'!$A449," ")</f>
        <v xml:space="preserve"> </v>
      </c>
      <c r="AM26" s="374" t="str">
        <f>IF(OR(AK26="TC",AK26="MT"),'CARGA DOCENTE'!$B449," ")</f>
        <v xml:space="preserve"> </v>
      </c>
      <c r="AN26" s="374" t="str">
        <f>IF(OR(AK26="TC",AK26="MT"),'CARGA DOCENTE'!$C449," ")</f>
        <v xml:space="preserve"> </v>
      </c>
      <c r="AO26" s="374" t="str">
        <f>IF(OR(AK26="TC",AK26="MT"),'CARGA DOCENTE'!$G449," ")</f>
        <v xml:space="preserve"> </v>
      </c>
      <c r="AP26" s="372">
        <f>'CARGA DOCENTE'!$H450</f>
        <v>0</v>
      </c>
      <c r="AQ26" s="373" t="str">
        <f>IF(OR(AP26="TC",AP26="MT"),'CARGA DOCENTE'!$A450," ")</f>
        <v xml:space="preserve"> </v>
      </c>
      <c r="AR26" s="374" t="str">
        <f>IF(OR(AP26="TC",AP26="MT"),'CARGA DOCENTE'!$B450," ")</f>
        <v xml:space="preserve"> </v>
      </c>
      <c r="AS26" s="374" t="str">
        <f>IF(OR(AP26="TC",AP26="MT"),'CARGA DOCENTE'!$C450," ")</f>
        <v xml:space="preserve"> </v>
      </c>
      <c r="AT26" s="374" t="str">
        <f>IF(OR(AP26="TC",AP26="MT"),'CARGA DOCENTE'!$G450," ")</f>
        <v xml:space="preserve"> </v>
      </c>
      <c r="AU26" s="372">
        <f>'CARGA DOCENTE'!$H451</f>
        <v>0</v>
      </c>
      <c r="AV26" s="373" t="str">
        <f>IF(OR(AU26="TC",AU26="MT"),'CARGA DOCENTE'!$A451," ")</f>
        <v xml:space="preserve"> </v>
      </c>
      <c r="AW26" s="374" t="str">
        <f>IF(OR(AU26="TC",AU26="MT"),'CARGA DOCENTE'!$B451," ")</f>
        <v xml:space="preserve"> </v>
      </c>
      <c r="AX26" s="374" t="str">
        <f>IF(OR(AU26="TC",AU26="MT"),'CARGA DOCENTE'!$C451," ")</f>
        <v xml:space="preserve"> </v>
      </c>
      <c r="AY26" s="374" t="str">
        <f>IF(OR(AU26="TC",AU26="MT"),'CARGA DOCENTE'!$G451," ")</f>
        <v xml:space="preserve"> </v>
      </c>
      <c r="AZ26" s="372">
        <f>'CARGA DOCENTE'!$H452</f>
        <v>0</v>
      </c>
      <c r="BA26" s="373" t="str">
        <f>IF(OR(AZ26="TC",AZ26="MT"),'CARGA DOCENTE'!$A452," ")</f>
        <v xml:space="preserve"> </v>
      </c>
      <c r="BB26" s="374" t="str">
        <f>IF(OR(AZ26="TC",AZ26="MT"),'CARGA DOCENTE'!$B452," ")</f>
        <v xml:space="preserve"> </v>
      </c>
      <c r="BC26" s="374" t="str">
        <f>IF(OR(AZ26="TC",AZ26="MT"),'CARGA DOCENTE'!$C452," ")</f>
        <v xml:space="preserve"> </v>
      </c>
      <c r="BD26" s="374" t="str">
        <f>IF(OR(AZ26="TC",AZ26="MT"),'CARGA DOCENTE'!$G452," ")</f>
        <v xml:space="preserve"> </v>
      </c>
      <c r="BE26" s="372">
        <f>'CARGA DOCENTE'!$H453</f>
        <v>0</v>
      </c>
      <c r="BF26" s="373" t="str">
        <f>IF(OR(BE26="TC",BE26="MT"),'CARGA DOCENTE'!$A453," ")</f>
        <v xml:space="preserve"> </v>
      </c>
      <c r="BG26" s="374" t="str">
        <f>IF(OR(BE26="TC",BE26="MT"),'CARGA DOCENTE'!$B453," ")</f>
        <v xml:space="preserve"> </v>
      </c>
      <c r="BH26" s="374" t="str">
        <f>IF(OR(BE26="TC",BE26="MT"),'CARGA DOCENTE'!$C453," ")</f>
        <v xml:space="preserve"> </v>
      </c>
      <c r="BI26" s="374" t="str">
        <f>IF(OR(BE26="TC",BE26="MT"),'CARGA DOCENTE'!$G453," ")</f>
        <v xml:space="preserve"> </v>
      </c>
      <c r="BJ26" s="372">
        <f>'CARGA DOCENTE'!$H454</f>
        <v>0</v>
      </c>
      <c r="BK26" s="373" t="str">
        <f>IF(OR(BJ26="TC",BJ26="MT"),'CARGA DOCENTE'!$A454," ")</f>
        <v xml:space="preserve"> </v>
      </c>
      <c r="BL26" s="374" t="str">
        <f>IF(OR(BJ26="TC",BJ26="MT"),'CARGA DOCENTE'!$B454," ")</f>
        <v xml:space="preserve"> </v>
      </c>
      <c r="BM26" s="374" t="str">
        <f>IF(OR(BJ26="TC",BJ26="MT"),'CARGA DOCENTE'!$C454," ")</f>
        <v xml:space="preserve"> </v>
      </c>
      <c r="BN26" s="374" t="str">
        <f>IF(OR(BJ26="TC",BJ26="MT"),'CARGA DOCENTE'!$G454," ")</f>
        <v xml:space="preserve"> </v>
      </c>
      <c r="BO26" s="372">
        <f>'CARGA DOCENTE'!$H455</f>
        <v>0</v>
      </c>
      <c r="BP26" s="373" t="str">
        <f>IF(OR(BO26="TC",BO26="MT"),'CARGA DOCENTE'!$A455," ")</f>
        <v xml:space="preserve"> </v>
      </c>
      <c r="BQ26" s="374" t="str">
        <f>IF(OR(BO26="TC",BO26="MT"),'CARGA DOCENTE'!$B455," ")</f>
        <v xml:space="preserve"> </v>
      </c>
      <c r="BR26" s="374" t="str">
        <f>IF(OR(BO26="TC",BO26="MT"),'CARGA DOCENTE'!$C455," ")</f>
        <v xml:space="preserve"> </v>
      </c>
      <c r="BS26" s="374" t="str">
        <f>IF(OR(BO26="TC",BO26="MT"),'CARGA DOCENTE'!$G455," ")</f>
        <v xml:space="preserve"> </v>
      </c>
      <c r="BT26" s="372">
        <f>'CARGA DOCENTE'!$H456</f>
        <v>0</v>
      </c>
      <c r="BU26" s="373" t="str">
        <f>IF(OR(BT26="TC",BT26="MT"),'CARGA DOCENTE'!$A456," ")</f>
        <v xml:space="preserve"> </v>
      </c>
      <c r="BV26" s="374" t="str">
        <f>IF(OR(BT26="TC",BT26="MT"),'CARGA DOCENTE'!$B456," ")</f>
        <v xml:space="preserve"> </v>
      </c>
      <c r="BW26" s="374" t="str">
        <f>IF(OR(BT26="TC",BT26="MT"),'CARGA DOCENTE'!$C456," ")</f>
        <v xml:space="preserve"> </v>
      </c>
      <c r="BX26" s="374" t="str">
        <f>IF(OR(BT26="TC",BT26="MT"),'CARGA DOCENTE'!$G456," ")</f>
        <v xml:space="preserve"> </v>
      </c>
    </row>
    <row r="27" spans="1:76" x14ac:dyDescent="0.2">
      <c r="A27" s="378">
        <f>'CARGA DOCENTE'!J460</f>
        <v>0</v>
      </c>
      <c r="B27" s="372">
        <f>'CARGA DOCENTE'!$H460</f>
        <v>0</v>
      </c>
      <c r="C27" s="373" t="str">
        <f>IF(OR(B27="TC",B27="MT"),'CARGA DOCENTE'!$A460," ")</f>
        <v xml:space="preserve"> </v>
      </c>
      <c r="D27" s="374" t="str">
        <f>IF(OR(B27="TC",B27="MT"),'CARGA DOCENTE'!$B460," ")</f>
        <v xml:space="preserve"> </v>
      </c>
      <c r="E27" s="374" t="str">
        <f>IF(OR(B27="TC",B27="MT"),'CARGA DOCENTE'!$C460," ")</f>
        <v xml:space="preserve"> </v>
      </c>
      <c r="F27" s="374" t="str">
        <f>IF(OR(B27="TC",B27="MT"),'CARGA DOCENTE'!$G460," ")</f>
        <v xml:space="preserve"> </v>
      </c>
      <c r="G27" s="372">
        <f>'CARGA DOCENTE'!$H461</f>
        <v>0</v>
      </c>
      <c r="H27" s="373" t="str">
        <f>IF(OR(G27="TC",G27="MT"),'CARGA DOCENTE'!$A461," ")</f>
        <v xml:space="preserve"> </v>
      </c>
      <c r="I27" s="374" t="str">
        <f>IF(OR(G27="TC",G27="MT"),'CARGA DOCENTE'!$B461," ")</f>
        <v xml:space="preserve"> </v>
      </c>
      <c r="J27" s="374" t="str">
        <f>IF(OR(G27="TC",G27="MT"),'CARGA DOCENTE'!$C461," ")</f>
        <v xml:space="preserve"> </v>
      </c>
      <c r="K27" s="374" t="str">
        <f>IF(OR(G27="TC",G27="MT"),'CARGA DOCENTE'!$G461," ")</f>
        <v xml:space="preserve"> </v>
      </c>
      <c r="L27" s="372">
        <f>'CARGA DOCENTE'!$H462</f>
        <v>0</v>
      </c>
      <c r="M27" s="373" t="str">
        <f>IF(OR(L27="TC",L27="MT"),'CARGA DOCENTE'!$A462," ")</f>
        <v xml:space="preserve"> </v>
      </c>
      <c r="N27" s="374" t="str">
        <f>IF(OR(L27="TC",L27="MT"),'CARGA DOCENTE'!$B462," ")</f>
        <v xml:space="preserve"> </v>
      </c>
      <c r="O27" s="374" t="str">
        <f>IF(OR(L27="TC",L27="MT"),'CARGA DOCENTE'!$C462," ")</f>
        <v xml:space="preserve"> </v>
      </c>
      <c r="P27" s="374" t="str">
        <f>IF(OR(L27="TC",L27="MT"),'CARGA DOCENTE'!$G462," ")</f>
        <v xml:space="preserve"> </v>
      </c>
      <c r="Q27" s="372">
        <f>'CARGA DOCENTE'!$H463</f>
        <v>0</v>
      </c>
      <c r="R27" s="373" t="str">
        <f>IF(OR(Q27="TC",Q27="MT"),'CARGA DOCENTE'!$A463," ")</f>
        <v xml:space="preserve"> </v>
      </c>
      <c r="S27" s="374" t="str">
        <f>IF(OR(Q27="TC",Q27="MT"),'CARGA DOCENTE'!$B463," ")</f>
        <v xml:space="preserve"> </v>
      </c>
      <c r="T27" s="374" t="str">
        <f>IF(OR(Q27="TC",Q27="MT"),'CARGA DOCENTE'!$C463," ")</f>
        <v xml:space="preserve"> </v>
      </c>
      <c r="U27" s="374" t="str">
        <f>IF(OR(Q27="TC",Q27="MT"),'CARGA DOCENTE'!$G463," ")</f>
        <v xml:space="preserve"> </v>
      </c>
      <c r="V27" s="372">
        <f>'CARGA DOCENTE'!$H464</f>
        <v>0</v>
      </c>
      <c r="W27" s="373" t="str">
        <f>IF(OR(V27="TC",V27="MT"),'CARGA DOCENTE'!$A464," ")</f>
        <v xml:space="preserve"> </v>
      </c>
      <c r="X27" s="374" t="str">
        <f>IF(OR(V27="TC",V27="MT"),'CARGA DOCENTE'!$B464," ")</f>
        <v xml:space="preserve"> </v>
      </c>
      <c r="Y27" s="374" t="str">
        <f>IF(OR(V27="TC",V27="MT"),'CARGA DOCENTE'!$C464," ")</f>
        <v xml:space="preserve"> </v>
      </c>
      <c r="Z27" s="374" t="str">
        <f>IF(OR(V27="TC",V27="MT"),'CARGA DOCENTE'!$G464," ")</f>
        <v xml:space="preserve"> </v>
      </c>
      <c r="AA27" s="372">
        <f>'CARGA DOCENTE'!$H465</f>
        <v>0</v>
      </c>
      <c r="AB27" s="373" t="str">
        <f>IF(OR(AA27="TC",AA27="MT"),'CARGA DOCENTE'!$A465," ")</f>
        <v xml:space="preserve"> </v>
      </c>
      <c r="AC27" s="374" t="str">
        <f>IF(OR(AA27="TC",AA27="MT"),'CARGA DOCENTE'!$B465," ")</f>
        <v xml:space="preserve"> </v>
      </c>
      <c r="AD27" s="374" t="str">
        <f>IF(OR(AA27="TC",AA27="MT"),'CARGA DOCENTE'!$C465," ")</f>
        <v xml:space="preserve"> </v>
      </c>
      <c r="AE27" s="374" t="str">
        <f>IF(OR(AA27="TC",AA27="MT"),'CARGA DOCENTE'!$G465," ")</f>
        <v xml:space="preserve"> </v>
      </c>
      <c r="AF27" s="372">
        <f>'CARGA DOCENTE'!$H466</f>
        <v>0</v>
      </c>
      <c r="AG27" s="373" t="str">
        <f>IF(OR(AF27="TC",AF27="MT"),'CARGA DOCENTE'!$A466," ")</f>
        <v xml:space="preserve"> </v>
      </c>
      <c r="AH27" s="374" t="str">
        <f>IF(OR(AF27="TC",AF27="MT"),'CARGA DOCENTE'!$B466," ")</f>
        <v xml:space="preserve"> </v>
      </c>
      <c r="AI27" s="374" t="str">
        <f>IF(OR(AF27="TC",AF27="MT"),'CARGA DOCENTE'!$C466," ")</f>
        <v xml:space="preserve"> </v>
      </c>
      <c r="AJ27" s="374" t="str">
        <f>IF(OR(AF27="TC",AF27="MT"),'CARGA DOCENTE'!$G466," ")</f>
        <v xml:space="preserve"> </v>
      </c>
      <c r="AK27" s="372">
        <f>'CARGA DOCENTE'!$H467</f>
        <v>0</v>
      </c>
      <c r="AL27" s="373" t="str">
        <f>IF(OR(AK27="TC",AK27="MT"),'CARGA DOCENTE'!$A467," ")</f>
        <v xml:space="preserve"> </v>
      </c>
      <c r="AM27" s="374" t="str">
        <f>IF(OR(AK27="TC",AK27="MT"),'CARGA DOCENTE'!$B467," ")</f>
        <v xml:space="preserve"> </v>
      </c>
      <c r="AN27" s="374" t="str">
        <f>IF(OR(AK27="TC",AK27="MT"),'CARGA DOCENTE'!$C467," ")</f>
        <v xml:space="preserve"> </v>
      </c>
      <c r="AO27" s="374" t="str">
        <f>IF(OR(AK27="TC",AK27="MT"),'CARGA DOCENTE'!$G467," ")</f>
        <v xml:space="preserve"> </v>
      </c>
      <c r="AP27" s="372">
        <f>'CARGA DOCENTE'!$H468</f>
        <v>0</v>
      </c>
      <c r="AQ27" s="373" t="str">
        <f>IF(OR(AP27="TC",AP27="MT"),'CARGA DOCENTE'!$A468," ")</f>
        <v xml:space="preserve"> </v>
      </c>
      <c r="AR27" s="374" t="str">
        <f>IF(OR(AP27="TC",AP27="MT"),'CARGA DOCENTE'!$B468," ")</f>
        <v xml:space="preserve"> </v>
      </c>
      <c r="AS27" s="374" t="str">
        <f>IF(OR(AP27="TC",AP27="MT"),'CARGA DOCENTE'!$C468," ")</f>
        <v xml:space="preserve"> </v>
      </c>
      <c r="AT27" s="374" t="str">
        <f>IF(OR(AP27="TC",AP27="MT"),'CARGA DOCENTE'!$G468," ")</f>
        <v xml:space="preserve"> </v>
      </c>
      <c r="AU27" s="372">
        <f>'CARGA DOCENTE'!$H469</f>
        <v>0</v>
      </c>
      <c r="AV27" s="373" t="str">
        <f>IF(OR(AU27="TC",AU27="MT"),'CARGA DOCENTE'!$A469," ")</f>
        <v xml:space="preserve"> </v>
      </c>
      <c r="AW27" s="374" t="str">
        <f>IF(OR(AU27="TC",AU27="MT"),'CARGA DOCENTE'!$B469," ")</f>
        <v xml:space="preserve"> </v>
      </c>
      <c r="AX27" s="374" t="str">
        <f>IF(OR(AU27="TC",AU27="MT"),'CARGA DOCENTE'!$C469," ")</f>
        <v xml:space="preserve"> </v>
      </c>
      <c r="AY27" s="374" t="str">
        <f>IF(OR(AU27="TC",AU27="MT"),'CARGA DOCENTE'!$G469," ")</f>
        <v xml:space="preserve"> </v>
      </c>
      <c r="AZ27" s="372">
        <f>'CARGA DOCENTE'!$H470</f>
        <v>0</v>
      </c>
      <c r="BA27" s="373" t="str">
        <f>IF(OR(AZ27="TC",AZ27="MT"),'CARGA DOCENTE'!$A470," ")</f>
        <v xml:space="preserve"> </v>
      </c>
      <c r="BB27" s="374" t="str">
        <f>IF(OR(AZ27="TC",AZ27="MT"),'CARGA DOCENTE'!$B470," ")</f>
        <v xml:space="preserve"> </v>
      </c>
      <c r="BC27" s="374" t="str">
        <f>IF(OR(AZ27="TC",AZ27="MT"),'CARGA DOCENTE'!$C470," ")</f>
        <v xml:space="preserve"> </v>
      </c>
      <c r="BD27" s="374" t="str">
        <f>IF(OR(AZ27="TC",AZ27="MT"),'CARGA DOCENTE'!$G470," ")</f>
        <v xml:space="preserve"> </v>
      </c>
      <c r="BE27" s="372">
        <f>'CARGA DOCENTE'!$H471</f>
        <v>0</v>
      </c>
      <c r="BF27" s="373" t="str">
        <f>IF(OR(BE27="TC",BE27="MT"),'CARGA DOCENTE'!$A471," ")</f>
        <v xml:space="preserve"> </v>
      </c>
      <c r="BG27" s="374" t="str">
        <f>IF(OR(BE27="TC",BE27="MT"),'CARGA DOCENTE'!$B471," ")</f>
        <v xml:space="preserve"> </v>
      </c>
      <c r="BH27" s="374" t="str">
        <f>IF(OR(BE27="TC",BE27="MT"),'CARGA DOCENTE'!$C471," ")</f>
        <v xml:space="preserve"> </v>
      </c>
      <c r="BI27" s="374" t="str">
        <f>IF(OR(BE27="TC",BE27="MT"),'CARGA DOCENTE'!$G471," ")</f>
        <v xml:space="preserve"> </v>
      </c>
      <c r="BJ27" s="372">
        <f>'CARGA DOCENTE'!$H472</f>
        <v>0</v>
      </c>
      <c r="BK27" s="373" t="str">
        <f>IF(OR(BJ27="TC",BJ27="MT"),'CARGA DOCENTE'!$A472," ")</f>
        <v xml:space="preserve"> </v>
      </c>
      <c r="BL27" s="374" t="str">
        <f>IF(OR(BJ27="TC",BJ27="MT"),'CARGA DOCENTE'!$B472," ")</f>
        <v xml:space="preserve"> </v>
      </c>
      <c r="BM27" s="374" t="str">
        <f>IF(OR(BJ27="TC",BJ27="MT"),'CARGA DOCENTE'!$C472," ")</f>
        <v xml:space="preserve"> </v>
      </c>
      <c r="BN27" s="374" t="str">
        <f>IF(OR(BJ27="TC",BJ27="MT"),'CARGA DOCENTE'!$G472," ")</f>
        <v xml:space="preserve"> </v>
      </c>
      <c r="BO27" s="372">
        <f>'CARGA DOCENTE'!$H473</f>
        <v>0</v>
      </c>
      <c r="BP27" s="373" t="str">
        <f>IF(OR(BO27="TC",BO27="MT"),'CARGA DOCENTE'!$A473," ")</f>
        <v xml:space="preserve"> </v>
      </c>
      <c r="BQ27" s="374" t="str">
        <f>IF(OR(BO27="TC",BO27="MT"),'CARGA DOCENTE'!$B473," ")</f>
        <v xml:space="preserve"> </v>
      </c>
      <c r="BR27" s="374" t="str">
        <f>IF(OR(BO27="TC",BO27="MT"),'CARGA DOCENTE'!$C473," ")</f>
        <v xml:space="preserve"> </v>
      </c>
      <c r="BS27" s="374" t="str">
        <f>IF(OR(BO27="TC",BO27="MT"),'CARGA DOCENTE'!$G473," ")</f>
        <v xml:space="preserve"> </v>
      </c>
      <c r="BT27" s="372">
        <f>'CARGA DOCENTE'!$H474</f>
        <v>0</v>
      </c>
      <c r="BU27" s="373" t="str">
        <f>IF(OR(BT27="TC",BT27="MT"),'CARGA DOCENTE'!$A474," ")</f>
        <v xml:space="preserve"> </v>
      </c>
      <c r="BV27" s="374" t="str">
        <f>IF(OR(BT27="TC",BT27="MT"),'CARGA DOCENTE'!$B474," ")</f>
        <v xml:space="preserve"> </v>
      </c>
      <c r="BW27" s="374" t="str">
        <f>IF(OR(BT27="TC",BT27="MT"),'CARGA DOCENTE'!$C474," ")</f>
        <v xml:space="preserve"> </v>
      </c>
      <c r="BX27" s="374" t="str">
        <f>IF(OR(BT27="TC",BT27="MT"),'CARGA DOCENTE'!$G474," ")</f>
        <v xml:space="preserve"> </v>
      </c>
    </row>
    <row r="28" spans="1:76" x14ac:dyDescent="0.2">
      <c r="A28" s="378">
        <f>'CARGA DOCENTE'!J478</f>
        <v>0</v>
      </c>
      <c r="B28" s="372">
        <f>'CARGA DOCENTE'!$H478</f>
        <v>0</v>
      </c>
      <c r="C28" s="373" t="str">
        <f>IF(OR(B28="TC",B28="MT"),'CARGA DOCENTE'!$A478," ")</f>
        <v xml:space="preserve"> </v>
      </c>
      <c r="D28" s="374" t="str">
        <f>IF(OR(B28="TC",B28="MT"),'CARGA DOCENTE'!$B478," ")</f>
        <v xml:space="preserve"> </v>
      </c>
      <c r="E28" s="374" t="str">
        <f>IF(OR(B28="TC",B28="MT"),'CARGA DOCENTE'!$C478," ")</f>
        <v xml:space="preserve"> </v>
      </c>
      <c r="F28" s="374" t="str">
        <f>IF(OR(B28="TC",B28="MT"),'CARGA DOCENTE'!$G478," ")</f>
        <v xml:space="preserve"> </v>
      </c>
      <c r="G28" s="372">
        <f>'CARGA DOCENTE'!$H479</f>
        <v>0</v>
      </c>
      <c r="H28" s="373" t="str">
        <f>IF(OR(G28="TC",G28="MT"),'CARGA DOCENTE'!$A479," ")</f>
        <v xml:space="preserve"> </v>
      </c>
      <c r="I28" s="374" t="str">
        <f>IF(OR(G28="TC",G28="MT"),'CARGA DOCENTE'!$B479," ")</f>
        <v xml:space="preserve"> </v>
      </c>
      <c r="J28" s="374" t="str">
        <f>IF(OR(G28="TC",G28="MT"),'CARGA DOCENTE'!$C479," ")</f>
        <v xml:space="preserve"> </v>
      </c>
      <c r="K28" s="374" t="str">
        <f>IF(OR(G28="TC",G28="MT"),'CARGA DOCENTE'!$G479," ")</f>
        <v xml:space="preserve"> </v>
      </c>
      <c r="L28" s="372">
        <f>'CARGA DOCENTE'!$H480</f>
        <v>0</v>
      </c>
      <c r="M28" s="373" t="str">
        <f>IF(OR(L28="TC",L28="MT"),'CARGA DOCENTE'!$A480," ")</f>
        <v xml:space="preserve"> </v>
      </c>
      <c r="N28" s="374" t="str">
        <f>IF(OR(L28="TC",L28="MT"),'CARGA DOCENTE'!$B480," ")</f>
        <v xml:space="preserve"> </v>
      </c>
      <c r="O28" s="374" t="str">
        <f>IF(OR(L28="TC",L28="MT"),'CARGA DOCENTE'!$C480," ")</f>
        <v xml:space="preserve"> </v>
      </c>
      <c r="P28" s="374" t="str">
        <f>IF(OR(L28="TC",L28="MT"),'CARGA DOCENTE'!$G480," ")</f>
        <v xml:space="preserve"> </v>
      </c>
      <c r="Q28" s="372">
        <f>'CARGA DOCENTE'!$H481</f>
        <v>0</v>
      </c>
      <c r="R28" s="373" t="str">
        <f>IF(OR(Q28="TC",Q28="MT"),'CARGA DOCENTE'!$A481," ")</f>
        <v xml:space="preserve"> </v>
      </c>
      <c r="S28" s="374" t="str">
        <f>IF(OR(Q28="TC",Q28="MT"),'CARGA DOCENTE'!$B481," ")</f>
        <v xml:space="preserve"> </v>
      </c>
      <c r="T28" s="374" t="str">
        <f>IF(OR(Q28="TC",Q28="MT"),'CARGA DOCENTE'!$C481," ")</f>
        <v xml:space="preserve"> </v>
      </c>
      <c r="U28" s="374" t="str">
        <f>IF(OR(Q28="TC",Q28="MT"),'CARGA DOCENTE'!$G481," ")</f>
        <v xml:space="preserve"> </v>
      </c>
      <c r="V28" s="372">
        <f>'CARGA DOCENTE'!$H482</f>
        <v>0</v>
      </c>
      <c r="W28" s="373" t="str">
        <f>IF(OR(V28="TC",V28="MT"),'CARGA DOCENTE'!$A482," ")</f>
        <v xml:space="preserve"> </v>
      </c>
      <c r="X28" s="374" t="str">
        <f>IF(OR(V28="TC",V28="MT"),'CARGA DOCENTE'!$B482," ")</f>
        <v xml:space="preserve"> </v>
      </c>
      <c r="Y28" s="374" t="str">
        <f>IF(OR(V28="TC",V28="MT"),'CARGA DOCENTE'!$C482," ")</f>
        <v xml:space="preserve"> </v>
      </c>
      <c r="Z28" s="374" t="str">
        <f>IF(OR(V28="TC",V28="MT"),'CARGA DOCENTE'!$G482," ")</f>
        <v xml:space="preserve"> </v>
      </c>
      <c r="AA28" s="372">
        <f>'CARGA DOCENTE'!$H483</f>
        <v>0</v>
      </c>
      <c r="AB28" s="373" t="str">
        <f>IF(OR(AA28="TC",AA28="MT"),'CARGA DOCENTE'!$A483," ")</f>
        <v xml:space="preserve"> </v>
      </c>
      <c r="AC28" s="374" t="str">
        <f>IF(OR(AA28="TC",AA28="MT"),'CARGA DOCENTE'!$B483," ")</f>
        <v xml:space="preserve"> </v>
      </c>
      <c r="AD28" s="374" t="str">
        <f>IF(OR(AA28="TC",AA28="MT"),'CARGA DOCENTE'!$C483," ")</f>
        <v xml:space="preserve"> </v>
      </c>
      <c r="AE28" s="374" t="str">
        <f>IF(OR(AA28="TC",AA28="MT"),'CARGA DOCENTE'!$G483," ")</f>
        <v xml:space="preserve"> </v>
      </c>
      <c r="AF28" s="372">
        <f>'CARGA DOCENTE'!$H484</f>
        <v>0</v>
      </c>
      <c r="AG28" s="373" t="str">
        <f>IF(OR(AF28="TC",AF28="MT"),'CARGA DOCENTE'!$A484," ")</f>
        <v xml:space="preserve"> </v>
      </c>
      <c r="AH28" s="374" t="str">
        <f>IF(OR(AF28="TC",AF28="MT"),'CARGA DOCENTE'!$B484," ")</f>
        <v xml:space="preserve"> </v>
      </c>
      <c r="AI28" s="374" t="str">
        <f>IF(OR(AF28="TC",AF28="MT"),'CARGA DOCENTE'!$C484," ")</f>
        <v xml:space="preserve"> </v>
      </c>
      <c r="AJ28" s="374" t="str">
        <f>IF(OR(AF28="TC",AF28="MT"),'CARGA DOCENTE'!$G484," ")</f>
        <v xml:space="preserve"> </v>
      </c>
      <c r="AK28" s="372">
        <f>'CARGA DOCENTE'!$H485</f>
        <v>0</v>
      </c>
      <c r="AL28" s="373" t="str">
        <f>IF(OR(AK28="TC",AK28="MT"),'CARGA DOCENTE'!$A485," ")</f>
        <v xml:space="preserve"> </v>
      </c>
      <c r="AM28" s="374" t="str">
        <f>IF(OR(AK28="TC",AK28="MT"),'CARGA DOCENTE'!$B485," ")</f>
        <v xml:space="preserve"> </v>
      </c>
      <c r="AN28" s="374" t="str">
        <f>IF(OR(AK28="TC",AK28="MT"),'CARGA DOCENTE'!$C485," ")</f>
        <v xml:space="preserve"> </v>
      </c>
      <c r="AO28" s="374" t="str">
        <f>IF(OR(AK28="TC",AK28="MT"),'CARGA DOCENTE'!$G485," ")</f>
        <v xml:space="preserve"> </v>
      </c>
      <c r="AP28" s="372">
        <f>'CARGA DOCENTE'!$H486</f>
        <v>0</v>
      </c>
      <c r="AQ28" s="373" t="str">
        <f>IF(OR(AP28="TC",AP28="MT"),'CARGA DOCENTE'!$A486," ")</f>
        <v xml:space="preserve"> </v>
      </c>
      <c r="AR28" s="374" t="str">
        <f>IF(OR(AP28="TC",AP28="MT"),'CARGA DOCENTE'!$B486," ")</f>
        <v xml:space="preserve"> </v>
      </c>
      <c r="AS28" s="374" t="str">
        <f>IF(OR(AP28="TC",AP28="MT"),'CARGA DOCENTE'!$C486," ")</f>
        <v xml:space="preserve"> </v>
      </c>
      <c r="AT28" s="374" t="str">
        <f>IF(OR(AP28="TC",AP28="MT"),'CARGA DOCENTE'!$G486," ")</f>
        <v xml:space="preserve"> </v>
      </c>
      <c r="AU28" s="372">
        <f>'CARGA DOCENTE'!$H487</f>
        <v>0</v>
      </c>
      <c r="AV28" s="373" t="str">
        <f>IF(OR(AU28="TC",AU28="MT"),'CARGA DOCENTE'!$A487," ")</f>
        <v xml:space="preserve"> </v>
      </c>
      <c r="AW28" s="374" t="str">
        <f>IF(OR(AU28="TC",AU28="MT"),'CARGA DOCENTE'!$B487," ")</f>
        <v xml:space="preserve"> </v>
      </c>
      <c r="AX28" s="374" t="str">
        <f>IF(OR(AU28="TC",AU28="MT"),'CARGA DOCENTE'!$C487," ")</f>
        <v xml:space="preserve"> </v>
      </c>
      <c r="AY28" s="374" t="str">
        <f>IF(OR(AU28="TC",AU28="MT"),'CARGA DOCENTE'!$G487," ")</f>
        <v xml:space="preserve"> </v>
      </c>
      <c r="AZ28" s="372">
        <f>'CARGA DOCENTE'!$H488</f>
        <v>0</v>
      </c>
      <c r="BA28" s="373" t="str">
        <f>IF(OR(AZ28="TC",AZ28="MT"),'CARGA DOCENTE'!$A488," ")</f>
        <v xml:space="preserve"> </v>
      </c>
      <c r="BB28" s="374" t="str">
        <f>IF(OR(AZ28="TC",AZ28="MT"),'CARGA DOCENTE'!$B488," ")</f>
        <v xml:space="preserve"> </v>
      </c>
      <c r="BC28" s="374" t="str">
        <f>IF(OR(AZ28="TC",AZ28="MT"),'CARGA DOCENTE'!$C488," ")</f>
        <v xml:space="preserve"> </v>
      </c>
      <c r="BD28" s="374" t="str">
        <f>IF(OR(AZ28="TC",AZ28="MT"),'CARGA DOCENTE'!$G488," ")</f>
        <v xml:space="preserve"> </v>
      </c>
      <c r="BE28" s="372">
        <f>'CARGA DOCENTE'!$H489</f>
        <v>0</v>
      </c>
      <c r="BF28" s="373" t="str">
        <f>IF(OR(BE28="TC",BE28="MT"),'CARGA DOCENTE'!$A489," ")</f>
        <v xml:space="preserve"> </v>
      </c>
      <c r="BG28" s="374" t="str">
        <f>IF(OR(BE28="TC",BE28="MT"),'CARGA DOCENTE'!$B489," ")</f>
        <v xml:space="preserve"> </v>
      </c>
      <c r="BH28" s="374" t="str">
        <f>IF(OR(BE28="TC",BE28="MT"),'CARGA DOCENTE'!$C489," ")</f>
        <v xml:space="preserve"> </v>
      </c>
      <c r="BI28" s="374" t="str">
        <f>IF(OR(BE28="TC",BE28="MT"),'CARGA DOCENTE'!$G489," ")</f>
        <v xml:space="preserve"> </v>
      </c>
      <c r="BJ28" s="372">
        <f>'CARGA DOCENTE'!$H490</f>
        <v>0</v>
      </c>
      <c r="BK28" s="373" t="str">
        <f>IF(OR(BJ28="TC",BJ28="MT"),'CARGA DOCENTE'!$A490," ")</f>
        <v xml:space="preserve"> </v>
      </c>
      <c r="BL28" s="374" t="str">
        <f>IF(OR(BJ28="TC",BJ28="MT"),'CARGA DOCENTE'!$B490," ")</f>
        <v xml:space="preserve"> </v>
      </c>
      <c r="BM28" s="374" t="str">
        <f>IF(OR(BJ28="TC",BJ28="MT"),'CARGA DOCENTE'!$C490," ")</f>
        <v xml:space="preserve"> </v>
      </c>
      <c r="BN28" s="374" t="str">
        <f>IF(OR(BJ28="TC",BJ28="MT"),'CARGA DOCENTE'!$G490," ")</f>
        <v xml:space="preserve"> </v>
      </c>
      <c r="BO28" s="372">
        <f>'CARGA DOCENTE'!$H491</f>
        <v>0</v>
      </c>
      <c r="BP28" s="373" t="str">
        <f>IF(OR(BO28="TC",BO28="MT"),'CARGA DOCENTE'!$A491," ")</f>
        <v xml:space="preserve"> </v>
      </c>
      <c r="BQ28" s="374" t="str">
        <f>IF(OR(BO28="TC",BO28="MT"),'CARGA DOCENTE'!$B491," ")</f>
        <v xml:space="preserve"> </v>
      </c>
      <c r="BR28" s="374" t="str">
        <f>IF(OR(BO28="TC",BO28="MT"),'CARGA DOCENTE'!$C491," ")</f>
        <v xml:space="preserve"> </v>
      </c>
      <c r="BS28" s="374" t="str">
        <f>IF(OR(BO28="TC",BO28="MT"),'CARGA DOCENTE'!$G491," ")</f>
        <v xml:space="preserve"> </v>
      </c>
      <c r="BT28" s="372">
        <f>'CARGA DOCENTE'!$H492</f>
        <v>0</v>
      </c>
      <c r="BU28" s="373" t="str">
        <f>IF(OR(BT28="TC",BT28="MT"),'CARGA DOCENTE'!$A492," ")</f>
        <v xml:space="preserve"> </v>
      </c>
      <c r="BV28" s="374" t="str">
        <f>IF(OR(BT28="TC",BT28="MT"),'CARGA DOCENTE'!$B492," ")</f>
        <v xml:space="preserve"> </v>
      </c>
      <c r="BW28" s="374" t="str">
        <f>IF(OR(BT28="TC",BT28="MT"),'CARGA DOCENTE'!$C492," ")</f>
        <v xml:space="preserve"> </v>
      </c>
      <c r="BX28" s="374" t="str">
        <f>IF(OR(BT28="TC",BT28="MT"),'CARGA DOCENTE'!$G492," ")</f>
        <v xml:space="preserve"> </v>
      </c>
    </row>
    <row r="29" spans="1:76" x14ac:dyDescent="0.2">
      <c r="A29" s="378">
        <f>'CARGA DOCENTE'!J496</f>
        <v>0</v>
      </c>
      <c r="B29" s="372">
        <f>'CARGA DOCENTE'!$H496</f>
        <v>0</v>
      </c>
      <c r="C29" s="373" t="str">
        <f>IF(OR(B29="TC",B29="MT"),'CARGA DOCENTE'!$A496," ")</f>
        <v xml:space="preserve"> </v>
      </c>
      <c r="D29" s="374" t="str">
        <f>IF(OR(B29="TC",B29="MT"),'CARGA DOCENTE'!$B496," ")</f>
        <v xml:space="preserve"> </v>
      </c>
      <c r="E29" s="374" t="str">
        <f>IF(OR(B29="TC",B29="MT"),'CARGA DOCENTE'!$C496," ")</f>
        <v xml:space="preserve"> </v>
      </c>
      <c r="F29" s="374" t="str">
        <f>IF(OR(B29="TC",B29="MT"),'CARGA DOCENTE'!$G496," ")</f>
        <v xml:space="preserve"> </v>
      </c>
      <c r="G29" s="372">
        <f>'CARGA DOCENTE'!$H497</f>
        <v>0</v>
      </c>
      <c r="H29" s="373" t="str">
        <f>IF(OR(G29="TC",G29="MT"),'CARGA DOCENTE'!$A497," ")</f>
        <v xml:space="preserve"> </v>
      </c>
      <c r="I29" s="374" t="str">
        <f>IF(OR(G29="TC",G29="MT"),'CARGA DOCENTE'!$B497," ")</f>
        <v xml:space="preserve"> </v>
      </c>
      <c r="J29" s="374" t="str">
        <f>IF(OR(G29="TC",G29="MT"),'CARGA DOCENTE'!$C497," ")</f>
        <v xml:space="preserve"> </v>
      </c>
      <c r="K29" s="374" t="str">
        <f>IF(OR(G29="TC",G29="MT"),'CARGA DOCENTE'!$G497," ")</f>
        <v xml:space="preserve"> </v>
      </c>
      <c r="L29" s="372">
        <f>'CARGA DOCENTE'!$H498</f>
        <v>0</v>
      </c>
      <c r="M29" s="373" t="str">
        <f>IF(OR(L29="TC",L29="MT"),'CARGA DOCENTE'!$A498," ")</f>
        <v xml:space="preserve"> </v>
      </c>
      <c r="N29" s="374" t="str">
        <f>IF(OR(L29="TC",L29="MT"),'CARGA DOCENTE'!$B498," ")</f>
        <v xml:space="preserve"> </v>
      </c>
      <c r="O29" s="374" t="str">
        <f>IF(OR(L29="TC",L29="MT"),'CARGA DOCENTE'!$C498," ")</f>
        <v xml:space="preserve"> </v>
      </c>
      <c r="P29" s="374" t="str">
        <f>IF(OR(L29="TC",L29="MT"),'CARGA DOCENTE'!$G498," ")</f>
        <v xml:space="preserve"> </v>
      </c>
      <c r="Q29" s="372">
        <f>'CARGA DOCENTE'!$H499</f>
        <v>0</v>
      </c>
      <c r="R29" s="373" t="str">
        <f>IF(OR(Q29="TC",Q29="MT"),'CARGA DOCENTE'!$A499," ")</f>
        <v xml:space="preserve"> </v>
      </c>
      <c r="S29" s="374" t="str">
        <f>IF(OR(Q29="TC",Q29="MT"),'CARGA DOCENTE'!$B499," ")</f>
        <v xml:space="preserve"> </v>
      </c>
      <c r="T29" s="374" t="str">
        <f>IF(OR(Q29="TC",Q29="MT"),'CARGA DOCENTE'!$C499," ")</f>
        <v xml:space="preserve"> </v>
      </c>
      <c r="U29" s="374" t="str">
        <f>IF(OR(Q29="TC",Q29="MT"),'CARGA DOCENTE'!$G499," ")</f>
        <v xml:space="preserve"> </v>
      </c>
      <c r="V29" s="372">
        <f>'CARGA DOCENTE'!$H500</f>
        <v>0</v>
      </c>
      <c r="W29" s="373" t="str">
        <f>IF(OR(V29="TC",V29="MT"),'CARGA DOCENTE'!$A500," ")</f>
        <v xml:space="preserve"> </v>
      </c>
      <c r="X29" s="374" t="str">
        <f>IF(OR(V29="TC",V29="MT"),'CARGA DOCENTE'!$B500," ")</f>
        <v xml:space="preserve"> </v>
      </c>
      <c r="Y29" s="374" t="str">
        <f>IF(OR(V29="TC",V29="MT"),'CARGA DOCENTE'!$C500," ")</f>
        <v xml:space="preserve"> </v>
      </c>
      <c r="Z29" s="374" t="str">
        <f>IF(OR(V29="TC",V29="MT"),'CARGA DOCENTE'!$G500," ")</f>
        <v xml:space="preserve"> </v>
      </c>
      <c r="AA29" s="372">
        <f>'CARGA DOCENTE'!$H501</f>
        <v>0</v>
      </c>
      <c r="AB29" s="373" t="str">
        <f>IF(OR(AA29="TC",AA29="MT"),'CARGA DOCENTE'!$A501," ")</f>
        <v xml:space="preserve"> </v>
      </c>
      <c r="AC29" s="374" t="str">
        <f>IF(OR(AA29="TC",AA29="MT"),'CARGA DOCENTE'!$B501," ")</f>
        <v xml:space="preserve"> </v>
      </c>
      <c r="AD29" s="374" t="str">
        <f>IF(OR(AA29="TC",AA29="MT"),'CARGA DOCENTE'!$C501," ")</f>
        <v xml:space="preserve"> </v>
      </c>
      <c r="AE29" s="374" t="str">
        <f>IF(OR(AA29="TC",AA29="MT"),'CARGA DOCENTE'!$G501," ")</f>
        <v xml:space="preserve"> </v>
      </c>
      <c r="AF29" s="372">
        <f>'CARGA DOCENTE'!$H502</f>
        <v>0</v>
      </c>
      <c r="AG29" s="373" t="str">
        <f>IF(OR(AF29="TC",AF29="MT"),'CARGA DOCENTE'!$A502," ")</f>
        <v xml:space="preserve"> </v>
      </c>
      <c r="AH29" s="374" t="str">
        <f>IF(OR(AF29="TC",AF29="MT"),'CARGA DOCENTE'!$B502," ")</f>
        <v xml:space="preserve"> </v>
      </c>
      <c r="AI29" s="374" t="str">
        <f>IF(OR(AF29="TC",AF29="MT"),'CARGA DOCENTE'!$C502," ")</f>
        <v xml:space="preserve"> </v>
      </c>
      <c r="AJ29" s="374" t="str">
        <f>IF(OR(AF29="TC",AF29="MT"),'CARGA DOCENTE'!$G502," ")</f>
        <v xml:space="preserve"> </v>
      </c>
      <c r="AK29" s="372">
        <f>'CARGA DOCENTE'!$H503</f>
        <v>0</v>
      </c>
      <c r="AL29" s="373" t="str">
        <f>IF(OR(AK29="TC",AK29="MT"),'CARGA DOCENTE'!$A503," ")</f>
        <v xml:space="preserve"> </v>
      </c>
      <c r="AM29" s="374" t="str">
        <f>IF(OR(AK29="TC",AK29="MT"),'CARGA DOCENTE'!$B503," ")</f>
        <v xml:space="preserve"> </v>
      </c>
      <c r="AN29" s="374" t="str">
        <f>IF(OR(AK29="TC",AK29="MT"),'CARGA DOCENTE'!$C503," ")</f>
        <v xml:space="preserve"> </v>
      </c>
      <c r="AO29" s="374" t="str">
        <f>IF(OR(AK29="TC",AK29="MT"),'CARGA DOCENTE'!$G503," ")</f>
        <v xml:space="preserve"> </v>
      </c>
      <c r="AP29" s="372">
        <f>'CARGA DOCENTE'!$H504</f>
        <v>0</v>
      </c>
      <c r="AQ29" s="373" t="str">
        <f>IF(OR(AP29="TC",AP29="MT"),'CARGA DOCENTE'!$A504," ")</f>
        <v xml:space="preserve"> </v>
      </c>
      <c r="AR29" s="374" t="str">
        <f>IF(OR(AP29="TC",AP29="MT"),'CARGA DOCENTE'!$B504," ")</f>
        <v xml:space="preserve"> </v>
      </c>
      <c r="AS29" s="374" t="str">
        <f>IF(OR(AP29="TC",AP29="MT"),'CARGA DOCENTE'!$C504," ")</f>
        <v xml:space="preserve"> </v>
      </c>
      <c r="AT29" s="374" t="str">
        <f>IF(OR(AP29="TC",AP29="MT"),'CARGA DOCENTE'!$G504," ")</f>
        <v xml:space="preserve"> </v>
      </c>
      <c r="AU29" s="372">
        <f>'CARGA DOCENTE'!$H505</f>
        <v>0</v>
      </c>
      <c r="AV29" s="373" t="str">
        <f>IF(OR(AU29="TC",AU29="MT"),'CARGA DOCENTE'!$A505," ")</f>
        <v xml:space="preserve"> </v>
      </c>
      <c r="AW29" s="374" t="str">
        <f>IF(OR(AU29="TC",AU29="MT"),'CARGA DOCENTE'!$B505," ")</f>
        <v xml:space="preserve"> </v>
      </c>
      <c r="AX29" s="374" t="str">
        <f>IF(OR(AU29="TC",AU29="MT"),'CARGA DOCENTE'!$C505," ")</f>
        <v xml:space="preserve"> </v>
      </c>
      <c r="AY29" s="374" t="str">
        <f>IF(OR(AU29="TC",AU29="MT"),'CARGA DOCENTE'!$G505," ")</f>
        <v xml:space="preserve"> </v>
      </c>
      <c r="AZ29" s="372">
        <f>'CARGA DOCENTE'!$H506</f>
        <v>0</v>
      </c>
      <c r="BA29" s="373" t="str">
        <f>IF(OR(AZ29="TC",AZ29="MT"),'CARGA DOCENTE'!$A506," ")</f>
        <v xml:space="preserve"> </v>
      </c>
      <c r="BB29" s="374" t="str">
        <f>IF(OR(AZ29="TC",AZ29="MT"),'CARGA DOCENTE'!$B506," ")</f>
        <v xml:space="preserve"> </v>
      </c>
      <c r="BC29" s="374" t="str">
        <f>IF(OR(AZ29="TC",AZ29="MT"),'CARGA DOCENTE'!$C506," ")</f>
        <v xml:space="preserve"> </v>
      </c>
      <c r="BD29" s="374" t="str">
        <f>IF(OR(AZ29="TC",AZ29="MT"),'CARGA DOCENTE'!$G506," ")</f>
        <v xml:space="preserve"> </v>
      </c>
      <c r="BE29" s="372">
        <f>'CARGA DOCENTE'!$H507</f>
        <v>0</v>
      </c>
      <c r="BF29" s="373" t="str">
        <f>IF(OR(BE29="TC",BE29="MT"),'CARGA DOCENTE'!$A507," ")</f>
        <v xml:space="preserve"> </v>
      </c>
      <c r="BG29" s="374" t="str">
        <f>IF(OR(BE29="TC",BE29="MT"),'CARGA DOCENTE'!$B507," ")</f>
        <v xml:space="preserve"> </v>
      </c>
      <c r="BH29" s="374" t="str">
        <f>IF(OR(BE29="TC",BE29="MT"),'CARGA DOCENTE'!$C507," ")</f>
        <v xml:space="preserve"> </v>
      </c>
      <c r="BI29" s="374" t="str">
        <f>IF(OR(BE29="TC",BE29="MT"),'CARGA DOCENTE'!$G507," ")</f>
        <v xml:space="preserve"> </v>
      </c>
      <c r="BJ29" s="372">
        <f>'CARGA DOCENTE'!$H508</f>
        <v>0</v>
      </c>
      <c r="BK29" s="373" t="str">
        <f>IF(OR(BJ29="TC",BJ29="MT"),'CARGA DOCENTE'!$A508," ")</f>
        <v xml:space="preserve"> </v>
      </c>
      <c r="BL29" s="374" t="str">
        <f>IF(OR(BJ29="TC",BJ29="MT"),'CARGA DOCENTE'!$B508," ")</f>
        <v xml:space="preserve"> </v>
      </c>
      <c r="BM29" s="374" t="str">
        <f>IF(OR(BJ29="TC",BJ29="MT"),'CARGA DOCENTE'!$C508," ")</f>
        <v xml:space="preserve"> </v>
      </c>
      <c r="BN29" s="374" t="str">
        <f>IF(OR(BJ29="TC",BJ29="MT"),'CARGA DOCENTE'!$G508," ")</f>
        <v xml:space="preserve"> </v>
      </c>
      <c r="BO29" s="372">
        <f>'CARGA DOCENTE'!$H509</f>
        <v>0</v>
      </c>
      <c r="BP29" s="373" t="str">
        <f>IF(OR(BO29="TC",BO29="MT"),'CARGA DOCENTE'!$A509," ")</f>
        <v xml:space="preserve"> </v>
      </c>
      <c r="BQ29" s="374" t="str">
        <f>IF(OR(BO29="TC",BO29="MT"),'CARGA DOCENTE'!$B509," ")</f>
        <v xml:space="preserve"> </v>
      </c>
      <c r="BR29" s="374" t="str">
        <f>IF(OR(BO29="TC",BO29="MT"),'CARGA DOCENTE'!$C509," ")</f>
        <v xml:space="preserve"> </v>
      </c>
      <c r="BS29" s="374" t="str">
        <f>IF(OR(BO29="TC",BO29="MT"),'CARGA DOCENTE'!$G509," ")</f>
        <v xml:space="preserve"> </v>
      </c>
      <c r="BT29" s="372">
        <f>'CARGA DOCENTE'!$H510</f>
        <v>0</v>
      </c>
      <c r="BU29" s="373" t="str">
        <f>IF(OR(BT29="TC",BT29="MT"),'CARGA DOCENTE'!$A510," ")</f>
        <v xml:space="preserve"> </v>
      </c>
      <c r="BV29" s="374" t="str">
        <f>IF(OR(BT29="TC",BT29="MT"),'CARGA DOCENTE'!$B510," ")</f>
        <v xml:space="preserve"> </v>
      </c>
      <c r="BW29" s="374" t="str">
        <f>IF(OR(BT29="TC",BT29="MT"),'CARGA DOCENTE'!$C510," ")</f>
        <v xml:space="preserve"> </v>
      </c>
      <c r="BX29" s="374" t="str">
        <f>IF(OR(BT29="TC",BT29="MT"),'CARGA DOCENTE'!$G510," ")</f>
        <v xml:space="preserve"> </v>
      </c>
    </row>
    <row r="30" spans="1:76" x14ac:dyDescent="0.2">
      <c r="A30" s="378">
        <f>'CARGA DOCENTE'!J514</f>
        <v>0</v>
      </c>
      <c r="B30" s="372">
        <f>'CARGA DOCENTE'!$H514</f>
        <v>0</v>
      </c>
      <c r="C30" s="373" t="str">
        <f>IF(OR(B30="TC",B30="MT"),'CARGA DOCENTE'!$A514," ")</f>
        <v xml:space="preserve"> </v>
      </c>
      <c r="D30" s="374" t="str">
        <f>IF(OR(B30="TC",B30="MT"),'CARGA DOCENTE'!$B514," ")</f>
        <v xml:space="preserve"> </v>
      </c>
      <c r="E30" s="374" t="str">
        <f>IF(OR(B30="TC",B30="MT"),'CARGA DOCENTE'!$C514," ")</f>
        <v xml:space="preserve"> </v>
      </c>
      <c r="F30" s="374" t="str">
        <f>IF(OR(B30="TC",B30="MT"),'CARGA DOCENTE'!$G514," ")</f>
        <v xml:space="preserve"> </v>
      </c>
      <c r="G30" s="372">
        <f>'CARGA DOCENTE'!$H515</f>
        <v>0</v>
      </c>
      <c r="H30" s="373" t="str">
        <f>IF(OR(G30="TC",G30="MT"),'CARGA DOCENTE'!$A515," ")</f>
        <v xml:space="preserve"> </v>
      </c>
      <c r="I30" s="374" t="str">
        <f>IF(OR(G30="TC",G30="MT"),'CARGA DOCENTE'!$B515," ")</f>
        <v xml:space="preserve"> </v>
      </c>
      <c r="J30" s="374" t="str">
        <f>IF(OR(G30="TC",G30="MT"),'CARGA DOCENTE'!$C515," ")</f>
        <v xml:space="preserve"> </v>
      </c>
      <c r="K30" s="374" t="str">
        <f>IF(OR(G30="TC",G30="MT"),'CARGA DOCENTE'!$G515," ")</f>
        <v xml:space="preserve"> </v>
      </c>
      <c r="L30" s="372">
        <f>'CARGA DOCENTE'!$H516</f>
        <v>0</v>
      </c>
      <c r="M30" s="373" t="str">
        <f>IF(OR(L30="TC",L30="MT"),'CARGA DOCENTE'!$A516," ")</f>
        <v xml:space="preserve"> </v>
      </c>
      <c r="N30" s="374" t="str">
        <f>IF(OR(L30="TC",L30="MT"),'CARGA DOCENTE'!$B516," ")</f>
        <v xml:space="preserve"> </v>
      </c>
      <c r="O30" s="374" t="str">
        <f>IF(OR(L30="TC",L30="MT"),'CARGA DOCENTE'!$C516," ")</f>
        <v xml:space="preserve"> </v>
      </c>
      <c r="P30" s="374" t="str">
        <f>IF(OR(L30="TC",L30="MT"),'CARGA DOCENTE'!$G516," ")</f>
        <v xml:space="preserve"> </v>
      </c>
      <c r="Q30" s="372">
        <f>'CARGA DOCENTE'!$H517</f>
        <v>0</v>
      </c>
      <c r="R30" s="373" t="str">
        <f>IF(OR(Q30="TC",Q30="MT"),'CARGA DOCENTE'!$A517," ")</f>
        <v xml:space="preserve"> </v>
      </c>
      <c r="S30" s="374" t="str">
        <f>IF(OR(Q30="TC",Q30="MT"),'CARGA DOCENTE'!$B517," ")</f>
        <v xml:space="preserve"> </v>
      </c>
      <c r="T30" s="374" t="str">
        <f>IF(OR(Q30="TC",Q30="MT"),'CARGA DOCENTE'!$C517," ")</f>
        <v xml:space="preserve"> </v>
      </c>
      <c r="U30" s="374" t="str">
        <f>IF(OR(Q30="TC",Q30="MT"),'CARGA DOCENTE'!$G517," ")</f>
        <v xml:space="preserve"> </v>
      </c>
      <c r="V30" s="372">
        <f>'CARGA DOCENTE'!$H518</f>
        <v>0</v>
      </c>
      <c r="W30" s="373" t="str">
        <f>IF(OR(V30="TC",V30="MT"),'CARGA DOCENTE'!$A518," ")</f>
        <v xml:space="preserve"> </v>
      </c>
      <c r="X30" s="374" t="str">
        <f>IF(OR(V30="TC",V30="MT"),'CARGA DOCENTE'!$B518," ")</f>
        <v xml:space="preserve"> </v>
      </c>
      <c r="Y30" s="374" t="str">
        <f>IF(OR(V30="TC",V30="MT"),'CARGA DOCENTE'!$C518," ")</f>
        <v xml:space="preserve"> </v>
      </c>
      <c r="Z30" s="374" t="str">
        <f>IF(OR(V30="TC",V30="MT"),'CARGA DOCENTE'!$G518," ")</f>
        <v xml:space="preserve"> </v>
      </c>
      <c r="AA30" s="372">
        <f>'CARGA DOCENTE'!$H519</f>
        <v>0</v>
      </c>
      <c r="AB30" s="373" t="str">
        <f>IF(OR(AA30="TC",AA30="MT"),'CARGA DOCENTE'!$A519," ")</f>
        <v xml:space="preserve"> </v>
      </c>
      <c r="AC30" s="374" t="str">
        <f>IF(OR(AA30="TC",AA30="MT"),'CARGA DOCENTE'!$B519," ")</f>
        <v xml:space="preserve"> </v>
      </c>
      <c r="AD30" s="374" t="str">
        <f>IF(OR(AA30="TC",AA30="MT"),'CARGA DOCENTE'!$C519," ")</f>
        <v xml:space="preserve"> </v>
      </c>
      <c r="AE30" s="374" t="str">
        <f>IF(OR(AA30="TC",AA30="MT"),'CARGA DOCENTE'!$G519," ")</f>
        <v xml:space="preserve"> </v>
      </c>
      <c r="AF30" s="372">
        <f>'CARGA DOCENTE'!$H520</f>
        <v>0</v>
      </c>
      <c r="AG30" s="373" t="str">
        <f>IF(OR(AF30="TC",AF30="MT"),'CARGA DOCENTE'!$A520," ")</f>
        <v xml:space="preserve"> </v>
      </c>
      <c r="AH30" s="374" t="str">
        <f>IF(OR(AF30="TC",AF30="MT"),'CARGA DOCENTE'!$B520," ")</f>
        <v xml:space="preserve"> </v>
      </c>
      <c r="AI30" s="374" t="str">
        <f>IF(OR(AF30="TC",AF30="MT"),'CARGA DOCENTE'!$C520," ")</f>
        <v xml:space="preserve"> </v>
      </c>
      <c r="AJ30" s="374" t="str">
        <f>IF(OR(AF30="TC",AF30="MT"),'CARGA DOCENTE'!$G520," ")</f>
        <v xml:space="preserve"> </v>
      </c>
      <c r="AK30" s="372">
        <f>'CARGA DOCENTE'!$H521</f>
        <v>0</v>
      </c>
      <c r="AL30" s="373" t="str">
        <f>IF(OR(AK30="TC",AK30="MT"),'CARGA DOCENTE'!$A521," ")</f>
        <v xml:space="preserve"> </v>
      </c>
      <c r="AM30" s="374" t="str">
        <f>IF(OR(AK30="TC",AK30="MT"),'CARGA DOCENTE'!$B521," ")</f>
        <v xml:space="preserve"> </v>
      </c>
      <c r="AN30" s="374" t="str">
        <f>IF(OR(AK30="TC",AK30="MT"),'CARGA DOCENTE'!$C521," ")</f>
        <v xml:space="preserve"> </v>
      </c>
      <c r="AO30" s="374" t="str">
        <f>IF(OR(AK30="TC",AK30="MT"),'CARGA DOCENTE'!$G521," ")</f>
        <v xml:space="preserve"> </v>
      </c>
      <c r="AP30" s="372">
        <f>'CARGA DOCENTE'!$H522</f>
        <v>0</v>
      </c>
      <c r="AQ30" s="373" t="str">
        <f>IF(OR(AP30="TC",AP30="MT"),'CARGA DOCENTE'!$A522," ")</f>
        <v xml:space="preserve"> </v>
      </c>
      <c r="AR30" s="374" t="str">
        <f>IF(OR(AP30="TC",AP30="MT"),'CARGA DOCENTE'!$B522," ")</f>
        <v xml:space="preserve"> </v>
      </c>
      <c r="AS30" s="374" t="str">
        <f>IF(OR(AP30="TC",AP30="MT"),'CARGA DOCENTE'!$C522," ")</f>
        <v xml:space="preserve"> </v>
      </c>
      <c r="AT30" s="374" t="str">
        <f>IF(OR(AP30="TC",AP30="MT"),'CARGA DOCENTE'!$G522," ")</f>
        <v xml:space="preserve"> </v>
      </c>
      <c r="AU30" s="372">
        <f>'CARGA DOCENTE'!$H523</f>
        <v>0</v>
      </c>
      <c r="AV30" s="373" t="str">
        <f>IF(OR(AU30="TC",AU30="MT"),'CARGA DOCENTE'!$A523," ")</f>
        <v xml:space="preserve"> </v>
      </c>
      <c r="AW30" s="374" t="str">
        <f>IF(OR(AU30="TC",AU30="MT"),'CARGA DOCENTE'!$B523," ")</f>
        <v xml:space="preserve"> </v>
      </c>
      <c r="AX30" s="374" t="str">
        <f>IF(OR(AU30="TC",AU30="MT"),'CARGA DOCENTE'!$C523," ")</f>
        <v xml:space="preserve"> </v>
      </c>
      <c r="AY30" s="374" t="str">
        <f>IF(OR(AU30="TC",AU30="MT"),'CARGA DOCENTE'!$G523," ")</f>
        <v xml:space="preserve"> </v>
      </c>
      <c r="AZ30" s="372">
        <f>'CARGA DOCENTE'!$H524</f>
        <v>0</v>
      </c>
      <c r="BA30" s="373" t="str">
        <f>IF(OR(AZ30="TC",AZ30="MT"),'CARGA DOCENTE'!$A524," ")</f>
        <v xml:space="preserve"> </v>
      </c>
      <c r="BB30" s="374" t="str">
        <f>IF(OR(AZ30="TC",AZ30="MT"),'CARGA DOCENTE'!$B524," ")</f>
        <v xml:space="preserve"> </v>
      </c>
      <c r="BC30" s="374" t="str">
        <f>IF(OR(AZ30="TC",AZ30="MT"),'CARGA DOCENTE'!$C524," ")</f>
        <v xml:space="preserve"> </v>
      </c>
      <c r="BD30" s="374" t="str">
        <f>IF(OR(AZ30="TC",AZ30="MT"),'CARGA DOCENTE'!$G524," ")</f>
        <v xml:space="preserve"> </v>
      </c>
      <c r="BE30" s="372">
        <f>'CARGA DOCENTE'!$H525</f>
        <v>0</v>
      </c>
      <c r="BF30" s="373" t="str">
        <f>IF(OR(BE30="TC",BE30="MT"),'CARGA DOCENTE'!$A525," ")</f>
        <v xml:space="preserve"> </v>
      </c>
      <c r="BG30" s="374" t="str">
        <f>IF(OR(BE30="TC",BE30="MT"),'CARGA DOCENTE'!$B525," ")</f>
        <v xml:space="preserve"> </v>
      </c>
      <c r="BH30" s="374" t="str">
        <f>IF(OR(BE30="TC",BE30="MT"),'CARGA DOCENTE'!$C525," ")</f>
        <v xml:space="preserve"> </v>
      </c>
      <c r="BI30" s="374" t="str">
        <f>IF(OR(BE30="TC",BE30="MT"),'CARGA DOCENTE'!$G525," ")</f>
        <v xml:space="preserve"> </v>
      </c>
      <c r="BJ30" s="372">
        <f>'CARGA DOCENTE'!$H526</f>
        <v>0</v>
      </c>
      <c r="BK30" s="373" t="str">
        <f>IF(OR(BJ30="TC",BJ30="MT"),'CARGA DOCENTE'!$A526," ")</f>
        <v xml:space="preserve"> </v>
      </c>
      <c r="BL30" s="374" t="str">
        <f>IF(OR(BJ30="TC",BJ30="MT"),'CARGA DOCENTE'!$B526," ")</f>
        <v xml:space="preserve"> </v>
      </c>
      <c r="BM30" s="374" t="str">
        <f>IF(OR(BJ30="TC",BJ30="MT"),'CARGA DOCENTE'!$C526," ")</f>
        <v xml:space="preserve"> </v>
      </c>
      <c r="BN30" s="374" t="str">
        <f>IF(OR(BJ30="TC",BJ30="MT"),'CARGA DOCENTE'!$G526," ")</f>
        <v xml:space="preserve"> </v>
      </c>
      <c r="BO30" s="372">
        <f>'CARGA DOCENTE'!$H527</f>
        <v>0</v>
      </c>
      <c r="BP30" s="373" t="str">
        <f>IF(OR(BO30="TC",BO30="MT"),'CARGA DOCENTE'!$A527," ")</f>
        <v xml:space="preserve"> </v>
      </c>
      <c r="BQ30" s="374" t="str">
        <f>IF(OR(BO30="TC",BO30="MT"),'CARGA DOCENTE'!$B527," ")</f>
        <v xml:space="preserve"> </v>
      </c>
      <c r="BR30" s="374" t="str">
        <f>IF(OR(BO30="TC",BO30="MT"),'CARGA DOCENTE'!$C527," ")</f>
        <v xml:space="preserve"> </v>
      </c>
      <c r="BS30" s="374" t="str">
        <f>IF(OR(BO30="TC",BO30="MT"),'CARGA DOCENTE'!$G527," ")</f>
        <v xml:space="preserve"> </v>
      </c>
      <c r="BT30" s="372">
        <f>'CARGA DOCENTE'!$H528</f>
        <v>0</v>
      </c>
      <c r="BU30" s="373" t="str">
        <f>IF(OR(BT30="TC",BT30="MT"),'CARGA DOCENTE'!$A528," ")</f>
        <v xml:space="preserve"> </v>
      </c>
      <c r="BV30" s="374" t="str">
        <f>IF(OR(BT30="TC",BT30="MT"),'CARGA DOCENTE'!$B528," ")</f>
        <v xml:space="preserve"> </v>
      </c>
      <c r="BW30" s="374" t="str">
        <f>IF(OR(BT30="TC",BT30="MT"),'CARGA DOCENTE'!$C528," ")</f>
        <v xml:space="preserve"> </v>
      </c>
      <c r="BX30" s="374" t="str">
        <f>IF(OR(BT30="TC",BT30="MT"),'CARGA DOCENTE'!$G528," ")</f>
        <v xml:space="preserve"> </v>
      </c>
    </row>
    <row r="31" spans="1:76" x14ac:dyDescent="0.2">
      <c r="A31" s="378">
        <f>'CARGA DOCENTE'!J532</f>
        <v>0</v>
      </c>
      <c r="B31" s="372">
        <f>'CARGA DOCENTE'!$H532</f>
        <v>0</v>
      </c>
      <c r="C31" s="373" t="str">
        <f>IF(OR(B31="TC",B31="MT"),'CARGA DOCENTE'!$A532," ")</f>
        <v xml:space="preserve"> </v>
      </c>
      <c r="D31" s="374" t="str">
        <f>IF(OR(B31="TC",B31="MT"),'CARGA DOCENTE'!$B532," ")</f>
        <v xml:space="preserve"> </v>
      </c>
      <c r="E31" s="374" t="str">
        <f>IF(OR(B31="TC",B31="MT"),'CARGA DOCENTE'!$C532," ")</f>
        <v xml:space="preserve"> </v>
      </c>
      <c r="F31" s="374" t="str">
        <f>IF(OR(B31="TC",B31="MT"),'CARGA DOCENTE'!$G532," ")</f>
        <v xml:space="preserve"> </v>
      </c>
      <c r="G31" s="372">
        <f>'CARGA DOCENTE'!$H533</f>
        <v>0</v>
      </c>
      <c r="H31" s="373" t="str">
        <f>IF(OR(G31="TC",G31="MT"),'CARGA DOCENTE'!$A533," ")</f>
        <v xml:space="preserve"> </v>
      </c>
      <c r="I31" s="374" t="str">
        <f>IF(OR(G31="TC",G31="MT"),'CARGA DOCENTE'!$B533," ")</f>
        <v xml:space="preserve"> </v>
      </c>
      <c r="J31" s="374" t="str">
        <f>IF(OR(G31="TC",G31="MT"),'CARGA DOCENTE'!$C533," ")</f>
        <v xml:space="preserve"> </v>
      </c>
      <c r="K31" s="374" t="str">
        <f>IF(OR(G31="TC",G31="MT"),'CARGA DOCENTE'!$G533," ")</f>
        <v xml:space="preserve"> </v>
      </c>
      <c r="L31" s="372">
        <f>'CARGA DOCENTE'!$H534</f>
        <v>0</v>
      </c>
      <c r="M31" s="373" t="str">
        <f>IF(OR(L31="TC",L31="MT"),'CARGA DOCENTE'!$A534," ")</f>
        <v xml:space="preserve"> </v>
      </c>
      <c r="N31" s="374" t="str">
        <f>IF(OR(L31="TC",L31="MT"),'CARGA DOCENTE'!$B534," ")</f>
        <v xml:space="preserve"> </v>
      </c>
      <c r="O31" s="374" t="str">
        <f>IF(OR(L31="TC",L31="MT"),'CARGA DOCENTE'!$C534," ")</f>
        <v xml:space="preserve"> </v>
      </c>
      <c r="P31" s="374" t="str">
        <f>IF(OR(L31="TC",L31="MT"),'CARGA DOCENTE'!$G534," ")</f>
        <v xml:space="preserve"> </v>
      </c>
      <c r="Q31" s="372">
        <f>'CARGA DOCENTE'!$H535</f>
        <v>0</v>
      </c>
      <c r="R31" s="373" t="str">
        <f>IF(OR(Q31="TC",Q31="MT"),'CARGA DOCENTE'!$A535," ")</f>
        <v xml:space="preserve"> </v>
      </c>
      <c r="S31" s="374" t="str">
        <f>IF(OR(Q31="TC",Q31="MT"),'CARGA DOCENTE'!$B535," ")</f>
        <v xml:space="preserve"> </v>
      </c>
      <c r="T31" s="374" t="str">
        <f>IF(OR(Q31="TC",Q31="MT"),'CARGA DOCENTE'!$C535," ")</f>
        <v xml:space="preserve"> </v>
      </c>
      <c r="U31" s="374" t="str">
        <f>IF(OR(Q31="TC",Q31="MT"),'CARGA DOCENTE'!$G535," ")</f>
        <v xml:space="preserve"> </v>
      </c>
      <c r="V31" s="372">
        <f>'CARGA DOCENTE'!$H536</f>
        <v>0</v>
      </c>
      <c r="W31" s="373" t="str">
        <f>IF(OR(V31="TC",V31="MT"),'CARGA DOCENTE'!$A536," ")</f>
        <v xml:space="preserve"> </v>
      </c>
      <c r="X31" s="374" t="str">
        <f>IF(OR(V31="TC",V31="MT"),'CARGA DOCENTE'!$B536," ")</f>
        <v xml:space="preserve"> </v>
      </c>
      <c r="Y31" s="374" t="str">
        <f>IF(OR(V31="TC",V31="MT"),'CARGA DOCENTE'!$C536," ")</f>
        <v xml:space="preserve"> </v>
      </c>
      <c r="Z31" s="374" t="str">
        <f>IF(OR(V31="TC",V31="MT"),'CARGA DOCENTE'!$G536," ")</f>
        <v xml:space="preserve"> </v>
      </c>
      <c r="AA31" s="372">
        <f>'CARGA DOCENTE'!$H537</f>
        <v>0</v>
      </c>
      <c r="AB31" s="373" t="str">
        <f>IF(OR(AA31="TC",AA31="MT"),'CARGA DOCENTE'!$A537," ")</f>
        <v xml:space="preserve"> </v>
      </c>
      <c r="AC31" s="374" t="str">
        <f>IF(OR(AA31="TC",AA31="MT"),'CARGA DOCENTE'!$B537," ")</f>
        <v xml:space="preserve"> </v>
      </c>
      <c r="AD31" s="374" t="str">
        <f>IF(OR(AA31="TC",AA31="MT"),'CARGA DOCENTE'!$C537," ")</f>
        <v xml:space="preserve"> </v>
      </c>
      <c r="AE31" s="374" t="str">
        <f>IF(OR(AA31="TC",AA31="MT"),'CARGA DOCENTE'!$G537," ")</f>
        <v xml:space="preserve"> </v>
      </c>
      <c r="AF31" s="372">
        <f>'CARGA DOCENTE'!$H538</f>
        <v>0</v>
      </c>
      <c r="AG31" s="373" t="str">
        <f>IF(OR(AF31="TC",AF31="MT"),'CARGA DOCENTE'!$A538," ")</f>
        <v xml:space="preserve"> </v>
      </c>
      <c r="AH31" s="374" t="str">
        <f>IF(OR(AF31="TC",AF31="MT"),'CARGA DOCENTE'!$B538," ")</f>
        <v xml:space="preserve"> </v>
      </c>
      <c r="AI31" s="374" t="str">
        <f>IF(OR(AF31="TC",AF31="MT"),'CARGA DOCENTE'!$C538," ")</f>
        <v xml:space="preserve"> </v>
      </c>
      <c r="AJ31" s="374" t="str">
        <f>IF(OR(AF31="TC",AF31="MT"),'CARGA DOCENTE'!$G538," ")</f>
        <v xml:space="preserve"> </v>
      </c>
      <c r="AK31" s="372">
        <f>'CARGA DOCENTE'!$H539</f>
        <v>0</v>
      </c>
      <c r="AL31" s="373" t="str">
        <f>IF(OR(AK31="TC",AK31="MT"),'CARGA DOCENTE'!$A539," ")</f>
        <v xml:space="preserve"> </v>
      </c>
      <c r="AM31" s="374" t="str">
        <f>IF(OR(AK31="TC",AK31="MT"),'CARGA DOCENTE'!$B539," ")</f>
        <v xml:space="preserve"> </v>
      </c>
      <c r="AN31" s="374" t="str">
        <f>IF(OR(AK31="TC",AK31="MT"),'CARGA DOCENTE'!$C539," ")</f>
        <v xml:space="preserve"> </v>
      </c>
      <c r="AO31" s="374" t="str">
        <f>IF(OR(AK31="TC",AK31="MT"),'CARGA DOCENTE'!$G539," ")</f>
        <v xml:space="preserve"> </v>
      </c>
      <c r="AP31" s="372">
        <f>'CARGA DOCENTE'!$H540</f>
        <v>0</v>
      </c>
      <c r="AQ31" s="373" t="str">
        <f>IF(OR(AP31="TC",AP31="MT"),'CARGA DOCENTE'!$A540," ")</f>
        <v xml:space="preserve"> </v>
      </c>
      <c r="AR31" s="374" t="str">
        <f>IF(OR(AP31="TC",AP31="MT"),'CARGA DOCENTE'!$B540," ")</f>
        <v xml:space="preserve"> </v>
      </c>
      <c r="AS31" s="374" t="str">
        <f>IF(OR(AP31="TC",AP31="MT"),'CARGA DOCENTE'!$C540," ")</f>
        <v xml:space="preserve"> </v>
      </c>
      <c r="AT31" s="374" t="str">
        <f>IF(OR(AP31="TC",AP31="MT"),'CARGA DOCENTE'!$G540," ")</f>
        <v xml:space="preserve"> </v>
      </c>
      <c r="AU31" s="372">
        <f>'CARGA DOCENTE'!$H541</f>
        <v>0</v>
      </c>
      <c r="AV31" s="373" t="str">
        <f>IF(OR(AU31="TC",AU31="MT"),'CARGA DOCENTE'!$A541," ")</f>
        <v xml:space="preserve"> </v>
      </c>
      <c r="AW31" s="374" t="str">
        <f>IF(OR(AU31="TC",AU31="MT"),'CARGA DOCENTE'!$B541," ")</f>
        <v xml:space="preserve"> </v>
      </c>
      <c r="AX31" s="374" t="str">
        <f>IF(OR(AU31="TC",AU31="MT"),'CARGA DOCENTE'!$C541," ")</f>
        <v xml:space="preserve"> </v>
      </c>
      <c r="AY31" s="374" t="str">
        <f>IF(OR(AU31="TC",AU31="MT"),'CARGA DOCENTE'!$G541," ")</f>
        <v xml:space="preserve"> </v>
      </c>
      <c r="AZ31" s="372">
        <f>'CARGA DOCENTE'!$H542</f>
        <v>0</v>
      </c>
      <c r="BA31" s="373" t="str">
        <f>IF(OR(AZ31="TC",AZ31="MT"),'CARGA DOCENTE'!$A542," ")</f>
        <v xml:space="preserve"> </v>
      </c>
      <c r="BB31" s="374" t="str">
        <f>IF(OR(AZ31="TC",AZ31="MT"),'CARGA DOCENTE'!$B542," ")</f>
        <v xml:space="preserve"> </v>
      </c>
      <c r="BC31" s="374" t="str">
        <f>IF(OR(AZ31="TC",AZ31="MT"),'CARGA DOCENTE'!$C542," ")</f>
        <v xml:space="preserve"> </v>
      </c>
      <c r="BD31" s="374" t="str">
        <f>IF(OR(AZ31="TC",AZ31="MT"),'CARGA DOCENTE'!$G542," ")</f>
        <v xml:space="preserve"> </v>
      </c>
      <c r="BE31" s="372">
        <f>'CARGA DOCENTE'!$H543</f>
        <v>0</v>
      </c>
      <c r="BF31" s="373" t="str">
        <f>IF(OR(BE31="TC",BE31="MT"),'CARGA DOCENTE'!$A543," ")</f>
        <v xml:space="preserve"> </v>
      </c>
      <c r="BG31" s="374" t="str">
        <f>IF(OR(BE31="TC",BE31="MT"),'CARGA DOCENTE'!$B543," ")</f>
        <v xml:space="preserve"> </v>
      </c>
      <c r="BH31" s="374" t="str">
        <f>IF(OR(BE31="TC",BE31="MT"),'CARGA DOCENTE'!$C543," ")</f>
        <v xml:space="preserve"> </v>
      </c>
      <c r="BI31" s="374" t="str">
        <f>IF(OR(BE31="TC",BE31="MT"),'CARGA DOCENTE'!$G543," ")</f>
        <v xml:space="preserve"> </v>
      </c>
      <c r="BJ31" s="372">
        <f>'CARGA DOCENTE'!$H544</f>
        <v>0</v>
      </c>
      <c r="BK31" s="373" t="str">
        <f>IF(OR(BJ31="TC",BJ31="MT"),'CARGA DOCENTE'!$A544," ")</f>
        <v xml:space="preserve"> </v>
      </c>
      <c r="BL31" s="374" t="str">
        <f>IF(OR(BJ31="TC",BJ31="MT"),'CARGA DOCENTE'!$B544," ")</f>
        <v xml:space="preserve"> </v>
      </c>
      <c r="BM31" s="374" t="str">
        <f>IF(OR(BJ31="TC",BJ31="MT"),'CARGA DOCENTE'!$C544," ")</f>
        <v xml:space="preserve"> </v>
      </c>
      <c r="BN31" s="374" t="str">
        <f>IF(OR(BJ31="TC",BJ31="MT"),'CARGA DOCENTE'!$G544," ")</f>
        <v xml:space="preserve"> </v>
      </c>
      <c r="BO31" s="372">
        <f>'CARGA DOCENTE'!$H545</f>
        <v>0</v>
      </c>
      <c r="BP31" s="373" t="str">
        <f>IF(OR(BO31="TC",BO31="MT"),'CARGA DOCENTE'!$A545," ")</f>
        <v xml:space="preserve"> </v>
      </c>
      <c r="BQ31" s="374" t="str">
        <f>IF(OR(BO31="TC",BO31="MT"),'CARGA DOCENTE'!$B545," ")</f>
        <v xml:space="preserve"> </v>
      </c>
      <c r="BR31" s="374" t="str">
        <f>IF(OR(BO31="TC",BO31="MT"),'CARGA DOCENTE'!$C545," ")</f>
        <v xml:space="preserve"> </v>
      </c>
      <c r="BS31" s="374" t="str">
        <f>IF(OR(BO31="TC",BO31="MT"),'CARGA DOCENTE'!$G545," ")</f>
        <v xml:space="preserve"> </v>
      </c>
      <c r="BT31" s="372">
        <f>'CARGA DOCENTE'!$H546</f>
        <v>0</v>
      </c>
      <c r="BU31" s="373" t="str">
        <f>IF(OR(BT31="TC",BT31="MT"),'CARGA DOCENTE'!$A546," ")</f>
        <v xml:space="preserve"> </v>
      </c>
      <c r="BV31" s="374" t="str">
        <f>IF(OR(BT31="TC",BT31="MT"),'CARGA DOCENTE'!$B546," ")</f>
        <v xml:space="preserve"> </v>
      </c>
      <c r="BW31" s="374" t="str">
        <f>IF(OR(BT31="TC",BT31="MT"),'CARGA DOCENTE'!$C546," ")</f>
        <v xml:space="preserve"> </v>
      </c>
      <c r="BX31" s="374" t="str">
        <f>IF(OR(BT31="TC",BT31="MT"),'CARGA DOCENTE'!$G546," ")</f>
        <v xml:space="preserve"> </v>
      </c>
    </row>
    <row r="32" spans="1:76" x14ac:dyDescent="0.2">
      <c r="A32" s="378">
        <f>'CARGA DOCENTE'!J550</f>
        <v>0</v>
      </c>
      <c r="B32" s="372">
        <f>'CARGA DOCENTE'!$H550</f>
        <v>0</v>
      </c>
      <c r="C32" s="373" t="str">
        <f>IF(OR(B32="TC",B32="MT"),'CARGA DOCENTE'!$A550," ")</f>
        <v xml:space="preserve"> </v>
      </c>
      <c r="D32" s="374" t="str">
        <f>IF(OR(B32="TC",B32="MT"),'CARGA DOCENTE'!$B550," ")</f>
        <v xml:space="preserve"> </v>
      </c>
      <c r="E32" s="374" t="str">
        <f>IF(OR(B32="TC",B32="MT"),'CARGA DOCENTE'!$C550," ")</f>
        <v xml:space="preserve"> </v>
      </c>
      <c r="F32" s="374" t="str">
        <f>IF(OR(B32="TC",B32="MT"),'CARGA DOCENTE'!$G550," ")</f>
        <v xml:space="preserve"> </v>
      </c>
      <c r="G32" s="372">
        <f>'CARGA DOCENTE'!$H551</f>
        <v>0</v>
      </c>
      <c r="H32" s="373" t="str">
        <f>IF(OR(G32="TC",G32="MT"),'CARGA DOCENTE'!$A551," ")</f>
        <v xml:space="preserve"> </v>
      </c>
      <c r="I32" s="374" t="str">
        <f>IF(OR(G32="TC",G32="MT"),'CARGA DOCENTE'!$B551," ")</f>
        <v xml:space="preserve"> </v>
      </c>
      <c r="J32" s="374" t="str">
        <f>IF(OR(G32="TC",G32="MT"),'CARGA DOCENTE'!$C551," ")</f>
        <v xml:space="preserve"> </v>
      </c>
      <c r="K32" s="374" t="str">
        <f>IF(OR(G32="TC",G32="MT"),'CARGA DOCENTE'!$G551," ")</f>
        <v xml:space="preserve"> </v>
      </c>
      <c r="L32" s="372">
        <f>'CARGA DOCENTE'!$H552</f>
        <v>0</v>
      </c>
      <c r="M32" s="373" t="str">
        <f>IF(OR(L32="TC",L32="MT"),'CARGA DOCENTE'!$A552," ")</f>
        <v xml:space="preserve"> </v>
      </c>
      <c r="N32" s="374" t="str">
        <f>IF(OR(L32="TC",L32="MT"),'CARGA DOCENTE'!$B552," ")</f>
        <v xml:space="preserve"> </v>
      </c>
      <c r="O32" s="374" t="str">
        <f>IF(OR(L32="TC",L32="MT"),'CARGA DOCENTE'!$C552," ")</f>
        <v xml:space="preserve"> </v>
      </c>
      <c r="P32" s="374" t="str">
        <f>IF(OR(L32="TC",L32="MT"),'CARGA DOCENTE'!$G552," ")</f>
        <v xml:space="preserve"> </v>
      </c>
      <c r="Q32" s="372">
        <f>'CARGA DOCENTE'!$H553</f>
        <v>0</v>
      </c>
      <c r="R32" s="373" t="str">
        <f>IF(OR(Q32="TC",Q32="MT"),'CARGA DOCENTE'!$A553," ")</f>
        <v xml:space="preserve"> </v>
      </c>
      <c r="S32" s="374" t="str">
        <f>IF(OR(Q32="TC",Q32="MT"),'CARGA DOCENTE'!$B553," ")</f>
        <v xml:space="preserve"> </v>
      </c>
      <c r="T32" s="374" t="str">
        <f>IF(OR(Q32="TC",Q32="MT"),'CARGA DOCENTE'!$C553," ")</f>
        <v xml:space="preserve"> </v>
      </c>
      <c r="U32" s="374" t="str">
        <f>IF(OR(Q32="TC",Q32="MT"),'CARGA DOCENTE'!$G553," ")</f>
        <v xml:space="preserve"> </v>
      </c>
      <c r="V32" s="372">
        <f>'CARGA DOCENTE'!$H554</f>
        <v>0</v>
      </c>
      <c r="W32" s="373" t="str">
        <f>IF(OR(V32="TC",V32="MT"),'CARGA DOCENTE'!$A554," ")</f>
        <v xml:space="preserve"> </v>
      </c>
      <c r="X32" s="374" t="str">
        <f>IF(OR(V32="TC",V32="MT"),'CARGA DOCENTE'!$B554," ")</f>
        <v xml:space="preserve"> </v>
      </c>
      <c r="Y32" s="374" t="str">
        <f>IF(OR(V32="TC",V32="MT"),'CARGA DOCENTE'!$C554," ")</f>
        <v xml:space="preserve"> </v>
      </c>
      <c r="Z32" s="374" t="str">
        <f>IF(OR(V32="TC",V32="MT"),'CARGA DOCENTE'!$G554," ")</f>
        <v xml:space="preserve"> </v>
      </c>
      <c r="AA32" s="372">
        <f>'CARGA DOCENTE'!$H555</f>
        <v>0</v>
      </c>
      <c r="AB32" s="373" t="str">
        <f>IF(OR(AA32="TC",AA32="MT"),'CARGA DOCENTE'!$A555," ")</f>
        <v xml:space="preserve"> </v>
      </c>
      <c r="AC32" s="374" t="str">
        <f>IF(OR(AA32="TC",AA32="MT"),'CARGA DOCENTE'!$B555," ")</f>
        <v xml:space="preserve"> </v>
      </c>
      <c r="AD32" s="374" t="str">
        <f>IF(OR(AA32="TC",AA32="MT"),'CARGA DOCENTE'!$C555," ")</f>
        <v xml:space="preserve"> </v>
      </c>
      <c r="AE32" s="374" t="str">
        <f>IF(OR(AA32="TC",AA32="MT"),'CARGA DOCENTE'!$G555," ")</f>
        <v xml:space="preserve"> </v>
      </c>
      <c r="AF32" s="372">
        <f>'CARGA DOCENTE'!$H556</f>
        <v>0</v>
      </c>
      <c r="AG32" s="373" t="str">
        <f>IF(OR(AF32="TC",AF32="MT"),'CARGA DOCENTE'!$A556," ")</f>
        <v xml:space="preserve"> </v>
      </c>
      <c r="AH32" s="374" t="str">
        <f>IF(OR(AF32="TC",AF32="MT"),'CARGA DOCENTE'!$B556," ")</f>
        <v xml:space="preserve"> </v>
      </c>
      <c r="AI32" s="374" t="str">
        <f>IF(OR(AF32="TC",AF32="MT"),'CARGA DOCENTE'!$C556," ")</f>
        <v xml:space="preserve"> </v>
      </c>
      <c r="AJ32" s="374" t="str">
        <f>IF(OR(AF32="TC",AF32="MT"),'CARGA DOCENTE'!$G556," ")</f>
        <v xml:space="preserve"> </v>
      </c>
      <c r="AK32" s="372">
        <f>'CARGA DOCENTE'!$H557</f>
        <v>0</v>
      </c>
      <c r="AL32" s="373" t="str">
        <f>IF(OR(AK32="TC",AK32="MT"),'CARGA DOCENTE'!$A557," ")</f>
        <v xml:space="preserve"> </v>
      </c>
      <c r="AM32" s="374" t="str">
        <f>IF(OR(AK32="TC",AK32="MT"),'CARGA DOCENTE'!$B557," ")</f>
        <v xml:space="preserve"> </v>
      </c>
      <c r="AN32" s="374" t="str">
        <f>IF(OR(AK32="TC",AK32="MT"),'CARGA DOCENTE'!$C557," ")</f>
        <v xml:space="preserve"> </v>
      </c>
      <c r="AO32" s="374" t="str">
        <f>IF(OR(AK32="TC",AK32="MT"),'CARGA DOCENTE'!$G557," ")</f>
        <v xml:space="preserve"> </v>
      </c>
      <c r="AP32" s="372">
        <f>'CARGA DOCENTE'!$H558</f>
        <v>0</v>
      </c>
      <c r="AQ32" s="373" t="str">
        <f>IF(OR(AP32="TC",AP32="MT"),'CARGA DOCENTE'!$A558," ")</f>
        <v xml:space="preserve"> </v>
      </c>
      <c r="AR32" s="374" t="str">
        <f>IF(OR(AP32="TC",AP32="MT"),'CARGA DOCENTE'!$B558," ")</f>
        <v xml:space="preserve"> </v>
      </c>
      <c r="AS32" s="374" t="str">
        <f>IF(OR(AP32="TC",AP32="MT"),'CARGA DOCENTE'!$C558," ")</f>
        <v xml:space="preserve"> </v>
      </c>
      <c r="AT32" s="374" t="str">
        <f>IF(OR(AP32="TC",AP32="MT"),'CARGA DOCENTE'!$G558," ")</f>
        <v xml:space="preserve"> </v>
      </c>
      <c r="AU32" s="372">
        <f>'CARGA DOCENTE'!$H559</f>
        <v>0</v>
      </c>
      <c r="AV32" s="373" t="str">
        <f>IF(OR(AU32="TC",AU32="MT"),'CARGA DOCENTE'!$A559," ")</f>
        <v xml:space="preserve"> </v>
      </c>
      <c r="AW32" s="374" t="str">
        <f>IF(OR(AU32="TC",AU32="MT"),'CARGA DOCENTE'!$B559," ")</f>
        <v xml:space="preserve"> </v>
      </c>
      <c r="AX32" s="374" t="str">
        <f>IF(OR(AU32="TC",AU32="MT"),'CARGA DOCENTE'!$C559," ")</f>
        <v xml:space="preserve"> </v>
      </c>
      <c r="AY32" s="374" t="str">
        <f>IF(OR(AU32="TC",AU32="MT"),'CARGA DOCENTE'!$G559," ")</f>
        <v xml:space="preserve"> </v>
      </c>
      <c r="AZ32" s="372">
        <f>'CARGA DOCENTE'!$H560</f>
        <v>0</v>
      </c>
      <c r="BA32" s="373" t="str">
        <f>IF(OR(AZ32="TC",AZ32="MT"),'CARGA DOCENTE'!$A560," ")</f>
        <v xml:space="preserve"> </v>
      </c>
      <c r="BB32" s="374" t="str">
        <f>IF(OR(AZ32="TC",AZ32="MT"),'CARGA DOCENTE'!$B560," ")</f>
        <v xml:space="preserve"> </v>
      </c>
      <c r="BC32" s="374" t="str">
        <f>IF(OR(AZ32="TC",AZ32="MT"),'CARGA DOCENTE'!$C560," ")</f>
        <v xml:space="preserve"> </v>
      </c>
      <c r="BD32" s="374" t="str">
        <f>IF(OR(AZ32="TC",AZ32="MT"),'CARGA DOCENTE'!$G560," ")</f>
        <v xml:space="preserve"> </v>
      </c>
      <c r="BE32" s="372">
        <f>'CARGA DOCENTE'!$H561</f>
        <v>0</v>
      </c>
      <c r="BF32" s="373" t="str">
        <f>IF(OR(BE32="TC",BE32="MT"),'CARGA DOCENTE'!$A561," ")</f>
        <v xml:space="preserve"> </v>
      </c>
      <c r="BG32" s="374" t="str">
        <f>IF(OR(BE32="TC",BE32="MT"),'CARGA DOCENTE'!$B561," ")</f>
        <v xml:space="preserve"> </v>
      </c>
      <c r="BH32" s="374" t="str">
        <f>IF(OR(BE32="TC",BE32="MT"),'CARGA DOCENTE'!$C561," ")</f>
        <v xml:space="preserve"> </v>
      </c>
      <c r="BI32" s="374" t="str">
        <f>IF(OR(BE32="TC",BE32="MT"),'CARGA DOCENTE'!$G561," ")</f>
        <v xml:space="preserve"> </v>
      </c>
      <c r="BJ32" s="372">
        <f>'CARGA DOCENTE'!$H562</f>
        <v>0</v>
      </c>
      <c r="BK32" s="373" t="str">
        <f>IF(OR(BJ32="TC",BJ32="MT"),'CARGA DOCENTE'!$A562," ")</f>
        <v xml:space="preserve"> </v>
      </c>
      <c r="BL32" s="374" t="str">
        <f>IF(OR(BJ32="TC",BJ32="MT"),'CARGA DOCENTE'!$B562," ")</f>
        <v xml:space="preserve"> </v>
      </c>
      <c r="BM32" s="374" t="str">
        <f>IF(OR(BJ32="TC",BJ32="MT"),'CARGA DOCENTE'!$C562," ")</f>
        <v xml:space="preserve"> </v>
      </c>
      <c r="BN32" s="374" t="str">
        <f>IF(OR(BJ32="TC",BJ32="MT"),'CARGA DOCENTE'!$G562," ")</f>
        <v xml:space="preserve"> </v>
      </c>
      <c r="BO32" s="372">
        <f>'CARGA DOCENTE'!$H563</f>
        <v>0</v>
      </c>
      <c r="BP32" s="373" t="str">
        <f>IF(OR(BO32="TC",BO32="MT"),'CARGA DOCENTE'!$A563," ")</f>
        <v xml:space="preserve"> </v>
      </c>
      <c r="BQ32" s="374" t="str">
        <f>IF(OR(BO32="TC",BO32="MT"),'CARGA DOCENTE'!$B563," ")</f>
        <v xml:space="preserve"> </v>
      </c>
      <c r="BR32" s="374" t="str">
        <f>IF(OR(BO32="TC",BO32="MT"),'CARGA DOCENTE'!$C563," ")</f>
        <v xml:space="preserve"> </v>
      </c>
      <c r="BS32" s="374" t="str">
        <f>IF(OR(BO32="TC",BO32="MT"),'CARGA DOCENTE'!$G563," ")</f>
        <v xml:space="preserve"> </v>
      </c>
      <c r="BT32" s="372">
        <f>'CARGA DOCENTE'!$H564</f>
        <v>0</v>
      </c>
      <c r="BU32" s="373" t="str">
        <f>IF(OR(BT32="TC",BT32="MT"),'CARGA DOCENTE'!$A564," ")</f>
        <v xml:space="preserve"> </v>
      </c>
      <c r="BV32" s="374" t="str">
        <f>IF(OR(BT32="TC",BT32="MT"),'CARGA DOCENTE'!$B564," ")</f>
        <v xml:space="preserve"> </v>
      </c>
      <c r="BW32" s="374" t="str">
        <f>IF(OR(BT32="TC",BT32="MT"),'CARGA DOCENTE'!$C564," ")</f>
        <v xml:space="preserve"> </v>
      </c>
      <c r="BX32" s="374" t="str">
        <f>IF(OR(BT32="TC",BT32="MT"),'CARGA DOCENTE'!$G564," ")</f>
        <v xml:space="preserve"> </v>
      </c>
    </row>
    <row r="33" spans="1:76" x14ac:dyDescent="0.2">
      <c r="A33" s="378">
        <f>'CARGA DOCENTE'!J568</f>
        <v>0</v>
      </c>
      <c r="B33" s="372">
        <f>'CARGA DOCENTE'!$H568</f>
        <v>0</v>
      </c>
      <c r="C33" s="373" t="str">
        <f>IF(OR(B33="TC",B33="MT"),'CARGA DOCENTE'!$A568," ")</f>
        <v xml:space="preserve"> </v>
      </c>
      <c r="D33" s="374" t="str">
        <f>IF(OR(B33="TC",B33="MT"),'CARGA DOCENTE'!$B568," ")</f>
        <v xml:space="preserve"> </v>
      </c>
      <c r="E33" s="374" t="str">
        <f>IF(OR(B33="TC",B33="MT"),'CARGA DOCENTE'!$C568," ")</f>
        <v xml:space="preserve"> </v>
      </c>
      <c r="F33" s="374" t="str">
        <f>IF(OR(B33="TC",B33="MT"),'CARGA DOCENTE'!$G568," ")</f>
        <v xml:space="preserve"> </v>
      </c>
      <c r="G33" s="372">
        <f>'CARGA DOCENTE'!$H569</f>
        <v>0</v>
      </c>
      <c r="H33" s="373" t="str">
        <f>IF(OR(G33="TC",G33="MT"),'CARGA DOCENTE'!$A569," ")</f>
        <v xml:space="preserve"> </v>
      </c>
      <c r="I33" s="374" t="str">
        <f>IF(OR(G33="TC",G33="MT"),'CARGA DOCENTE'!$B569," ")</f>
        <v xml:space="preserve"> </v>
      </c>
      <c r="J33" s="374" t="str">
        <f>IF(OR(G33="TC",G33="MT"),'CARGA DOCENTE'!$C569," ")</f>
        <v xml:space="preserve"> </v>
      </c>
      <c r="K33" s="374" t="str">
        <f>IF(OR(G33="TC",G33="MT"),'CARGA DOCENTE'!$G569," ")</f>
        <v xml:space="preserve"> </v>
      </c>
      <c r="L33" s="372">
        <f>'CARGA DOCENTE'!$H570</f>
        <v>0</v>
      </c>
      <c r="M33" s="373" t="str">
        <f>IF(OR(L33="TC",L33="MT"),'CARGA DOCENTE'!$A570," ")</f>
        <v xml:space="preserve"> </v>
      </c>
      <c r="N33" s="374" t="str">
        <f>IF(OR(L33="TC",L33="MT"),'CARGA DOCENTE'!$B570," ")</f>
        <v xml:space="preserve"> </v>
      </c>
      <c r="O33" s="374" t="str">
        <f>IF(OR(L33="TC",L33="MT"),'CARGA DOCENTE'!$C570," ")</f>
        <v xml:space="preserve"> </v>
      </c>
      <c r="P33" s="374" t="str">
        <f>IF(OR(L33="TC",L33="MT"),'CARGA DOCENTE'!$G570," ")</f>
        <v xml:space="preserve"> </v>
      </c>
      <c r="Q33" s="372">
        <f>'CARGA DOCENTE'!$H571</f>
        <v>0</v>
      </c>
      <c r="R33" s="373" t="str">
        <f>IF(OR(Q33="TC",Q33="MT"),'CARGA DOCENTE'!$A571," ")</f>
        <v xml:space="preserve"> </v>
      </c>
      <c r="S33" s="374" t="str">
        <f>IF(OR(Q33="TC",Q33="MT"),'CARGA DOCENTE'!$B571," ")</f>
        <v xml:space="preserve"> </v>
      </c>
      <c r="T33" s="374" t="str">
        <f>IF(OR(Q33="TC",Q33="MT"),'CARGA DOCENTE'!$C571," ")</f>
        <v xml:space="preserve"> </v>
      </c>
      <c r="U33" s="374" t="str">
        <f>IF(OR(Q33="TC",Q33="MT"),'CARGA DOCENTE'!$G571," ")</f>
        <v xml:space="preserve"> </v>
      </c>
      <c r="V33" s="372">
        <f>'CARGA DOCENTE'!$H572</f>
        <v>0</v>
      </c>
      <c r="W33" s="373" t="str">
        <f>IF(OR(V33="TC",V33="MT"),'CARGA DOCENTE'!$A572," ")</f>
        <v xml:space="preserve"> </v>
      </c>
      <c r="X33" s="374" t="str">
        <f>IF(OR(V33="TC",V33="MT"),'CARGA DOCENTE'!$B572," ")</f>
        <v xml:space="preserve"> </v>
      </c>
      <c r="Y33" s="374" t="str">
        <f>IF(OR(V33="TC",V33="MT"),'CARGA DOCENTE'!$C572," ")</f>
        <v xml:space="preserve"> </v>
      </c>
      <c r="Z33" s="374" t="str">
        <f>IF(OR(V33="TC",V33="MT"),'CARGA DOCENTE'!$G572," ")</f>
        <v xml:space="preserve"> </v>
      </c>
      <c r="AA33" s="372">
        <f>'CARGA DOCENTE'!$H573</f>
        <v>0</v>
      </c>
      <c r="AB33" s="373" t="str">
        <f>IF(OR(AA33="TC",AA33="MT"),'CARGA DOCENTE'!$A573," ")</f>
        <v xml:space="preserve"> </v>
      </c>
      <c r="AC33" s="374" t="str">
        <f>IF(OR(AA33="TC",AA33="MT"),'CARGA DOCENTE'!$B573," ")</f>
        <v xml:space="preserve"> </v>
      </c>
      <c r="AD33" s="374" t="str">
        <f>IF(OR(AA33="TC",AA33="MT"),'CARGA DOCENTE'!$C573," ")</f>
        <v xml:space="preserve"> </v>
      </c>
      <c r="AE33" s="374" t="str">
        <f>IF(OR(AA33="TC",AA33="MT"),'CARGA DOCENTE'!$G573," ")</f>
        <v xml:space="preserve"> </v>
      </c>
      <c r="AF33" s="372">
        <f>'CARGA DOCENTE'!$H574</f>
        <v>0</v>
      </c>
      <c r="AG33" s="373" t="str">
        <f>IF(OR(AF33="TC",AF33="MT"),'CARGA DOCENTE'!$A574," ")</f>
        <v xml:space="preserve"> </v>
      </c>
      <c r="AH33" s="374" t="str">
        <f>IF(OR(AF33="TC",AF33="MT"),'CARGA DOCENTE'!$B574," ")</f>
        <v xml:space="preserve"> </v>
      </c>
      <c r="AI33" s="374" t="str">
        <f>IF(OR(AF33="TC",AF33="MT"),'CARGA DOCENTE'!$C574," ")</f>
        <v xml:space="preserve"> </v>
      </c>
      <c r="AJ33" s="374" t="str">
        <f>IF(OR(AF33="TC",AF33="MT"),'CARGA DOCENTE'!$G574," ")</f>
        <v xml:space="preserve"> </v>
      </c>
      <c r="AK33" s="372">
        <f>'CARGA DOCENTE'!$H575</f>
        <v>0</v>
      </c>
      <c r="AL33" s="373" t="str">
        <f>IF(OR(AK33="TC",AK33="MT"),'CARGA DOCENTE'!$A575," ")</f>
        <v xml:space="preserve"> </v>
      </c>
      <c r="AM33" s="374" t="str">
        <f>IF(OR(AK33="TC",AK33="MT"),'CARGA DOCENTE'!$B575," ")</f>
        <v xml:space="preserve"> </v>
      </c>
      <c r="AN33" s="374" t="str">
        <f>IF(OR(AK33="TC",AK33="MT"),'CARGA DOCENTE'!$C575," ")</f>
        <v xml:space="preserve"> </v>
      </c>
      <c r="AO33" s="374" t="str">
        <f>IF(OR(AK33="TC",AK33="MT"),'CARGA DOCENTE'!$G575," ")</f>
        <v xml:space="preserve"> </v>
      </c>
      <c r="AP33" s="372">
        <f>'CARGA DOCENTE'!$H576</f>
        <v>0</v>
      </c>
      <c r="AQ33" s="373" t="str">
        <f>IF(OR(AP33="TC",AP33="MT"),'CARGA DOCENTE'!$A576," ")</f>
        <v xml:space="preserve"> </v>
      </c>
      <c r="AR33" s="374" t="str">
        <f>IF(OR(AP33="TC",AP33="MT"),'CARGA DOCENTE'!$B576," ")</f>
        <v xml:space="preserve"> </v>
      </c>
      <c r="AS33" s="374" t="str">
        <f>IF(OR(AP33="TC",AP33="MT"),'CARGA DOCENTE'!$C576," ")</f>
        <v xml:space="preserve"> </v>
      </c>
      <c r="AT33" s="374" t="str">
        <f>IF(OR(AP33="TC",AP33="MT"),'CARGA DOCENTE'!$G576," ")</f>
        <v xml:space="preserve"> </v>
      </c>
      <c r="AU33" s="372">
        <f>'CARGA DOCENTE'!$H577</f>
        <v>0</v>
      </c>
      <c r="AV33" s="373" t="str">
        <f>IF(OR(AU33="TC",AU33="MT"),'CARGA DOCENTE'!$A577," ")</f>
        <v xml:space="preserve"> </v>
      </c>
      <c r="AW33" s="374" t="str">
        <f>IF(OR(AU33="TC",AU33="MT"),'CARGA DOCENTE'!$B577," ")</f>
        <v xml:space="preserve"> </v>
      </c>
      <c r="AX33" s="374" t="str">
        <f>IF(OR(AU33="TC",AU33="MT"),'CARGA DOCENTE'!$C577," ")</f>
        <v xml:space="preserve"> </v>
      </c>
      <c r="AY33" s="374" t="str">
        <f>IF(OR(AU33="TC",AU33="MT"),'CARGA DOCENTE'!$G577," ")</f>
        <v xml:space="preserve"> </v>
      </c>
      <c r="AZ33" s="372">
        <f>'CARGA DOCENTE'!$H578</f>
        <v>0</v>
      </c>
      <c r="BA33" s="373" t="str">
        <f>IF(OR(AZ33="TC",AZ33="MT"),'CARGA DOCENTE'!$A578," ")</f>
        <v xml:space="preserve"> </v>
      </c>
      <c r="BB33" s="374" t="str">
        <f>IF(OR(AZ33="TC",AZ33="MT"),'CARGA DOCENTE'!$B578," ")</f>
        <v xml:space="preserve"> </v>
      </c>
      <c r="BC33" s="374" t="str">
        <f>IF(OR(AZ33="TC",AZ33="MT"),'CARGA DOCENTE'!$C578," ")</f>
        <v xml:space="preserve"> </v>
      </c>
      <c r="BD33" s="374" t="str">
        <f>IF(OR(AZ33="TC",AZ33="MT"),'CARGA DOCENTE'!$G578," ")</f>
        <v xml:space="preserve"> </v>
      </c>
      <c r="BE33" s="372">
        <f>'CARGA DOCENTE'!$H579</f>
        <v>0</v>
      </c>
      <c r="BF33" s="373" t="str">
        <f>IF(OR(BE33="TC",BE33="MT"),'CARGA DOCENTE'!$A579," ")</f>
        <v xml:space="preserve"> </v>
      </c>
      <c r="BG33" s="374" t="str">
        <f>IF(OR(BE33="TC",BE33="MT"),'CARGA DOCENTE'!$B579," ")</f>
        <v xml:space="preserve"> </v>
      </c>
      <c r="BH33" s="374" t="str">
        <f>IF(OR(BE33="TC",BE33="MT"),'CARGA DOCENTE'!$C579," ")</f>
        <v xml:space="preserve"> </v>
      </c>
      <c r="BI33" s="374" t="str">
        <f>IF(OR(BE33="TC",BE33="MT"),'CARGA DOCENTE'!$G579," ")</f>
        <v xml:space="preserve"> </v>
      </c>
      <c r="BJ33" s="372">
        <f>'CARGA DOCENTE'!$H580</f>
        <v>0</v>
      </c>
      <c r="BK33" s="373" t="str">
        <f>IF(OR(BJ33="TC",BJ33="MT"),'CARGA DOCENTE'!$A580," ")</f>
        <v xml:space="preserve"> </v>
      </c>
      <c r="BL33" s="374" t="str">
        <f>IF(OR(BJ33="TC",BJ33="MT"),'CARGA DOCENTE'!$B580," ")</f>
        <v xml:space="preserve"> </v>
      </c>
      <c r="BM33" s="374" t="str">
        <f>IF(OR(BJ33="TC",BJ33="MT"),'CARGA DOCENTE'!$C580," ")</f>
        <v xml:space="preserve"> </v>
      </c>
      <c r="BN33" s="374" t="str">
        <f>IF(OR(BJ33="TC",BJ33="MT"),'CARGA DOCENTE'!$G580," ")</f>
        <v xml:space="preserve"> </v>
      </c>
      <c r="BO33" s="372">
        <f>'CARGA DOCENTE'!$H581</f>
        <v>0</v>
      </c>
      <c r="BP33" s="373" t="str">
        <f>IF(OR(BO33="TC",BO33="MT"),'CARGA DOCENTE'!$A581," ")</f>
        <v xml:space="preserve"> </v>
      </c>
      <c r="BQ33" s="374" t="str">
        <f>IF(OR(BO33="TC",BO33="MT"),'CARGA DOCENTE'!$B581," ")</f>
        <v xml:space="preserve"> </v>
      </c>
      <c r="BR33" s="374" t="str">
        <f>IF(OR(BO33="TC",BO33="MT"),'CARGA DOCENTE'!$C581," ")</f>
        <v xml:space="preserve"> </v>
      </c>
      <c r="BS33" s="374" t="str">
        <f>IF(OR(BO33="TC",BO33="MT"),'CARGA DOCENTE'!$G581," ")</f>
        <v xml:space="preserve"> </v>
      </c>
      <c r="BT33" s="372">
        <f>'CARGA DOCENTE'!$H582</f>
        <v>0</v>
      </c>
      <c r="BU33" s="373" t="str">
        <f>IF(OR(BT33="TC",BT33="MT"),'CARGA DOCENTE'!$A582," ")</f>
        <v xml:space="preserve"> </v>
      </c>
      <c r="BV33" s="374" t="str">
        <f>IF(OR(BT33="TC",BT33="MT"),'CARGA DOCENTE'!$B582," ")</f>
        <v xml:space="preserve"> </v>
      </c>
      <c r="BW33" s="374" t="str">
        <f>IF(OR(BT33="TC",BT33="MT"),'CARGA DOCENTE'!$C582," ")</f>
        <v xml:space="preserve"> </v>
      </c>
      <c r="BX33" s="374" t="str">
        <f>IF(OR(BT33="TC",BT33="MT"),'CARGA DOCENTE'!$G582," ")</f>
        <v xml:space="preserve"> </v>
      </c>
    </row>
    <row r="34" spans="1:76" x14ac:dyDescent="0.2">
      <c r="A34" s="378">
        <f>'CARGA DOCENTE'!J586</f>
        <v>0</v>
      </c>
      <c r="B34" s="372">
        <f>'CARGA DOCENTE'!$H586</f>
        <v>0</v>
      </c>
      <c r="C34" s="373" t="str">
        <f>IF(OR(B34="TC",B34="MT"),'CARGA DOCENTE'!$A586," ")</f>
        <v xml:space="preserve"> </v>
      </c>
      <c r="D34" s="374" t="str">
        <f>IF(OR(B34="TC",B34="MT"),'CARGA DOCENTE'!$B586," ")</f>
        <v xml:space="preserve"> </v>
      </c>
      <c r="E34" s="374" t="str">
        <f>IF(OR(B34="TC",B34="MT"),'CARGA DOCENTE'!$C586," ")</f>
        <v xml:space="preserve"> </v>
      </c>
      <c r="F34" s="374" t="str">
        <f>IF(OR(B34="TC",B34="MT"),'CARGA DOCENTE'!$G586," ")</f>
        <v xml:space="preserve"> </v>
      </c>
      <c r="G34" s="372">
        <f>'CARGA DOCENTE'!$H587</f>
        <v>0</v>
      </c>
      <c r="H34" s="373" t="str">
        <f>IF(OR(G34="TC",G34="MT"),'CARGA DOCENTE'!$A587," ")</f>
        <v xml:space="preserve"> </v>
      </c>
      <c r="I34" s="374" t="str">
        <f>IF(OR(G34="TC",G34="MT"),'CARGA DOCENTE'!$B587," ")</f>
        <v xml:space="preserve"> </v>
      </c>
      <c r="J34" s="374" t="str">
        <f>IF(OR(G34="TC",G34="MT"),'CARGA DOCENTE'!$C587," ")</f>
        <v xml:space="preserve"> </v>
      </c>
      <c r="K34" s="374" t="str">
        <f>IF(OR(G34="TC",G34="MT"),'CARGA DOCENTE'!$G587," ")</f>
        <v xml:space="preserve"> </v>
      </c>
      <c r="L34" s="372">
        <f>'CARGA DOCENTE'!$H588</f>
        <v>0</v>
      </c>
      <c r="M34" s="373" t="str">
        <f>IF(OR(L34="TC",L34="MT"),'CARGA DOCENTE'!$A588," ")</f>
        <v xml:space="preserve"> </v>
      </c>
      <c r="N34" s="374" t="str">
        <f>IF(OR(L34="TC",L34="MT"),'CARGA DOCENTE'!$B588," ")</f>
        <v xml:space="preserve"> </v>
      </c>
      <c r="O34" s="374" t="str">
        <f>IF(OR(L34="TC",L34="MT"),'CARGA DOCENTE'!$C588," ")</f>
        <v xml:space="preserve"> </v>
      </c>
      <c r="P34" s="374" t="str">
        <f>IF(OR(L34="TC",L34="MT"),'CARGA DOCENTE'!$G588," ")</f>
        <v xml:space="preserve"> </v>
      </c>
      <c r="Q34" s="372">
        <f>'CARGA DOCENTE'!$H589</f>
        <v>0</v>
      </c>
      <c r="R34" s="373" t="str">
        <f>IF(OR(Q34="TC",Q34="MT"),'CARGA DOCENTE'!$A589," ")</f>
        <v xml:space="preserve"> </v>
      </c>
      <c r="S34" s="374" t="str">
        <f>IF(OR(Q34="TC",Q34="MT"),'CARGA DOCENTE'!$B589," ")</f>
        <v xml:space="preserve"> </v>
      </c>
      <c r="T34" s="374" t="str">
        <f>IF(OR(Q34="TC",Q34="MT"),'CARGA DOCENTE'!$C589," ")</f>
        <v xml:space="preserve"> </v>
      </c>
      <c r="U34" s="374" t="str">
        <f>IF(OR(Q34="TC",Q34="MT"),'CARGA DOCENTE'!$G589," ")</f>
        <v xml:space="preserve"> </v>
      </c>
      <c r="V34" s="372">
        <f>'CARGA DOCENTE'!$H590</f>
        <v>0</v>
      </c>
      <c r="W34" s="373" t="str">
        <f>IF(OR(V34="TC",V34="MT"),'CARGA DOCENTE'!$A590," ")</f>
        <v xml:space="preserve"> </v>
      </c>
      <c r="X34" s="374" t="str">
        <f>IF(OR(V34="TC",V34="MT"),'CARGA DOCENTE'!$B590," ")</f>
        <v xml:space="preserve"> </v>
      </c>
      <c r="Y34" s="374" t="str">
        <f>IF(OR(V34="TC",V34="MT"),'CARGA DOCENTE'!$C590," ")</f>
        <v xml:space="preserve"> </v>
      </c>
      <c r="Z34" s="374" t="str">
        <f>IF(OR(V34="TC",V34="MT"),'CARGA DOCENTE'!$G590," ")</f>
        <v xml:space="preserve"> </v>
      </c>
      <c r="AA34" s="372">
        <f>'CARGA DOCENTE'!$H591</f>
        <v>0</v>
      </c>
      <c r="AB34" s="373" t="str">
        <f>IF(OR(AA34="TC",AA34="MT"),'CARGA DOCENTE'!$A591," ")</f>
        <v xml:space="preserve"> </v>
      </c>
      <c r="AC34" s="374" t="str">
        <f>IF(OR(AA34="TC",AA34="MT"),'CARGA DOCENTE'!$B591," ")</f>
        <v xml:space="preserve"> </v>
      </c>
      <c r="AD34" s="374" t="str">
        <f>IF(OR(AA34="TC",AA34="MT"),'CARGA DOCENTE'!$C591," ")</f>
        <v xml:space="preserve"> </v>
      </c>
      <c r="AE34" s="374" t="str">
        <f>IF(OR(AA34="TC",AA34="MT"),'CARGA DOCENTE'!$G591," ")</f>
        <v xml:space="preserve"> </v>
      </c>
      <c r="AF34" s="372">
        <f>'CARGA DOCENTE'!$H592</f>
        <v>0</v>
      </c>
      <c r="AG34" s="373" t="str">
        <f>IF(OR(AF34="TC",AF34="MT"),'CARGA DOCENTE'!$A592," ")</f>
        <v xml:space="preserve"> </v>
      </c>
      <c r="AH34" s="374" t="str">
        <f>IF(OR(AF34="TC",AF34="MT"),'CARGA DOCENTE'!$B592," ")</f>
        <v xml:space="preserve"> </v>
      </c>
      <c r="AI34" s="374" t="str">
        <f>IF(OR(AF34="TC",AF34="MT"),'CARGA DOCENTE'!$C592," ")</f>
        <v xml:space="preserve"> </v>
      </c>
      <c r="AJ34" s="374" t="str">
        <f>IF(OR(AF34="TC",AF34="MT"),'CARGA DOCENTE'!$G592," ")</f>
        <v xml:space="preserve"> </v>
      </c>
      <c r="AK34" s="372">
        <f>'CARGA DOCENTE'!$H593</f>
        <v>0</v>
      </c>
      <c r="AL34" s="373" t="str">
        <f>IF(OR(AK34="TC",AK34="MT"),'CARGA DOCENTE'!$A593," ")</f>
        <v xml:space="preserve"> </v>
      </c>
      <c r="AM34" s="374" t="str">
        <f>IF(OR(AK34="TC",AK34="MT"),'CARGA DOCENTE'!$B593," ")</f>
        <v xml:space="preserve"> </v>
      </c>
      <c r="AN34" s="374" t="str">
        <f>IF(OR(AK34="TC",AK34="MT"),'CARGA DOCENTE'!$C593," ")</f>
        <v xml:space="preserve"> </v>
      </c>
      <c r="AO34" s="374" t="str">
        <f>IF(OR(AK34="TC",AK34="MT"),'CARGA DOCENTE'!$G593," ")</f>
        <v xml:space="preserve"> </v>
      </c>
      <c r="AP34" s="372">
        <f>'CARGA DOCENTE'!$H594</f>
        <v>0</v>
      </c>
      <c r="AQ34" s="373" t="str">
        <f>IF(OR(AP34="TC",AP34="MT"),'CARGA DOCENTE'!$A594," ")</f>
        <v xml:space="preserve"> </v>
      </c>
      <c r="AR34" s="374" t="str">
        <f>IF(OR(AP34="TC",AP34="MT"),'CARGA DOCENTE'!$B594," ")</f>
        <v xml:space="preserve"> </v>
      </c>
      <c r="AS34" s="374" t="str">
        <f>IF(OR(AP34="TC",AP34="MT"),'CARGA DOCENTE'!$C594," ")</f>
        <v xml:space="preserve"> </v>
      </c>
      <c r="AT34" s="374" t="str">
        <f>IF(OR(AP34="TC",AP34="MT"),'CARGA DOCENTE'!$G594," ")</f>
        <v xml:space="preserve"> </v>
      </c>
      <c r="AU34" s="372">
        <f>'CARGA DOCENTE'!$H595</f>
        <v>0</v>
      </c>
      <c r="AV34" s="373" t="str">
        <f>IF(OR(AU34="TC",AU34="MT"),'CARGA DOCENTE'!$A595," ")</f>
        <v xml:space="preserve"> </v>
      </c>
      <c r="AW34" s="374" t="str">
        <f>IF(OR(AU34="TC",AU34="MT"),'CARGA DOCENTE'!$B595," ")</f>
        <v xml:space="preserve"> </v>
      </c>
      <c r="AX34" s="374" t="str">
        <f>IF(OR(AU34="TC",AU34="MT"),'CARGA DOCENTE'!$C595," ")</f>
        <v xml:space="preserve"> </v>
      </c>
      <c r="AY34" s="374" t="str">
        <f>IF(OR(AU34="TC",AU34="MT"),'CARGA DOCENTE'!$G595," ")</f>
        <v xml:space="preserve"> </v>
      </c>
      <c r="AZ34" s="372">
        <f>'CARGA DOCENTE'!$H596</f>
        <v>0</v>
      </c>
      <c r="BA34" s="373" t="str">
        <f>IF(OR(AZ34="TC",AZ34="MT"),'CARGA DOCENTE'!$A596," ")</f>
        <v xml:space="preserve"> </v>
      </c>
      <c r="BB34" s="374" t="str">
        <f>IF(OR(AZ34="TC",AZ34="MT"),'CARGA DOCENTE'!$B596," ")</f>
        <v xml:space="preserve"> </v>
      </c>
      <c r="BC34" s="374" t="str">
        <f>IF(OR(AZ34="TC",AZ34="MT"),'CARGA DOCENTE'!$C596," ")</f>
        <v xml:space="preserve"> </v>
      </c>
      <c r="BD34" s="374" t="str">
        <f>IF(OR(AZ34="TC",AZ34="MT"),'CARGA DOCENTE'!$G596," ")</f>
        <v xml:space="preserve"> </v>
      </c>
      <c r="BE34" s="372">
        <f>'CARGA DOCENTE'!$H597</f>
        <v>0</v>
      </c>
      <c r="BF34" s="373" t="str">
        <f>IF(OR(BE34="TC",BE34="MT"),'CARGA DOCENTE'!$A597," ")</f>
        <v xml:space="preserve"> </v>
      </c>
      <c r="BG34" s="374" t="str">
        <f>IF(OR(BE34="TC",BE34="MT"),'CARGA DOCENTE'!$B597," ")</f>
        <v xml:space="preserve"> </v>
      </c>
      <c r="BH34" s="374" t="str">
        <f>IF(OR(BE34="TC",BE34="MT"),'CARGA DOCENTE'!$C597," ")</f>
        <v xml:space="preserve"> </v>
      </c>
      <c r="BI34" s="374" t="str">
        <f>IF(OR(BE34="TC",BE34="MT"),'CARGA DOCENTE'!$G597," ")</f>
        <v xml:space="preserve"> </v>
      </c>
      <c r="BJ34" s="372">
        <f>'CARGA DOCENTE'!$H598</f>
        <v>0</v>
      </c>
      <c r="BK34" s="373" t="str">
        <f>IF(OR(BJ34="TC",BJ34="MT"),'CARGA DOCENTE'!$A598," ")</f>
        <v xml:space="preserve"> </v>
      </c>
      <c r="BL34" s="374" t="str">
        <f>IF(OR(BJ34="TC",BJ34="MT"),'CARGA DOCENTE'!$B598," ")</f>
        <v xml:space="preserve"> </v>
      </c>
      <c r="BM34" s="374" t="str">
        <f>IF(OR(BJ34="TC",BJ34="MT"),'CARGA DOCENTE'!$C598," ")</f>
        <v xml:space="preserve"> </v>
      </c>
      <c r="BN34" s="374" t="str">
        <f>IF(OR(BJ34="TC",BJ34="MT"),'CARGA DOCENTE'!$G598," ")</f>
        <v xml:space="preserve"> </v>
      </c>
      <c r="BO34" s="372">
        <f>'CARGA DOCENTE'!$H599</f>
        <v>0</v>
      </c>
      <c r="BP34" s="373" t="str">
        <f>IF(OR(BO34="TC",BO34="MT"),'CARGA DOCENTE'!$A599," ")</f>
        <v xml:space="preserve"> </v>
      </c>
      <c r="BQ34" s="374" t="str">
        <f>IF(OR(BO34="TC",BO34="MT"),'CARGA DOCENTE'!$B599," ")</f>
        <v xml:space="preserve"> </v>
      </c>
      <c r="BR34" s="374" t="str">
        <f>IF(OR(BO34="TC",BO34="MT"),'CARGA DOCENTE'!$C599," ")</f>
        <v xml:space="preserve"> </v>
      </c>
      <c r="BS34" s="374" t="str">
        <f>IF(OR(BO34="TC",BO34="MT"),'CARGA DOCENTE'!$G599," ")</f>
        <v xml:space="preserve"> </v>
      </c>
      <c r="BT34" s="372">
        <f>'CARGA DOCENTE'!$H600</f>
        <v>0</v>
      </c>
      <c r="BU34" s="373" t="str">
        <f>IF(OR(BT34="TC",BT34="MT"),'CARGA DOCENTE'!$A600," ")</f>
        <v xml:space="preserve"> </v>
      </c>
      <c r="BV34" s="374" t="str">
        <f>IF(OR(BT34="TC",BT34="MT"),'CARGA DOCENTE'!$B600," ")</f>
        <v xml:space="preserve"> </v>
      </c>
      <c r="BW34" s="374" t="str">
        <f>IF(OR(BT34="TC",BT34="MT"),'CARGA DOCENTE'!$C600," ")</f>
        <v xml:space="preserve"> </v>
      </c>
      <c r="BX34" s="374" t="str">
        <f>IF(OR(BT34="TC",BT34="MT"),'CARGA DOCENTE'!$G600," ")</f>
        <v xml:space="preserve"> </v>
      </c>
    </row>
    <row r="35" spans="1:76" x14ac:dyDescent="0.2">
      <c r="A35" s="378">
        <f>'CARGA DOCENTE'!J604</f>
        <v>0</v>
      </c>
      <c r="B35" s="372">
        <f>'CARGA DOCENTE'!$H604</f>
        <v>0</v>
      </c>
      <c r="C35" s="373" t="str">
        <f>IF(OR(B35="TC",B35="MT"),'CARGA DOCENTE'!$A604," ")</f>
        <v xml:space="preserve"> </v>
      </c>
      <c r="D35" s="374" t="str">
        <f>IF(OR(B35="TC",B35="MT"),'CARGA DOCENTE'!$B604," ")</f>
        <v xml:space="preserve"> </v>
      </c>
      <c r="E35" s="374" t="str">
        <f>IF(OR(B35="TC",B35="MT"),'CARGA DOCENTE'!$C604," ")</f>
        <v xml:space="preserve"> </v>
      </c>
      <c r="F35" s="374" t="str">
        <f>IF(OR(B35="TC",B35="MT"),'CARGA DOCENTE'!$G604," ")</f>
        <v xml:space="preserve"> </v>
      </c>
      <c r="G35" s="372">
        <f>'CARGA DOCENTE'!$H605</f>
        <v>0</v>
      </c>
      <c r="H35" s="373" t="str">
        <f>IF(OR(G35="TC",G35="MT"),'CARGA DOCENTE'!$A605," ")</f>
        <v xml:space="preserve"> </v>
      </c>
      <c r="I35" s="374" t="str">
        <f>IF(OR(G35="TC",G35="MT"),'CARGA DOCENTE'!$B605," ")</f>
        <v xml:space="preserve"> </v>
      </c>
      <c r="J35" s="374" t="str">
        <f>IF(OR(G35="TC",G35="MT"),'CARGA DOCENTE'!$C605," ")</f>
        <v xml:space="preserve"> </v>
      </c>
      <c r="K35" s="374" t="str">
        <f>IF(OR(G35="TC",G35="MT"),'CARGA DOCENTE'!$G605," ")</f>
        <v xml:space="preserve"> </v>
      </c>
      <c r="L35" s="372">
        <f>'CARGA DOCENTE'!$H606</f>
        <v>0</v>
      </c>
      <c r="M35" s="373" t="str">
        <f>IF(OR(L35="TC",L35="MT"),'CARGA DOCENTE'!$A606," ")</f>
        <v xml:space="preserve"> </v>
      </c>
      <c r="N35" s="374" t="str">
        <f>IF(OR(L35="TC",L35="MT"),'CARGA DOCENTE'!$B606," ")</f>
        <v xml:space="preserve"> </v>
      </c>
      <c r="O35" s="374" t="str">
        <f>IF(OR(L35="TC",L35="MT"),'CARGA DOCENTE'!$C606," ")</f>
        <v xml:space="preserve"> </v>
      </c>
      <c r="P35" s="374" t="str">
        <f>IF(OR(L35="TC",L35="MT"),'CARGA DOCENTE'!$G606," ")</f>
        <v xml:space="preserve"> </v>
      </c>
      <c r="Q35" s="372">
        <f>'CARGA DOCENTE'!$H607</f>
        <v>0</v>
      </c>
      <c r="R35" s="373" t="str">
        <f>IF(OR(Q35="TC",Q35="MT"),'CARGA DOCENTE'!$A607," ")</f>
        <v xml:space="preserve"> </v>
      </c>
      <c r="S35" s="374" t="str">
        <f>IF(OR(Q35="TC",Q35="MT"),'CARGA DOCENTE'!$B607," ")</f>
        <v xml:space="preserve"> </v>
      </c>
      <c r="T35" s="374" t="str">
        <f>IF(OR(Q35="TC",Q35="MT"),'CARGA DOCENTE'!$C607," ")</f>
        <v xml:space="preserve"> </v>
      </c>
      <c r="U35" s="374" t="str">
        <f>IF(OR(Q35="TC",Q35="MT"),'CARGA DOCENTE'!$G607," ")</f>
        <v xml:space="preserve"> </v>
      </c>
      <c r="V35" s="372">
        <f>'CARGA DOCENTE'!$H608</f>
        <v>0</v>
      </c>
      <c r="W35" s="373" t="str">
        <f>IF(OR(V35="TC",V35="MT"),'CARGA DOCENTE'!$A608," ")</f>
        <v xml:space="preserve"> </v>
      </c>
      <c r="X35" s="374" t="str">
        <f>IF(OR(V35="TC",V35="MT"),'CARGA DOCENTE'!$B608," ")</f>
        <v xml:space="preserve"> </v>
      </c>
      <c r="Y35" s="374" t="str">
        <f>IF(OR(V35="TC",V35="MT"),'CARGA DOCENTE'!$C608," ")</f>
        <v xml:space="preserve"> </v>
      </c>
      <c r="Z35" s="374" t="str">
        <f>IF(OR(V35="TC",V35="MT"),'CARGA DOCENTE'!$G608," ")</f>
        <v xml:space="preserve"> </v>
      </c>
      <c r="AA35" s="372">
        <f>'CARGA DOCENTE'!$H609</f>
        <v>0</v>
      </c>
      <c r="AB35" s="373" t="str">
        <f>IF(OR(AA35="TC",AA35="MT"),'CARGA DOCENTE'!$A609," ")</f>
        <v xml:space="preserve"> </v>
      </c>
      <c r="AC35" s="374" t="str">
        <f>IF(OR(AA35="TC",AA35="MT"),'CARGA DOCENTE'!$B609," ")</f>
        <v xml:space="preserve"> </v>
      </c>
      <c r="AD35" s="374" t="str">
        <f>IF(OR(AA35="TC",AA35="MT"),'CARGA DOCENTE'!$C609," ")</f>
        <v xml:space="preserve"> </v>
      </c>
      <c r="AE35" s="374" t="str">
        <f>IF(OR(AA35="TC",AA35="MT"),'CARGA DOCENTE'!$G609," ")</f>
        <v xml:space="preserve"> </v>
      </c>
      <c r="AF35" s="372">
        <f>'CARGA DOCENTE'!$H610</f>
        <v>0</v>
      </c>
      <c r="AG35" s="373" t="str">
        <f>IF(OR(AF35="TC",AF35="MT"),'CARGA DOCENTE'!$A610," ")</f>
        <v xml:space="preserve"> </v>
      </c>
      <c r="AH35" s="374" t="str">
        <f>IF(OR(AF35="TC",AF35="MT"),'CARGA DOCENTE'!$B610," ")</f>
        <v xml:space="preserve"> </v>
      </c>
      <c r="AI35" s="374" t="str">
        <f>IF(OR(AF35="TC",AF35="MT"),'CARGA DOCENTE'!$C610," ")</f>
        <v xml:space="preserve"> </v>
      </c>
      <c r="AJ35" s="374" t="str">
        <f>IF(OR(AF35="TC",AF35="MT"),'CARGA DOCENTE'!$G610," ")</f>
        <v xml:space="preserve"> </v>
      </c>
      <c r="AK35" s="372">
        <f>'CARGA DOCENTE'!$H611</f>
        <v>0</v>
      </c>
      <c r="AL35" s="373" t="str">
        <f>IF(OR(AK35="TC",AK35="MT"),'CARGA DOCENTE'!$A611," ")</f>
        <v xml:space="preserve"> </v>
      </c>
      <c r="AM35" s="374" t="str">
        <f>IF(OR(AK35="TC",AK35="MT"),'CARGA DOCENTE'!$B611," ")</f>
        <v xml:space="preserve"> </v>
      </c>
      <c r="AN35" s="374" t="str">
        <f>IF(OR(AK35="TC",AK35="MT"),'CARGA DOCENTE'!$C611," ")</f>
        <v xml:space="preserve"> </v>
      </c>
      <c r="AO35" s="374" t="str">
        <f>IF(OR(AK35="TC",AK35="MT"),'CARGA DOCENTE'!$G611," ")</f>
        <v xml:space="preserve"> </v>
      </c>
      <c r="AP35" s="372">
        <f>'CARGA DOCENTE'!$H612</f>
        <v>0</v>
      </c>
      <c r="AQ35" s="373" t="str">
        <f>IF(OR(AP35="TC",AP35="MT"),'CARGA DOCENTE'!$A612," ")</f>
        <v xml:space="preserve"> </v>
      </c>
      <c r="AR35" s="374" t="str">
        <f>IF(OR(AP35="TC",AP35="MT"),'CARGA DOCENTE'!$B612," ")</f>
        <v xml:space="preserve"> </v>
      </c>
      <c r="AS35" s="374" t="str">
        <f>IF(OR(AP35="TC",AP35="MT"),'CARGA DOCENTE'!$C612," ")</f>
        <v xml:space="preserve"> </v>
      </c>
      <c r="AT35" s="374" t="str">
        <f>IF(OR(AP35="TC",AP35="MT"),'CARGA DOCENTE'!$G612," ")</f>
        <v xml:space="preserve"> </v>
      </c>
      <c r="AU35" s="372">
        <f>'CARGA DOCENTE'!$H613</f>
        <v>0</v>
      </c>
      <c r="AV35" s="373" t="str">
        <f>IF(OR(AU35="TC",AU35="MT"),'CARGA DOCENTE'!$A613," ")</f>
        <v xml:space="preserve"> </v>
      </c>
      <c r="AW35" s="374" t="str">
        <f>IF(OR(AU35="TC",AU35="MT"),'CARGA DOCENTE'!$B613," ")</f>
        <v xml:space="preserve"> </v>
      </c>
      <c r="AX35" s="374" t="str">
        <f>IF(OR(AU35="TC",AU35="MT"),'CARGA DOCENTE'!$C613," ")</f>
        <v xml:space="preserve"> </v>
      </c>
      <c r="AY35" s="374" t="str">
        <f>IF(OR(AU35="TC",AU35="MT"),'CARGA DOCENTE'!$G613," ")</f>
        <v xml:space="preserve"> </v>
      </c>
      <c r="AZ35" s="372">
        <f>'CARGA DOCENTE'!$H614</f>
        <v>0</v>
      </c>
      <c r="BA35" s="373" t="str">
        <f>IF(OR(AZ35="TC",AZ35="MT"),'CARGA DOCENTE'!$A614," ")</f>
        <v xml:space="preserve"> </v>
      </c>
      <c r="BB35" s="374" t="str">
        <f>IF(OR(AZ35="TC",AZ35="MT"),'CARGA DOCENTE'!$B614," ")</f>
        <v xml:space="preserve"> </v>
      </c>
      <c r="BC35" s="374" t="str">
        <f>IF(OR(AZ35="TC",AZ35="MT"),'CARGA DOCENTE'!$C614," ")</f>
        <v xml:space="preserve"> </v>
      </c>
      <c r="BD35" s="374" t="str">
        <f>IF(OR(AZ35="TC",AZ35="MT"),'CARGA DOCENTE'!$G614," ")</f>
        <v xml:space="preserve"> </v>
      </c>
      <c r="BE35" s="372">
        <f>'CARGA DOCENTE'!$H615</f>
        <v>0</v>
      </c>
      <c r="BF35" s="373" t="str">
        <f>IF(OR(BE35="TC",BE35="MT"),'CARGA DOCENTE'!$A615," ")</f>
        <v xml:space="preserve"> </v>
      </c>
      <c r="BG35" s="374" t="str">
        <f>IF(OR(BE35="TC",BE35="MT"),'CARGA DOCENTE'!$B615," ")</f>
        <v xml:space="preserve"> </v>
      </c>
      <c r="BH35" s="374" t="str">
        <f>IF(OR(BE35="TC",BE35="MT"),'CARGA DOCENTE'!$C615," ")</f>
        <v xml:space="preserve"> </v>
      </c>
      <c r="BI35" s="374" t="str">
        <f>IF(OR(BE35="TC",BE35="MT"),'CARGA DOCENTE'!$G615," ")</f>
        <v xml:space="preserve"> </v>
      </c>
      <c r="BJ35" s="372">
        <f>'CARGA DOCENTE'!$H616</f>
        <v>0</v>
      </c>
      <c r="BK35" s="373" t="str">
        <f>IF(OR(BJ35="TC",BJ35="MT"),'CARGA DOCENTE'!$A616," ")</f>
        <v xml:space="preserve"> </v>
      </c>
      <c r="BL35" s="374" t="str">
        <f>IF(OR(BJ35="TC",BJ35="MT"),'CARGA DOCENTE'!$B616," ")</f>
        <v xml:space="preserve"> </v>
      </c>
      <c r="BM35" s="374" t="str">
        <f>IF(OR(BJ35="TC",BJ35="MT"),'CARGA DOCENTE'!$C616," ")</f>
        <v xml:space="preserve"> </v>
      </c>
      <c r="BN35" s="374" t="str">
        <f>IF(OR(BJ35="TC",BJ35="MT"),'CARGA DOCENTE'!$G616," ")</f>
        <v xml:space="preserve"> </v>
      </c>
      <c r="BO35" s="372">
        <f>'CARGA DOCENTE'!$H617</f>
        <v>0</v>
      </c>
      <c r="BP35" s="373" t="str">
        <f>IF(OR(BO35="TC",BO35="MT"),'CARGA DOCENTE'!$A617," ")</f>
        <v xml:space="preserve"> </v>
      </c>
      <c r="BQ35" s="374" t="str">
        <f>IF(OR(BO35="TC",BO35="MT"),'CARGA DOCENTE'!$B617," ")</f>
        <v xml:space="preserve"> </v>
      </c>
      <c r="BR35" s="374" t="str">
        <f>IF(OR(BO35="TC",BO35="MT"),'CARGA DOCENTE'!$C617," ")</f>
        <v xml:space="preserve"> </v>
      </c>
      <c r="BS35" s="374" t="str">
        <f>IF(OR(BO35="TC",BO35="MT"),'CARGA DOCENTE'!$G617," ")</f>
        <v xml:space="preserve"> </v>
      </c>
      <c r="BT35" s="372">
        <f>'CARGA DOCENTE'!$H618</f>
        <v>0</v>
      </c>
      <c r="BU35" s="373" t="str">
        <f>IF(OR(BT35="TC",BT35="MT"),'CARGA DOCENTE'!$A618," ")</f>
        <v xml:space="preserve"> </v>
      </c>
      <c r="BV35" s="374" t="str">
        <f>IF(OR(BT35="TC",BT35="MT"),'CARGA DOCENTE'!$B618," ")</f>
        <v xml:space="preserve"> </v>
      </c>
      <c r="BW35" s="374" t="str">
        <f>IF(OR(BT35="TC",BT35="MT"),'CARGA DOCENTE'!$C618," ")</f>
        <v xml:space="preserve"> </v>
      </c>
      <c r="BX35" s="374" t="str">
        <f>IF(OR(BT35="TC",BT35="MT"),'CARGA DOCENTE'!$G618," ")</f>
        <v xml:space="preserve"> </v>
      </c>
    </row>
    <row r="36" spans="1:76" x14ac:dyDescent="0.2">
      <c r="A36" s="378">
        <f>'CARGA DOCENTE'!J622</f>
        <v>0</v>
      </c>
      <c r="B36" s="372">
        <f>'CARGA DOCENTE'!$H622</f>
        <v>0</v>
      </c>
      <c r="C36" s="373" t="str">
        <f>IF(OR(B36="TC",B36="MT"),'CARGA DOCENTE'!$A622," ")</f>
        <v xml:space="preserve"> </v>
      </c>
      <c r="D36" s="374" t="str">
        <f>IF(OR(B36="TC",B36="MT"),'CARGA DOCENTE'!$B622," ")</f>
        <v xml:space="preserve"> </v>
      </c>
      <c r="E36" s="374" t="str">
        <f>IF(OR(B36="TC",B36="MT"),'CARGA DOCENTE'!$C622," ")</f>
        <v xml:space="preserve"> </v>
      </c>
      <c r="F36" s="374" t="str">
        <f>IF(OR(B36="TC",B36="MT"),'CARGA DOCENTE'!$G622," ")</f>
        <v xml:space="preserve"> </v>
      </c>
      <c r="G36" s="372">
        <f>'CARGA DOCENTE'!$H623</f>
        <v>0</v>
      </c>
      <c r="H36" s="373" t="str">
        <f>IF(OR(G36="TC",G36="MT"),'CARGA DOCENTE'!$A623," ")</f>
        <v xml:space="preserve"> </v>
      </c>
      <c r="I36" s="374" t="str">
        <f>IF(OR(G36="TC",G36="MT"),'CARGA DOCENTE'!$B623," ")</f>
        <v xml:space="preserve"> </v>
      </c>
      <c r="J36" s="374" t="str">
        <f>IF(OR(G36="TC",G36="MT"),'CARGA DOCENTE'!$C623," ")</f>
        <v xml:space="preserve"> </v>
      </c>
      <c r="K36" s="374" t="str">
        <f>IF(OR(G36="TC",G36="MT"),'CARGA DOCENTE'!$G623," ")</f>
        <v xml:space="preserve"> </v>
      </c>
      <c r="L36" s="372">
        <f>'CARGA DOCENTE'!$H624</f>
        <v>0</v>
      </c>
      <c r="M36" s="373" t="str">
        <f>IF(OR(L36="TC",L36="MT"),'CARGA DOCENTE'!$A624," ")</f>
        <v xml:space="preserve"> </v>
      </c>
      <c r="N36" s="374" t="str">
        <f>IF(OR(L36="TC",L36="MT"),'CARGA DOCENTE'!$B624," ")</f>
        <v xml:space="preserve"> </v>
      </c>
      <c r="O36" s="374" t="str">
        <f>IF(OR(L36="TC",L36="MT"),'CARGA DOCENTE'!$C624," ")</f>
        <v xml:space="preserve"> </v>
      </c>
      <c r="P36" s="374" t="str">
        <f>IF(OR(L36="TC",L36="MT"),'CARGA DOCENTE'!$G624," ")</f>
        <v xml:space="preserve"> </v>
      </c>
      <c r="Q36" s="372">
        <f>'CARGA DOCENTE'!$H625</f>
        <v>0</v>
      </c>
      <c r="R36" s="373" t="str">
        <f>IF(OR(Q36="TC",Q36="MT"),'CARGA DOCENTE'!$A625," ")</f>
        <v xml:space="preserve"> </v>
      </c>
      <c r="S36" s="374" t="str">
        <f>IF(OR(Q36="TC",Q36="MT"),'CARGA DOCENTE'!$B625," ")</f>
        <v xml:space="preserve"> </v>
      </c>
      <c r="T36" s="374" t="str">
        <f>IF(OR(Q36="TC",Q36="MT"),'CARGA DOCENTE'!$C625," ")</f>
        <v xml:space="preserve"> </v>
      </c>
      <c r="U36" s="374" t="str">
        <f>IF(OR(Q36="TC",Q36="MT"),'CARGA DOCENTE'!$G625," ")</f>
        <v xml:space="preserve"> </v>
      </c>
      <c r="V36" s="372">
        <f>'CARGA DOCENTE'!$H626</f>
        <v>0</v>
      </c>
      <c r="W36" s="373" t="str">
        <f>IF(OR(V36="TC",V36="MT"),'CARGA DOCENTE'!$A626," ")</f>
        <v xml:space="preserve"> </v>
      </c>
      <c r="X36" s="374" t="str">
        <f>IF(OR(V36="TC",V36="MT"),'CARGA DOCENTE'!$B626," ")</f>
        <v xml:space="preserve"> </v>
      </c>
      <c r="Y36" s="374" t="str">
        <f>IF(OR(V36="TC",V36="MT"),'CARGA DOCENTE'!$C626," ")</f>
        <v xml:space="preserve"> </v>
      </c>
      <c r="Z36" s="374" t="str">
        <f>IF(OR(V36="TC",V36="MT"),'CARGA DOCENTE'!$G626," ")</f>
        <v xml:space="preserve"> </v>
      </c>
      <c r="AA36" s="372">
        <f>'CARGA DOCENTE'!$H627</f>
        <v>0</v>
      </c>
      <c r="AB36" s="373" t="str">
        <f>IF(OR(AA36="TC",AA36="MT"),'CARGA DOCENTE'!$A627," ")</f>
        <v xml:space="preserve"> </v>
      </c>
      <c r="AC36" s="374" t="str">
        <f>IF(OR(AA36="TC",AA36="MT"),'CARGA DOCENTE'!$B627," ")</f>
        <v xml:space="preserve"> </v>
      </c>
      <c r="AD36" s="374" t="str">
        <f>IF(OR(AA36="TC",AA36="MT"),'CARGA DOCENTE'!$C627," ")</f>
        <v xml:space="preserve"> </v>
      </c>
      <c r="AE36" s="374" t="str">
        <f>IF(OR(AA36="TC",AA36="MT"),'CARGA DOCENTE'!$G627," ")</f>
        <v xml:space="preserve"> </v>
      </c>
      <c r="AF36" s="372">
        <f>'CARGA DOCENTE'!$H628</f>
        <v>0</v>
      </c>
      <c r="AG36" s="373" t="str">
        <f>IF(OR(AF36="TC",AF36="MT"),'CARGA DOCENTE'!$A628," ")</f>
        <v xml:space="preserve"> </v>
      </c>
      <c r="AH36" s="374" t="str">
        <f>IF(OR(AF36="TC",AF36="MT"),'CARGA DOCENTE'!$B628," ")</f>
        <v xml:space="preserve"> </v>
      </c>
      <c r="AI36" s="374" t="str">
        <f>IF(OR(AF36="TC",AF36="MT"),'CARGA DOCENTE'!$C628," ")</f>
        <v xml:space="preserve"> </v>
      </c>
      <c r="AJ36" s="374" t="str">
        <f>IF(OR(AF36="TC",AF36="MT"),'CARGA DOCENTE'!$G628," ")</f>
        <v xml:space="preserve"> </v>
      </c>
      <c r="AK36" s="372">
        <f>'CARGA DOCENTE'!$H629</f>
        <v>0</v>
      </c>
      <c r="AL36" s="373" t="str">
        <f>IF(OR(AK36="TC",AK36="MT"),'CARGA DOCENTE'!$A629," ")</f>
        <v xml:space="preserve"> </v>
      </c>
      <c r="AM36" s="374" t="str">
        <f>IF(OR(AK36="TC",AK36="MT"),'CARGA DOCENTE'!$B629," ")</f>
        <v xml:space="preserve"> </v>
      </c>
      <c r="AN36" s="374" t="str">
        <f>IF(OR(AK36="TC",AK36="MT"),'CARGA DOCENTE'!$C629," ")</f>
        <v xml:space="preserve"> </v>
      </c>
      <c r="AO36" s="374" t="str">
        <f>IF(OR(AK36="TC",AK36="MT"),'CARGA DOCENTE'!$G629," ")</f>
        <v xml:space="preserve"> </v>
      </c>
      <c r="AP36" s="372">
        <f>'CARGA DOCENTE'!$H630</f>
        <v>0</v>
      </c>
      <c r="AQ36" s="373" t="str">
        <f>IF(OR(AP36="TC",AP36="MT"),'CARGA DOCENTE'!$A630," ")</f>
        <v xml:space="preserve"> </v>
      </c>
      <c r="AR36" s="374" t="str">
        <f>IF(OR(AP36="TC",AP36="MT"),'CARGA DOCENTE'!$B630," ")</f>
        <v xml:space="preserve"> </v>
      </c>
      <c r="AS36" s="374" t="str">
        <f>IF(OR(AP36="TC",AP36="MT"),'CARGA DOCENTE'!$C630," ")</f>
        <v xml:space="preserve"> </v>
      </c>
      <c r="AT36" s="374" t="str">
        <f>IF(OR(AP36="TC",AP36="MT"),'CARGA DOCENTE'!$G630," ")</f>
        <v xml:space="preserve"> </v>
      </c>
      <c r="AU36" s="372">
        <f>'CARGA DOCENTE'!$H631</f>
        <v>0</v>
      </c>
      <c r="AV36" s="373" t="str">
        <f>IF(OR(AU36="TC",AU36="MT"),'CARGA DOCENTE'!$A631," ")</f>
        <v xml:space="preserve"> </v>
      </c>
      <c r="AW36" s="374" t="str">
        <f>IF(OR(AU36="TC",AU36="MT"),'CARGA DOCENTE'!$B631," ")</f>
        <v xml:space="preserve"> </v>
      </c>
      <c r="AX36" s="374" t="str">
        <f>IF(OR(AU36="TC",AU36="MT"),'CARGA DOCENTE'!$C631," ")</f>
        <v xml:space="preserve"> </v>
      </c>
      <c r="AY36" s="374" t="str">
        <f>IF(OR(AU36="TC",AU36="MT"),'CARGA DOCENTE'!$G631," ")</f>
        <v xml:space="preserve"> </v>
      </c>
      <c r="AZ36" s="372">
        <f>'CARGA DOCENTE'!$H632</f>
        <v>0</v>
      </c>
      <c r="BA36" s="373" t="str">
        <f>IF(OR(AZ36="TC",AZ36="MT"),'CARGA DOCENTE'!$A632," ")</f>
        <v xml:space="preserve"> </v>
      </c>
      <c r="BB36" s="374" t="str">
        <f>IF(OR(AZ36="TC",AZ36="MT"),'CARGA DOCENTE'!$B632," ")</f>
        <v xml:space="preserve"> </v>
      </c>
      <c r="BC36" s="374" t="str">
        <f>IF(OR(AZ36="TC",AZ36="MT"),'CARGA DOCENTE'!$C632," ")</f>
        <v xml:space="preserve"> </v>
      </c>
      <c r="BD36" s="374" t="str">
        <f>IF(OR(AZ36="TC",AZ36="MT"),'CARGA DOCENTE'!$G632," ")</f>
        <v xml:space="preserve"> </v>
      </c>
      <c r="BE36" s="372">
        <f>'CARGA DOCENTE'!$H633</f>
        <v>0</v>
      </c>
      <c r="BF36" s="373" t="str">
        <f>IF(OR(BE36="TC",BE36="MT"),'CARGA DOCENTE'!$A633," ")</f>
        <v xml:space="preserve"> </v>
      </c>
      <c r="BG36" s="374" t="str">
        <f>IF(OR(BE36="TC",BE36="MT"),'CARGA DOCENTE'!$B633," ")</f>
        <v xml:space="preserve"> </v>
      </c>
      <c r="BH36" s="374" t="str">
        <f>IF(OR(BE36="TC",BE36="MT"),'CARGA DOCENTE'!$C633," ")</f>
        <v xml:space="preserve"> </v>
      </c>
      <c r="BI36" s="374" t="str">
        <f>IF(OR(BE36="TC",BE36="MT"),'CARGA DOCENTE'!$G633," ")</f>
        <v xml:space="preserve"> </v>
      </c>
      <c r="BJ36" s="372">
        <f>'CARGA DOCENTE'!$H634</f>
        <v>0</v>
      </c>
      <c r="BK36" s="373" t="str">
        <f>IF(OR(BJ36="TC",BJ36="MT"),'CARGA DOCENTE'!$A634," ")</f>
        <v xml:space="preserve"> </v>
      </c>
      <c r="BL36" s="374" t="str">
        <f>IF(OR(BJ36="TC",BJ36="MT"),'CARGA DOCENTE'!$B634," ")</f>
        <v xml:space="preserve"> </v>
      </c>
      <c r="BM36" s="374" t="str">
        <f>IF(OR(BJ36="TC",BJ36="MT"),'CARGA DOCENTE'!$C634," ")</f>
        <v xml:space="preserve"> </v>
      </c>
      <c r="BN36" s="374" t="str">
        <f>IF(OR(BJ36="TC",BJ36="MT"),'CARGA DOCENTE'!$G634," ")</f>
        <v xml:space="preserve"> </v>
      </c>
      <c r="BO36" s="372">
        <f>'CARGA DOCENTE'!$H635</f>
        <v>0</v>
      </c>
      <c r="BP36" s="373" t="str">
        <f>IF(OR(BO36="TC",BO36="MT"),'CARGA DOCENTE'!$A635," ")</f>
        <v xml:space="preserve"> </v>
      </c>
      <c r="BQ36" s="374" t="str">
        <f>IF(OR(BO36="TC",BO36="MT"),'CARGA DOCENTE'!$B635," ")</f>
        <v xml:space="preserve"> </v>
      </c>
      <c r="BR36" s="374" t="str">
        <f>IF(OR(BO36="TC",BO36="MT"),'CARGA DOCENTE'!$C635," ")</f>
        <v xml:space="preserve"> </v>
      </c>
      <c r="BS36" s="374" t="str">
        <f>IF(OR(BO36="TC",BO36="MT"),'CARGA DOCENTE'!$G635," ")</f>
        <v xml:space="preserve"> </v>
      </c>
      <c r="BT36" s="372">
        <f>'CARGA DOCENTE'!$H636</f>
        <v>0</v>
      </c>
      <c r="BU36" s="373" t="str">
        <f>IF(OR(BT36="TC",BT36="MT"),'CARGA DOCENTE'!$A636," ")</f>
        <v xml:space="preserve"> </v>
      </c>
      <c r="BV36" s="374" t="str">
        <f>IF(OR(BT36="TC",BT36="MT"),'CARGA DOCENTE'!$B636," ")</f>
        <v xml:space="preserve"> </v>
      </c>
      <c r="BW36" s="374" t="str">
        <f>IF(OR(BT36="TC",BT36="MT"),'CARGA DOCENTE'!$C636," ")</f>
        <v xml:space="preserve"> </v>
      </c>
      <c r="BX36" s="374" t="str">
        <f>IF(OR(BT36="TC",BT36="MT"),'CARGA DOCENTE'!$G636," ")</f>
        <v xml:space="preserve"> </v>
      </c>
    </row>
    <row r="37" spans="1:76" x14ac:dyDescent="0.2">
      <c r="A37" s="378">
        <f>'CARGA DOCENTE'!J640</f>
        <v>0</v>
      </c>
      <c r="B37" s="372">
        <f>'CARGA DOCENTE'!$H640</f>
        <v>0</v>
      </c>
      <c r="C37" s="373" t="str">
        <f>IF(OR(B37="TC",B37="MT"),'CARGA DOCENTE'!$A640," ")</f>
        <v xml:space="preserve"> </v>
      </c>
      <c r="D37" s="374" t="str">
        <f>IF(OR(B37="TC",B37="MT"),'CARGA DOCENTE'!$B640," ")</f>
        <v xml:space="preserve"> </v>
      </c>
      <c r="E37" s="374" t="str">
        <f>IF(OR(B37="TC",B37="MT"),'CARGA DOCENTE'!$C640," ")</f>
        <v xml:space="preserve"> </v>
      </c>
      <c r="F37" s="374" t="str">
        <f>IF(OR(B37="TC",B37="MT"),'CARGA DOCENTE'!$G640," ")</f>
        <v xml:space="preserve"> </v>
      </c>
      <c r="G37" s="372">
        <f>'CARGA DOCENTE'!$H641</f>
        <v>0</v>
      </c>
      <c r="H37" s="373" t="str">
        <f>IF(OR(G37="TC",G37="MT"),'CARGA DOCENTE'!$A641," ")</f>
        <v xml:space="preserve"> </v>
      </c>
      <c r="I37" s="374" t="str">
        <f>IF(OR(G37="TC",G37="MT"),'CARGA DOCENTE'!$B641," ")</f>
        <v xml:space="preserve"> </v>
      </c>
      <c r="J37" s="374" t="str">
        <f>IF(OR(G37="TC",G37="MT"),'CARGA DOCENTE'!$C641," ")</f>
        <v xml:space="preserve"> </v>
      </c>
      <c r="K37" s="374" t="str">
        <f>IF(OR(G37="TC",G37="MT"),'CARGA DOCENTE'!$G641," ")</f>
        <v xml:space="preserve"> </v>
      </c>
      <c r="L37" s="372">
        <f>'CARGA DOCENTE'!$H642</f>
        <v>0</v>
      </c>
      <c r="M37" s="373" t="str">
        <f>IF(OR(L37="TC",L37="MT"),'CARGA DOCENTE'!$A642," ")</f>
        <v xml:space="preserve"> </v>
      </c>
      <c r="N37" s="374" t="str">
        <f>IF(OR(L37="TC",L37="MT"),'CARGA DOCENTE'!$B642," ")</f>
        <v xml:space="preserve"> </v>
      </c>
      <c r="O37" s="374" t="str">
        <f>IF(OR(L37="TC",L37="MT"),'CARGA DOCENTE'!$C642," ")</f>
        <v xml:space="preserve"> </v>
      </c>
      <c r="P37" s="374" t="str">
        <f>IF(OR(L37="TC",L37="MT"),'CARGA DOCENTE'!$G642," ")</f>
        <v xml:space="preserve"> </v>
      </c>
      <c r="Q37" s="372">
        <f>'CARGA DOCENTE'!$H643</f>
        <v>0</v>
      </c>
      <c r="R37" s="373" t="str">
        <f>IF(OR(Q37="TC",Q37="MT"),'CARGA DOCENTE'!$A643," ")</f>
        <v xml:space="preserve"> </v>
      </c>
      <c r="S37" s="374" t="str">
        <f>IF(OR(Q37="TC",Q37="MT"),'CARGA DOCENTE'!$B643," ")</f>
        <v xml:space="preserve"> </v>
      </c>
      <c r="T37" s="374" t="str">
        <f>IF(OR(Q37="TC",Q37="MT"),'CARGA DOCENTE'!$C643," ")</f>
        <v xml:space="preserve"> </v>
      </c>
      <c r="U37" s="374" t="str">
        <f>IF(OR(Q37="TC",Q37="MT"),'CARGA DOCENTE'!$G643," ")</f>
        <v xml:space="preserve"> </v>
      </c>
      <c r="V37" s="372">
        <f>'CARGA DOCENTE'!$H644</f>
        <v>0</v>
      </c>
      <c r="W37" s="373" t="str">
        <f>IF(OR(V37="TC",V37="MT"),'CARGA DOCENTE'!$A644," ")</f>
        <v xml:space="preserve"> </v>
      </c>
      <c r="X37" s="374" t="str">
        <f>IF(OR(V37="TC",V37="MT"),'CARGA DOCENTE'!$B644," ")</f>
        <v xml:space="preserve"> </v>
      </c>
      <c r="Y37" s="374" t="str">
        <f>IF(OR(V37="TC",V37="MT"),'CARGA DOCENTE'!$C644," ")</f>
        <v xml:space="preserve"> </v>
      </c>
      <c r="Z37" s="374" t="str">
        <f>IF(OR(V37="TC",V37="MT"),'CARGA DOCENTE'!$G644," ")</f>
        <v xml:space="preserve"> </v>
      </c>
      <c r="AA37" s="372">
        <f>'CARGA DOCENTE'!$H645</f>
        <v>0</v>
      </c>
      <c r="AB37" s="373" t="str">
        <f>IF(OR(AA37="TC",AA37="MT"),'CARGA DOCENTE'!$A645," ")</f>
        <v xml:space="preserve"> </v>
      </c>
      <c r="AC37" s="374" t="str">
        <f>IF(OR(AA37="TC",AA37="MT"),'CARGA DOCENTE'!$B645," ")</f>
        <v xml:space="preserve"> </v>
      </c>
      <c r="AD37" s="374" t="str">
        <f>IF(OR(AA37="TC",AA37="MT"),'CARGA DOCENTE'!$C645," ")</f>
        <v xml:space="preserve"> </v>
      </c>
      <c r="AE37" s="374" t="str">
        <f>IF(OR(AA37="TC",AA37="MT"),'CARGA DOCENTE'!$G645," ")</f>
        <v xml:space="preserve"> </v>
      </c>
      <c r="AF37" s="372">
        <f>'CARGA DOCENTE'!$H646</f>
        <v>0</v>
      </c>
      <c r="AG37" s="373" t="str">
        <f>IF(OR(AF37="TC",AF37="MT"),'CARGA DOCENTE'!$A646," ")</f>
        <v xml:space="preserve"> </v>
      </c>
      <c r="AH37" s="374" t="str">
        <f>IF(OR(AF37="TC",AF37="MT"),'CARGA DOCENTE'!$B646," ")</f>
        <v xml:space="preserve"> </v>
      </c>
      <c r="AI37" s="374" t="str">
        <f>IF(OR(AF37="TC",AF37="MT"),'CARGA DOCENTE'!$C646," ")</f>
        <v xml:space="preserve"> </v>
      </c>
      <c r="AJ37" s="374" t="str">
        <f>IF(OR(AF37="TC",AF37="MT"),'CARGA DOCENTE'!$G646," ")</f>
        <v xml:space="preserve"> </v>
      </c>
      <c r="AK37" s="372">
        <f>'CARGA DOCENTE'!$H647</f>
        <v>0</v>
      </c>
      <c r="AL37" s="373" t="str">
        <f>IF(OR(AK37="TC",AK37="MT"),'CARGA DOCENTE'!$A647," ")</f>
        <v xml:space="preserve"> </v>
      </c>
      <c r="AM37" s="374" t="str">
        <f>IF(OR(AK37="TC",AK37="MT"),'CARGA DOCENTE'!$B647," ")</f>
        <v xml:space="preserve"> </v>
      </c>
      <c r="AN37" s="374" t="str">
        <f>IF(OR(AK37="TC",AK37="MT"),'CARGA DOCENTE'!$C647," ")</f>
        <v xml:space="preserve"> </v>
      </c>
      <c r="AO37" s="374" t="str">
        <f>IF(OR(AK37="TC",AK37="MT"),'CARGA DOCENTE'!$G647," ")</f>
        <v xml:space="preserve"> </v>
      </c>
      <c r="AP37" s="372">
        <f>'CARGA DOCENTE'!$H648</f>
        <v>0</v>
      </c>
      <c r="AQ37" s="373" t="str">
        <f>IF(OR(AP37="TC",AP37="MT"),'CARGA DOCENTE'!$A648," ")</f>
        <v xml:space="preserve"> </v>
      </c>
      <c r="AR37" s="374" t="str">
        <f>IF(OR(AP37="TC",AP37="MT"),'CARGA DOCENTE'!$B648," ")</f>
        <v xml:space="preserve"> </v>
      </c>
      <c r="AS37" s="374" t="str">
        <f>IF(OR(AP37="TC",AP37="MT"),'CARGA DOCENTE'!$C648," ")</f>
        <v xml:space="preserve"> </v>
      </c>
      <c r="AT37" s="374" t="str">
        <f>IF(OR(AP37="TC",AP37="MT"),'CARGA DOCENTE'!$G648," ")</f>
        <v xml:space="preserve"> </v>
      </c>
      <c r="AU37" s="372">
        <f>'CARGA DOCENTE'!$H649</f>
        <v>0</v>
      </c>
      <c r="AV37" s="373" t="str">
        <f>IF(OR(AU37="TC",AU37="MT"),'CARGA DOCENTE'!$A649," ")</f>
        <v xml:space="preserve"> </v>
      </c>
      <c r="AW37" s="374" t="str">
        <f>IF(OR(AU37="TC",AU37="MT"),'CARGA DOCENTE'!$B649," ")</f>
        <v xml:space="preserve"> </v>
      </c>
      <c r="AX37" s="374" t="str">
        <f>IF(OR(AU37="TC",AU37="MT"),'CARGA DOCENTE'!$C649," ")</f>
        <v xml:space="preserve"> </v>
      </c>
      <c r="AY37" s="374" t="str">
        <f>IF(OR(AU37="TC",AU37="MT"),'CARGA DOCENTE'!$G649," ")</f>
        <v xml:space="preserve"> </v>
      </c>
      <c r="AZ37" s="372">
        <f>'CARGA DOCENTE'!$H650</f>
        <v>0</v>
      </c>
      <c r="BA37" s="373" t="str">
        <f>IF(OR(AZ37="TC",AZ37="MT"),'CARGA DOCENTE'!$A650," ")</f>
        <v xml:space="preserve"> </v>
      </c>
      <c r="BB37" s="374" t="str">
        <f>IF(OR(AZ37="TC",AZ37="MT"),'CARGA DOCENTE'!$B650," ")</f>
        <v xml:space="preserve"> </v>
      </c>
      <c r="BC37" s="374" t="str">
        <f>IF(OR(AZ37="TC",AZ37="MT"),'CARGA DOCENTE'!$C650," ")</f>
        <v xml:space="preserve"> </v>
      </c>
      <c r="BD37" s="374" t="str">
        <f>IF(OR(AZ37="TC",AZ37="MT"),'CARGA DOCENTE'!$G650," ")</f>
        <v xml:space="preserve"> </v>
      </c>
      <c r="BE37" s="372">
        <f>'CARGA DOCENTE'!$H651</f>
        <v>0</v>
      </c>
      <c r="BF37" s="373" t="str">
        <f>IF(OR(BE37="TC",BE37="MT"),'CARGA DOCENTE'!$A651," ")</f>
        <v xml:space="preserve"> </v>
      </c>
      <c r="BG37" s="374" t="str">
        <f>IF(OR(BE37="TC",BE37="MT"),'CARGA DOCENTE'!$B651," ")</f>
        <v xml:space="preserve"> </v>
      </c>
      <c r="BH37" s="374" t="str">
        <f>IF(OR(BE37="TC",BE37="MT"),'CARGA DOCENTE'!$C651," ")</f>
        <v xml:space="preserve"> </v>
      </c>
      <c r="BI37" s="374" t="str">
        <f>IF(OR(BE37="TC",BE37="MT"),'CARGA DOCENTE'!$G651," ")</f>
        <v xml:space="preserve"> </v>
      </c>
      <c r="BJ37" s="372">
        <f>'CARGA DOCENTE'!$H652</f>
        <v>0</v>
      </c>
      <c r="BK37" s="373" t="str">
        <f>IF(OR(BJ37="TC",BJ37="MT"),'CARGA DOCENTE'!$A652," ")</f>
        <v xml:space="preserve"> </v>
      </c>
      <c r="BL37" s="374" t="str">
        <f>IF(OR(BJ37="TC",BJ37="MT"),'CARGA DOCENTE'!$B652," ")</f>
        <v xml:space="preserve"> </v>
      </c>
      <c r="BM37" s="374" t="str">
        <f>IF(OR(BJ37="TC",BJ37="MT"),'CARGA DOCENTE'!$C652," ")</f>
        <v xml:space="preserve"> </v>
      </c>
      <c r="BN37" s="374" t="str">
        <f>IF(OR(BJ37="TC",BJ37="MT"),'CARGA DOCENTE'!$G652," ")</f>
        <v xml:space="preserve"> </v>
      </c>
      <c r="BO37" s="372">
        <f>'CARGA DOCENTE'!$H653</f>
        <v>0</v>
      </c>
      <c r="BP37" s="373" t="str">
        <f>IF(OR(BO37="TC",BO37="MT"),'CARGA DOCENTE'!$A653," ")</f>
        <v xml:space="preserve"> </v>
      </c>
      <c r="BQ37" s="374" t="str">
        <f>IF(OR(BO37="TC",BO37="MT"),'CARGA DOCENTE'!$B653," ")</f>
        <v xml:space="preserve"> </v>
      </c>
      <c r="BR37" s="374" t="str">
        <f>IF(OR(BO37="TC",BO37="MT"),'CARGA DOCENTE'!$C653," ")</f>
        <v xml:space="preserve"> </v>
      </c>
      <c r="BS37" s="374" t="str">
        <f>IF(OR(BO37="TC",BO37="MT"),'CARGA DOCENTE'!$G653," ")</f>
        <v xml:space="preserve"> </v>
      </c>
      <c r="BT37" s="372">
        <f>'CARGA DOCENTE'!$H654</f>
        <v>0</v>
      </c>
      <c r="BU37" s="373" t="str">
        <f>IF(OR(BT37="TC",BT37="MT"),'CARGA DOCENTE'!$A654," ")</f>
        <v xml:space="preserve"> </v>
      </c>
      <c r="BV37" s="374" t="str">
        <f>IF(OR(BT37="TC",BT37="MT"),'CARGA DOCENTE'!$B654," ")</f>
        <v xml:space="preserve"> </v>
      </c>
      <c r="BW37" s="374" t="str">
        <f>IF(OR(BT37="TC",BT37="MT"),'CARGA DOCENTE'!$C654," ")</f>
        <v xml:space="preserve"> </v>
      </c>
      <c r="BX37" s="374" t="str">
        <f>IF(OR(BT37="TC",BT37="MT"),'CARGA DOCENTE'!$G654," ")</f>
        <v xml:space="preserve"> </v>
      </c>
    </row>
    <row r="38" spans="1:76" x14ac:dyDescent="0.2">
      <c r="A38" s="378">
        <f>'CARGA DOCENTE'!J658</f>
        <v>0</v>
      </c>
      <c r="B38" s="372">
        <f>'CARGA DOCENTE'!$H658</f>
        <v>0</v>
      </c>
      <c r="C38" s="373" t="str">
        <f>IF(OR(B38="TC",B38="MT"),'CARGA DOCENTE'!$A658," ")</f>
        <v xml:space="preserve"> </v>
      </c>
      <c r="D38" s="374" t="str">
        <f>IF(OR(B38="TC",B38="MT"),'CARGA DOCENTE'!$B658," ")</f>
        <v xml:space="preserve"> </v>
      </c>
      <c r="E38" s="374" t="str">
        <f>IF(OR(B38="TC",B38="MT"),'CARGA DOCENTE'!$C658," ")</f>
        <v xml:space="preserve"> </v>
      </c>
      <c r="F38" s="374" t="str">
        <f>IF(OR(B38="TC",B38="MT"),'CARGA DOCENTE'!$G658," ")</f>
        <v xml:space="preserve"> </v>
      </c>
      <c r="G38" s="372">
        <f>'CARGA DOCENTE'!$H659</f>
        <v>0</v>
      </c>
      <c r="H38" s="373" t="str">
        <f>IF(OR(G38="TC",G38="MT"),'CARGA DOCENTE'!$A659," ")</f>
        <v xml:space="preserve"> </v>
      </c>
      <c r="I38" s="374" t="str">
        <f>IF(OR(G38="TC",G38="MT"),'CARGA DOCENTE'!$B659," ")</f>
        <v xml:space="preserve"> </v>
      </c>
      <c r="J38" s="374" t="str">
        <f>IF(OR(G38="TC",G38="MT"),'CARGA DOCENTE'!$C659," ")</f>
        <v xml:space="preserve"> </v>
      </c>
      <c r="K38" s="374" t="str">
        <f>IF(OR(G38="TC",G38="MT"),'CARGA DOCENTE'!$G659," ")</f>
        <v xml:space="preserve"> </v>
      </c>
      <c r="L38" s="372">
        <f>'CARGA DOCENTE'!$H660</f>
        <v>0</v>
      </c>
      <c r="M38" s="373" t="str">
        <f>IF(OR(L38="TC",L38="MT"),'CARGA DOCENTE'!$A660," ")</f>
        <v xml:space="preserve"> </v>
      </c>
      <c r="N38" s="374" t="str">
        <f>IF(OR(L38="TC",L38="MT"),'CARGA DOCENTE'!$B660," ")</f>
        <v xml:space="preserve"> </v>
      </c>
      <c r="O38" s="374" t="str">
        <f>IF(OR(L38="TC",L38="MT"),'CARGA DOCENTE'!$C660," ")</f>
        <v xml:space="preserve"> </v>
      </c>
      <c r="P38" s="374" t="str">
        <f>IF(OR(L38="TC",L38="MT"),'CARGA DOCENTE'!$G660," ")</f>
        <v xml:space="preserve"> </v>
      </c>
      <c r="Q38" s="372">
        <f>'CARGA DOCENTE'!$H661</f>
        <v>0</v>
      </c>
      <c r="R38" s="373" t="str">
        <f>IF(OR(Q38="TC",Q38="MT"),'CARGA DOCENTE'!$A661," ")</f>
        <v xml:space="preserve"> </v>
      </c>
      <c r="S38" s="374" t="str">
        <f>IF(OR(Q38="TC",Q38="MT"),'CARGA DOCENTE'!$B661," ")</f>
        <v xml:space="preserve"> </v>
      </c>
      <c r="T38" s="374" t="str">
        <f>IF(OR(Q38="TC",Q38="MT"),'CARGA DOCENTE'!$C661," ")</f>
        <v xml:space="preserve"> </v>
      </c>
      <c r="U38" s="374" t="str">
        <f>IF(OR(Q38="TC",Q38="MT"),'CARGA DOCENTE'!$G661," ")</f>
        <v xml:space="preserve"> </v>
      </c>
      <c r="V38" s="372">
        <f>'CARGA DOCENTE'!$H662</f>
        <v>0</v>
      </c>
      <c r="W38" s="373" t="str">
        <f>IF(OR(V38="TC",V38="MT"),'CARGA DOCENTE'!$A662," ")</f>
        <v xml:space="preserve"> </v>
      </c>
      <c r="X38" s="374" t="str">
        <f>IF(OR(V38="TC",V38="MT"),'CARGA DOCENTE'!$B662," ")</f>
        <v xml:space="preserve"> </v>
      </c>
      <c r="Y38" s="374" t="str">
        <f>IF(OR(V38="TC",V38="MT"),'CARGA DOCENTE'!$C662," ")</f>
        <v xml:space="preserve"> </v>
      </c>
      <c r="Z38" s="374" t="str">
        <f>IF(OR(V38="TC",V38="MT"),'CARGA DOCENTE'!$G662," ")</f>
        <v xml:space="preserve"> </v>
      </c>
      <c r="AA38" s="372">
        <f>'CARGA DOCENTE'!$H663</f>
        <v>0</v>
      </c>
      <c r="AB38" s="373" t="str">
        <f>IF(OR(AA38="TC",AA38="MT"),'CARGA DOCENTE'!$A663," ")</f>
        <v xml:space="preserve"> </v>
      </c>
      <c r="AC38" s="374" t="str">
        <f>IF(OR(AA38="TC",AA38="MT"),'CARGA DOCENTE'!$B663," ")</f>
        <v xml:space="preserve"> </v>
      </c>
      <c r="AD38" s="374" t="str">
        <f>IF(OR(AA38="TC",AA38="MT"),'CARGA DOCENTE'!$C663," ")</f>
        <v xml:space="preserve"> </v>
      </c>
      <c r="AE38" s="374" t="str">
        <f>IF(OR(AA38="TC",AA38="MT"),'CARGA DOCENTE'!$G663," ")</f>
        <v xml:space="preserve"> </v>
      </c>
      <c r="AF38" s="372">
        <f>'CARGA DOCENTE'!$H664</f>
        <v>0</v>
      </c>
      <c r="AG38" s="373" t="str">
        <f>IF(OR(AF38="TC",AF38="MT"),'CARGA DOCENTE'!$A664," ")</f>
        <v xml:space="preserve"> </v>
      </c>
      <c r="AH38" s="374" t="str">
        <f>IF(OR(AF38="TC",AF38="MT"),'CARGA DOCENTE'!$B664," ")</f>
        <v xml:space="preserve"> </v>
      </c>
      <c r="AI38" s="374" t="str">
        <f>IF(OR(AF38="TC",AF38="MT"),'CARGA DOCENTE'!$C664," ")</f>
        <v xml:space="preserve"> </v>
      </c>
      <c r="AJ38" s="374" t="str">
        <f>IF(OR(AF38="TC",AF38="MT"),'CARGA DOCENTE'!$G664," ")</f>
        <v xml:space="preserve"> </v>
      </c>
      <c r="AK38" s="372">
        <f>'CARGA DOCENTE'!$H665</f>
        <v>0</v>
      </c>
      <c r="AL38" s="373" t="str">
        <f>IF(OR(AK38="TC",AK38="MT"),'CARGA DOCENTE'!$A665," ")</f>
        <v xml:space="preserve"> </v>
      </c>
      <c r="AM38" s="374" t="str">
        <f>IF(OR(AK38="TC",AK38="MT"),'CARGA DOCENTE'!$B665," ")</f>
        <v xml:space="preserve"> </v>
      </c>
      <c r="AN38" s="374" t="str">
        <f>IF(OR(AK38="TC",AK38="MT"),'CARGA DOCENTE'!$C665," ")</f>
        <v xml:space="preserve"> </v>
      </c>
      <c r="AO38" s="374" t="str">
        <f>IF(OR(AK38="TC",AK38="MT"),'CARGA DOCENTE'!$G665," ")</f>
        <v xml:space="preserve"> </v>
      </c>
      <c r="AP38" s="372">
        <f>'CARGA DOCENTE'!$H666</f>
        <v>0</v>
      </c>
      <c r="AQ38" s="373" t="str">
        <f>IF(OR(AP38="TC",AP38="MT"),'CARGA DOCENTE'!$A666," ")</f>
        <v xml:space="preserve"> </v>
      </c>
      <c r="AR38" s="374" t="str">
        <f>IF(OR(AP38="TC",AP38="MT"),'CARGA DOCENTE'!$B666," ")</f>
        <v xml:space="preserve"> </v>
      </c>
      <c r="AS38" s="374" t="str">
        <f>IF(OR(AP38="TC",AP38="MT"),'CARGA DOCENTE'!$C666," ")</f>
        <v xml:space="preserve"> </v>
      </c>
      <c r="AT38" s="374" t="str">
        <f>IF(OR(AP38="TC",AP38="MT"),'CARGA DOCENTE'!$G666," ")</f>
        <v xml:space="preserve"> </v>
      </c>
      <c r="AU38" s="372">
        <f>'CARGA DOCENTE'!$H667</f>
        <v>0</v>
      </c>
      <c r="AV38" s="373" t="str">
        <f>IF(OR(AU38="TC",AU38="MT"),'CARGA DOCENTE'!$A667," ")</f>
        <v xml:space="preserve"> </v>
      </c>
      <c r="AW38" s="374" t="str">
        <f>IF(OR(AU38="TC",AU38="MT"),'CARGA DOCENTE'!$B667," ")</f>
        <v xml:space="preserve"> </v>
      </c>
      <c r="AX38" s="374" t="str">
        <f>IF(OR(AU38="TC",AU38="MT"),'CARGA DOCENTE'!$C667," ")</f>
        <v xml:space="preserve"> </v>
      </c>
      <c r="AY38" s="374" t="str">
        <f>IF(OR(AU38="TC",AU38="MT"),'CARGA DOCENTE'!$G667," ")</f>
        <v xml:space="preserve"> </v>
      </c>
      <c r="AZ38" s="372">
        <f>'CARGA DOCENTE'!$H668</f>
        <v>0</v>
      </c>
      <c r="BA38" s="373" t="str">
        <f>IF(OR(AZ38="TC",AZ38="MT"),'CARGA DOCENTE'!$A668," ")</f>
        <v xml:space="preserve"> </v>
      </c>
      <c r="BB38" s="374" t="str">
        <f>IF(OR(AZ38="TC",AZ38="MT"),'CARGA DOCENTE'!$B668," ")</f>
        <v xml:space="preserve"> </v>
      </c>
      <c r="BC38" s="374" t="str">
        <f>IF(OR(AZ38="TC",AZ38="MT"),'CARGA DOCENTE'!$C668," ")</f>
        <v xml:space="preserve"> </v>
      </c>
      <c r="BD38" s="374" t="str">
        <f>IF(OR(AZ38="TC",AZ38="MT"),'CARGA DOCENTE'!$G668," ")</f>
        <v xml:space="preserve"> </v>
      </c>
      <c r="BE38" s="372">
        <f>'CARGA DOCENTE'!$H669</f>
        <v>0</v>
      </c>
      <c r="BF38" s="373" t="str">
        <f>IF(OR(BE38="TC",BE38="MT"),'CARGA DOCENTE'!$A669," ")</f>
        <v xml:space="preserve"> </v>
      </c>
      <c r="BG38" s="374" t="str">
        <f>IF(OR(BE38="TC",BE38="MT"),'CARGA DOCENTE'!$B669," ")</f>
        <v xml:space="preserve"> </v>
      </c>
      <c r="BH38" s="374" t="str">
        <f>IF(OR(BE38="TC",BE38="MT"),'CARGA DOCENTE'!$C669," ")</f>
        <v xml:space="preserve"> </v>
      </c>
      <c r="BI38" s="374" t="str">
        <f>IF(OR(BE38="TC",BE38="MT"),'CARGA DOCENTE'!$G669," ")</f>
        <v xml:space="preserve"> </v>
      </c>
      <c r="BJ38" s="372">
        <f>'CARGA DOCENTE'!$H670</f>
        <v>0</v>
      </c>
      <c r="BK38" s="373" t="str">
        <f>IF(OR(BJ38="TC",BJ38="MT"),'CARGA DOCENTE'!$A670," ")</f>
        <v xml:space="preserve"> </v>
      </c>
      <c r="BL38" s="374" t="str">
        <f>IF(OR(BJ38="TC",BJ38="MT"),'CARGA DOCENTE'!$B670," ")</f>
        <v xml:space="preserve"> </v>
      </c>
      <c r="BM38" s="374" t="str">
        <f>IF(OR(BJ38="TC",BJ38="MT"),'CARGA DOCENTE'!$C670," ")</f>
        <v xml:space="preserve"> </v>
      </c>
      <c r="BN38" s="374" t="str">
        <f>IF(OR(BJ38="TC",BJ38="MT"),'CARGA DOCENTE'!$G670," ")</f>
        <v xml:space="preserve"> </v>
      </c>
      <c r="BO38" s="372">
        <f>'CARGA DOCENTE'!$H671</f>
        <v>0</v>
      </c>
      <c r="BP38" s="373" t="str">
        <f>IF(OR(BO38="TC",BO38="MT"),'CARGA DOCENTE'!$A671," ")</f>
        <v xml:space="preserve"> </v>
      </c>
      <c r="BQ38" s="374" t="str">
        <f>IF(OR(BO38="TC",BO38="MT"),'CARGA DOCENTE'!$B671," ")</f>
        <v xml:space="preserve"> </v>
      </c>
      <c r="BR38" s="374" t="str">
        <f>IF(OR(BO38="TC",BO38="MT"),'CARGA DOCENTE'!$C671," ")</f>
        <v xml:space="preserve"> </v>
      </c>
      <c r="BS38" s="374" t="str">
        <f>IF(OR(BO38="TC",BO38="MT"),'CARGA DOCENTE'!$G671," ")</f>
        <v xml:space="preserve"> </v>
      </c>
      <c r="BT38" s="372">
        <f>'CARGA DOCENTE'!$H672</f>
        <v>0</v>
      </c>
      <c r="BU38" s="373" t="str">
        <f>IF(OR(BT38="TC",BT38="MT"),'CARGA DOCENTE'!$A672," ")</f>
        <v xml:space="preserve"> </v>
      </c>
      <c r="BV38" s="374" t="str">
        <f>IF(OR(BT38="TC",BT38="MT"),'CARGA DOCENTE'!$B672," ")</f>
        <v xml:space="preserve"> </v>
      </c>
      <c r="BW38" s="374" t="str">
        <f>IF(OR(BT38="TC",BT38="MT"),'CARGA DOCENTE'!$C672," ")</f>
        <v xml:space="preserve"> </v>
      </c>
      <c r="BX38" s="374" t="str">
        <f>IF(OR(BT38="TC",BT38="MT"),'CARGA DOCENTE'!$G672," ")</f>
        <v xml:space="preserve"> </v>
      </c>
    </row>
    <row r="39" spans="1:76" x14ac:dyDescent="0.2">
      <c r="A39" s="378">
        <f>'CARGA DOCENTE'!J676</f>
        <v>0</v>
      </c>
      <c r="B39" s="372">
        <f>'CARGA DOCENTE'!$H676</f>
        <v>0</v>
      </c>
      <c r="C39" s="373" t="str">
        <f>IF(OR(B39="TC",B39="MT"),'CARGA DOCENTE'!$A676," ")</f>
        <v xml:space="preserve"> </v>
      </c>
      <c r="D39" s="374" t="str">
        <f>IF(OR(B39="TC",B39="MT"),'CARGA DOCENTE'!$B676," ")</f>
        <v xml:space="preserve"> </v>
      </c>
      <c r="E39" s="374" t="str">
        <f>IF(OR(B39="TC",B39="MT"),'CARGA DOCENTE'!$C676," ")</f>
        <v xml:space="preserve"> </v>
      </c>
      <c r="F39" s="374" t="str">
        <f>IF(OR(B39="TC",B39="MT"),'CARGA DOCENTE'!$G676," ")</f>
        <v xml:space="preserve"> </v>
      </c>
      <c r="G39" s="372">
        <f>'CARGA DOCENTE'!$H677</f>
        <v>0</v>
      </c>
      <c r="H39" s="373" t="str">
        <f>IF(OR(G39="TC",G39="MT"),'CARGA DOCENTE'!$A677," ")</f>
        <v xml:space="preserve"> </v>
      </c>
      <c r="I39" s="374" t="str">
        <f>IF(OR(G39="TC",G39="MT"),'CARGA DOCENTE'!$B677," ")</f>
        <v xml:space="preserve"> </v>
      </c>
      <c r="J39" s="374" t="str">
        <f>IF(OR(G39="TC",G39="MT"),'CARGA DOCENTE'!$C677," ")</f>
        <v xml:space="preserve"> </v>
      </c>
      <c r="K39" s="374" t="str">
        <f>IF(OR(G39="TC",G39="MT"),'CARGA DOCENTE'!$G677," ")</f>
        <v xml:space="preserve"> </v>
      </c>
      <c r="L39" s="372">
        <f>'CARGA DOCENTE'!$H678</f>
        <v>0</v>
      </c>
      <c r="M39" s="373" t="str">
        <f>IF(OR(L39="TC",L39="MT"),'CARGA DOCENTE'!$A678," ")</f>
        <v xml:space="preserve"> </v>
      </c>
      <c r="N39" s="374" t="str">
        <f>IF(OR(L39="TC",L39="MT"),'CARGA DOCENTE'!$B678," ")</f>
        <v xml:space="preserve"> </v>
      </c>
      <c r="O39" s="374" t="str">
        <f>IF(OR(L39="TC",L39="MT"),'CARGA DOCENTE'!$C678," ")</f>
        <v xml:space="preserve"> </v>
      </c>
      <c r="P39" s="374" t="str">
        <f>IF(OR(L39="TC",L39="MT"),'CARGA DOCENTE'!$G678," ")</f>
        <v xml:space="preserve"> </v>
      </c>
      <c r="Q39" s="372">
        <f>'CARGA DOCENTE'!$H679</f>
        <v>0</v>
      </c>
      <c r="R39" s="373" t="str">
        <f>IF(OR(Q39="TC",Q39="MT"),'CARGA DOCENTE'!$A679," ")</f>
        <v xml:space="preserve"> </v>
      </c>
      <c r="S39" s="374" t="str">
        <f>IF(OR(Q39="TC",Q39="MT"),'CARGA DOCENTE'!$B679," ")</f>
        <v xml:space="preserve"> </v>
      </c>
      <c r="T39" s="374" t="str">
        <f>IF(OR(Q39="TC",Q39="MT"),'CARGA DOCENTE'!$C679," ")</f>
        <v xml:space="preserve"> </v>
      </c>
      <c r="U39" s="374" t="str">
        <f>IF(OR(Q39="TC",Q39="MT"),'CARGA DOCENTE'!$G679," ")</f>
        <v xml:space="preserve"> </v>
      </c>
      <c r="V39" s="372">
        <f>'CARGA DOCENTE'!$H680</f>
        <v>0</v>
      </c>
      <c r="W39" s="373" t="str">
        <f>IF(OR(V39="TC",V39="MT"),'CARGA DOCENTE'!$A680," ")</f>
        <v xml:space="preserve"> </v>
      </c>
      <c r="X39" s="374" t="str">
        <f>IF(OR(V39="TC",V39="MT"),'CARGA DOCENTE'!$B680," ")</f>
        <v xml:space="preserve"> </v>
      </c>
      <c r="Y39" s="374" t="str">
        <f>IF(OR(V39="TC",V39="MT"),'CARGA DOCENTE'!$C680," ")</f>
        <v xml:space="preserve"> </v>
      </c>
      <c r="Z39" s="374" t="str">
        <f>IF(OR(V39="TC",V39="MT"),'CARGA DOCENTE'!$G680," ")</f>
        <v xml:space="preserve"> </v>
      </c>
      <c r="AA39" s="372">
        <f>'CARGA DOCENTE'!$H681</f>
        <v>0</v>
      </c>
      <c r="AB39" s="373" t="str">
        <f>IF(OR(AA39="TC",AA39="MT"),'CARGA DOCENTE'!$A681," ")</f>
        <v xml:space="preserve"> </v>
      </c>
      <c r="AC39" s="374" t="str">
        <f>IF(OR(AA39="TC",AA39="MT"),'CARGA DOCENTE'!$B681," ")</f>
        <v xml:space="preserve"> </v>
      </c>
      <c r="AD39" s="374" t="str">
        <f>IF(OR(AA39="TC",AA39="MT"),'CARGA DOCENTE'!$C681," ")</f>
        <v xml:space="preserve"> </v>
      </c>
      <c r="AE39" s="374" t="str">
        <f>IF(OR(AA39="TC",AA39="MT"),'CARGA DOCENTE'!$G681," ")</f>
        <v xml:space="preserve"> </v>
      </c>
      <c r="AF39" s="372">
        <f>'CARGA DOCENTE'!$H682</f>
        <v>0</v>
      </c>
      <c r="AG39" s="373" t="str">
        <f>IF(OR(AF39="TC",AF39="MT"),'CARGA DOCENTE'!$A682," ")</f>
        <v xml:space="preserve"> </v>
      </c>
      <c r="AH39" s="374" t="str">
        <f>IF(OR(AF39="TC",AF39="MT"),'CARGA DOCENTE'!$B682," ")</f>
        <v xml:space="preserve"> </v>
      </c>
      <c r="AI39" s="374" t="str">
        <f>IF(OR(AF39="TC",AF39="MT"),'CARGA DOCENTE'!$C682," ")</f>
        <v xml:space="preserve"> </v>
      </c>
      <c r="AJ39" s="374" t="str">
        <f>IF(OR(AF39="TC",AF39="MT"),'CARGA DOCENTE'!$G682," ")</f>
        <v xml:space="preserve"> </v>
      </c>
      <c r="AK39" s="372">
        <f>'CARGA DOCENTE'!$H683</f>
        <v>0</v>
      </c>
      <c r="AL39" s="373" t="str">
        <f>IF(OR(AK39="TC",AK39="MT"),'CARGA DOCENTE'!$A683," ")</f>
        <v xml:space="preserve"> </v>
      </c>
      <c r="AM39" s="374" t="str">
        <f>IF(OR(AK39="TC",AK39="MT"),'CARGA DOCENTE'!$B683," ")</f>
        <v xml:space="preserve"> </v>
      </c>
      <c r="AN39" s="374" t="str">
        <f>IF(OR(AK39="TC",AK39="MT"),'CARGA DOCENTE'!$C683," ")</f>
        <v xml:space="preserve"> </v>
      </c>
      <c r="AO39" s="374" t="str">
        <f>IF(OR(AK39="TC",AK39="MT"),'CARGA DOCENTE'!$G683," ")</f>
        <v xml:space="preserve"> </v>
      </c>
      <c r="AP39" s="372">
        <f>'CARGA DOCENTE'!$H684</f>
        <v>0</v>
      </c>
      <c r="AQ39" s="373" t="str">
        <f>IF(OR(AP39="TC",AP39="MT"),'CARGA DOCENTE'!$A684," ")</f>
        <v xml:space="preserve"> </v>
      </c>
      <c r="AR39" s="374" t="str">
        <f>IF(OR(AP39="TC",AP39="MT"),'CARGA DOCENTE'!$B684," ")</f>
        <v xml:space="preserve"> </v>
      </c>
      <c r="AS39" s="374" t="str">
        <f>IF(OR(AP39="TC",AP39="MT"),'CARGA DOCENTE'!$C684," ")</f>
        <v xml:space="preserve"> </v>
      </c>
      <c r="AT39" s="374" t="str">
        <f>IF(OR(AP39="TC",AP39="MT"),'CARGA DOCENTE'!$G684," ")</f>
        <v xml:space="preserve"> </v>
      </c>
      <c r="AU39" s="372">
        <f>'CARGA DOCENTE'!$H685</f>
        <v>0</v>
      </c>
      <c r="AV39" s="373" t="str">
        <f>IF(OR(AU39="TC",AU39="MT"),'CARGA DOCENTE'!$A685," ")</f>
        <v xml:space="preserve"> </v>
      </c>
      <c r="AW39" s="374" t="str">
        <f>IF(OR(AU39="TC",AU39="MT"),'CARGA DOCENTE'!$B685," ")</f>
        <v xml:space="preserve"> </v>
      </c>
      <c r="AX39" s="374" t="str">
        <f>IF(OR(AU39="TC",AU39="MT"),'CARGA DOCENTE'!$C685," ")</f>
        <v xml:space="preserve"> </v>
      </c>
      <c r="AY39" s="374" t="str">
        <f>IF(OR(AU39="TC",AU39="MT"),'CARGA DOCENTE'!$G685," ")</f>
        <v xml:space="preserve"> </v>
      </c>
      <c r="AZ39" s="372">
        <f>'CARGA DOCENTE'!$H686</f>
        <v>0</v>
      </c>
      <c r="BA39" s="373" t="str">
        <f>IF(OR(AZ39="TC",AZ39="MT"),'CARGA DOCENTE'!$A686," ")</f>
        <v xml:space="preserve"> </v>
      </c>
      <c r="BB39" s="374" t="str">
        <f>IF(OR(AZ39="TC",AZ39="MT"),'CARGA DOCENTE'!$B686," ")</f>
        <v xml:space="preserve"> </v>
      </c>
      <c r="BC39" s="374" t="str">
        <f>IF(OR(AZ39="TC",AZ39="MT"),'CARGA DOCENTE'!$C686," ")</f>
        <v xml:space="preserve"> </v>
      </c>
      <c r="BD39" s="374" t="str">
        <f>IF(OR(AZ39="TC",AZ39="MT"),'CARGA DOCENTE'!$G686," ")</f>
        <v xml:space="preserve"> </v>
      </c>
      <c r="BE39" s="372">
        <f>'CARGA DOCENTE'!$H687</f>
        <v>0</v>
      </c>
      <c r="BF39" s="373" t="str">
        <f>IF(OR(BE39="TC",BE39="MT"),'CARGA DOCENTE'!$A687," ")</f>
        <v xml:space="preserve"> </v>
      </c>
      <c r="BG39" s="374" t="str">
        <f>IF(OR(BE39="TC",BE39="MT"),'CARGA DOCENTE'!$B687," ")</f>
        <v xml:space="preserve"> </v>
      </c>
      <c r="BH39" s="374" t="str">
        <f>IF(OR(BE39="TC",BE39="MT"),'CARGA DOCENTE'!$C687," ")</f>
        <v xml:space="preserve"> </v>
      </c>
      <c r="BI39" s="374" t="str">
        <f>IF(OR(BE39="TC",BE39="MT"),'CARGA DOCENTE'!$G687," ")</f>
        <v xml:space="preserve"> </v>
      </c>
      <c r="BJ39" s="372">
        <f>'CARGA DOCENTE'!$H688</f>
        <v>0</v>
      </c>
      <c r="BK39" s="373" t="str">
        <f>IF(OR(BJ39="TC",BJ39="MT"),'CARGA DOCENTE'!$A688," ")</f>
        <v xml:space="preserve"> </v>
      </c>
      <c r="BL39" s="374" t="str">
        <f>IF(OR(BJ39="TC",BJ39="MT"),'CARGA DOCENTE'!$B688," ")</f>
        <v xml:space="preserve"> </v>
      </c>
      <c r="BM39" s="374" t="str">
        <f>IF(OR(BJ39="TC",BJ39="MT"),'CARGA DOCENTE'!$C688," ")</f>
        <v xml:space="preserve"> </v>
      </c>
      <c r="BN39" s="374" t="str">
        <f>IF(OR(BJ39="TC",BJ39="MT"),'CARGA DOCENTE'!$G688," ")</f>
        <v xml:space="preserve"> </v>
      </c>
      <c r="BO39" s="372">
        <f>'CARGA DOCENTE'!$H689</f>
        <v>0</v>
      </c>
      <c r="BP39" s="373" t="str">
        <f>IF(OR(BO39="TC",BO39="MT"),'CARGA DOCENTE'!$A689," ")</f>
        <v xml:space="preserve"> </v>
      </c>
      <c r="BQ39" s="374" t="str">
        <f>IF(OR(BO39="TC",BO39="MT"),'CARGA DOCENTE'!$B689," ")</f>
        <v xml:space="preserve"> </v>
      </c>
      <c r="BR39" s="374" t="str">
        <f>IF(OR(BO39="TC",BO39="MT"),'CARGA DOCENTE'!$C689," ")</f>
        <v xml:space="preserve"> </v>
      </c>
      <c r="BS39" s="374" t="str">
        <f>IF(OR(BO39="TC",BO39="MT"),'CARGA DOCENTE'!$G689," ")</f>
        <v xml:space="preserve"> </v>
      </c>
      <c r="BT39" s="372">
        <f>'CARGA DOCENTE'!$H690</f>
        <v>0</v>
      </c>
      <c r="BU39" s="373" t="str">
        <f>IF(OR(BT39="TC",BT39="MT"),'CARGA DOCENTE'!$A690," ")</f>
        <v xml:space="preserve"> </v>
      </c>
      <c r="BV39" s="374" t="str">
        <f>IF(OR(BT39="TC",BT39="MT"),'CARGA DOCENTE'!$B690," ")</f>
        <v xml:space="preserve"> </v>
      </c>
      <c r="BW39" s="374" t="str">
        <f>IF(OR(BT39="TC",BT39="MT"),'CARGA DOCENTE'!$C690," ")</f>
        <v xml:space="preserve"> </v>
      </c>
      <c r="BX39" s="374" t="str">
        <f>IF(OR(BT39="TC",BT39="MT"),'CARGA DOCENTE'!$G690," ")</f>
        <v xml:space="preserve"> </v>
      </c>
    </row>
    <row r="40" spans="1:76" x14ac:dyDescent="0.2">
      <c r="A40" s="378">
        <f>'CARGA DOCENTE'!J694</f>
        <v>0</v>
      </c>
      <c r="B40" s="372">
        <f>'CARGA DOCENTE'!$H694</f>
        <v>0</v>
      </c>
      <c r="C40" s="373" t="str">
        <f>IF(OR(B40="TC",B40="MT"),'CARGA DOCENTE'!$A694," ")</f>
        <v xml:space="preserve"> </v>
      </c>
      <c r="D40" s="374" t="str">
        <f>IF(OR(B40="TC",B40="MT"),'CARGA DOCENTE'!$B694," ")</f>
        <v xml:space="preserve"> </v>
      </c>
      <c r="E40" s="374" t="str">
        <f>IF(OR(B40="TC",B40="MT"),'CARGA DOCENTE'!$C694," ")</f>
        <v xml:space="preserve"> </v>
      </c>
      <c r="F40" s="374" t="str">
        <f>IF(OR(B40="TC",B40="MT"),'CARGA DOCENTE'!$G694," ")</f>
        <v xml:space="preserve"> </v>
      </c>
      <c r="G40" s="372">
        <f>'CARGA DOCENTE'!$H695</f>
        <v>0</v>
      </c>
      <c r="H40" s="373" t="str">
        <f>IF(OR(G40="TC",G40="MT"),'CARGA DOCENTE'!$A695," ")</f>
        <v xml:space="preserve"> </v>
      </c>
      <c r="I40" s="374" t="str">
        <f>IF(OR(G40="TC",G40="MT"),'CARGA DOCENTE'!$B695," ")</f>
        <v xml:space="preserve"> </v>
      </c>
      <c r="J40" s="374" t="str">
        <f>IF(OR(G40="TC",G40="MT"),'CARGA DOCENTE'!$C695," ")</f>
        <v xml:space="preserve"> </v>
      </c>
      <c r="K40" s="374" t="str">
        <f>IF(OR(G40="TC",G40="MT"),'CARGA DOCENTE'!$G695," ")</f>
        <v xml:space="preserve"> </v>
      </c>
      <c r="L40" s="372">
        <f>'CARGA DOCENTE'!$H696</f>
        <v>0</v>
      </c>
      <c r="M40" s="373" t="str">
        <f>IF(OR(L40="TC",L40="MT"),'CARGA DOCENTE'!$A696," ")</f>
        <v xml:space="preserve"> </v>
      </c>
      <c r="N40" s="374" t="str">
        <f>IF(OR(L40="TC",L40="MT"),'CARGA DOCENTE'!$B696," ")</f>
        <v xml:space="preserve"> </v>
      </c>
      <c r="O40" s="374" t="str">
        <f>IF(OR(L40="TC",L40="MT"),'CARGA DOCENTE'!$C696," ")</f>
        <v xml:space="preserve"> </v>
      </c>
      <c r="P40" s="374" t="str">
        <f>IF(OR(L40="TC",L40="MT"),'CARGA DOCENTE'!$G696," ")</f>
        <v xml:space="preserve"> </v>
      </c>
      <c r="Q40" s="372">
        <f>'CARGA DOCENTE'!$H697</f>
        <v>0</v>
      </c>
      <c r="R40" s="373" t="str">
        <f>IF(OR(Q40="TC",Q40="MT"),'CARGA DOCENTE'!$A697," ")</f>
        <v xml:space="preserve"> </v>
      </c>
      <c r="S40" s="374" t="str">
        <f>IF(OR(Q40="TC",Q40="MT"),'CARGA DOCENTE'!$B697," ")</f>
        <v xml:space="preserve"> </v>
      </c>
      <c r="T40" s="374" t="str">
        <f>IF(OR(Q40="TC",Q40="MT"),'CARGA DOCENTE'!$C697," ")</f>
        <v xml:space="preserve"> </v>
      </c>
      <c r="U40" s="374" t="str">
        <f>IF(OR(Q40="TC",Q40="MT"),'CARGA DOCENTE'!$G697," ")</f>
        <v xml:space="preserve"> </v>
      </c>
      <c r="V40" s="372">
        <f>'CARGA DOCENTE'!$H698</f>
        <v>0</v>
      </c>
      <c r="W40" s="373" t="str">
        <f>IF(OR(V40="TC",V40="MT"),'CARGA DOCENTE'!$A698," ")</f>
        <v xml:space="preserve"> </v>
      </c>
      <c r="X40" s="374" t="str">
        <f>IF(OR(V40="TC",V40="MT"),'CARGA DOCENTE'!$B698," ")</f>
        <v xml:space="preserve"> </v>
      </c>
      <c r="Y40" s="374" t="str">
        <f>IF(OR(V40="TC",V40="MT"),'CARGA DOCENTE'!$C698," ")</f>
        <v xml:space="preserve"> </v>
      </c>
      <c r="Z40" s="374" t="str">
        <f>IF(OR(V40="TC",V40="MT"),'CARGA DOCENTE'!$G698," ")</f>
        <v xml:space="preserve"> </v>
      </c>
      <c r="AA40" s="372">
        <f>'CARGA DOCENTE'!$H699</f>
        <v>0</v>
      </c>
      <c r="AB40" s="373" t="str">
        <f>IF(OR(AA40="TC",AA40="MT"),'CARGA DOCENTE'!$A699," ")</f>
        <v xml:space="preserve"> </v>
      </c>
      <c r="AC40" s="374" t="str">
        <f>IF(OR(AA40="TC",AA40="MT"),'CARGA DOCENTE'!$B699," ")</f>
        <v xml:space="preserve"> </v>
      </c>
      <c r="AD40" s="374" t="str">
        <f>IF(OR(AA40="TC",AA40="MT"),'CARGA DOCENTE'!$C699," ")</f>
        <v xml:space="preserve"> </v>
      </c>
      <c r="AE40" s="374" t="str">
        <f>IF(OR(AA40="TC",AA40="MT"),'CARGA DOCENTE'!$G699," ")</f>
        <v xml:space="preserve"> </v>
      </c>
      <c r="AF40" s="372">
        <f>'CARGA DOCENTE'!$H700</f>
        <v>0</v>
      </c>
      <c r="AG40" s="373" t="str">
        <f>IF(OR(AF40="TC",AF40="MT"),'CARGA DOCENTE'!$A700," ")</f>
        <v xml:space="preserve"> </v>
      </c>
      <c r="AH40" s="374" t="str">
        <f>IF(OR(AF40="TC",AF40="MT"),'CARGA DOCENTE'!$B700," ")</f>
        <v xml:space="preserve"> </v>
      </c>
      <c r="AI40" s="374" t="str">
        <f>IF(OR(AF40="TC",AF40="MT"),'CARGA DOCENTE'!$C700," ")</f>
        <v xml:space="preserve"> </v>
      </c>
      <c r="AJ40" s="374" t="str">
        <f>IF(OR(AF40="TC",AF40="MT"),'CARGA DOCENTE'!$G700," ")</f>
        <v xml:space="preserve"> </v>
      </c>
      <c r="AK40" s="372">
        <f>'CARGA DOCENTE'!$H701</f>
        <v>0</v>
      </c>
      <c r="AL40" s="373" t="str">
        <f>IF(OR(AK40="TC",AK40="MT"),'CARGA DOCENTE'!$A701," ")</f>
        <v xml:space="preserve"> </v>
      </c>
      <c r="AM40" s="374" t="str">
        <f>IF(OR(AK40="TC",AK40="MT"),'CARGA DOCENTE'!$B701," ")</f>
        <v xml:space="preserve"> </v>
      </c>
      <c r="AN40" s="374" t="str">
        <f>IF(OR(AK40="TC",AK40="MT"),'CARGA DOCENTE'!$C701," ")</f>
        <v xml:space="preserve"> </v>
      </c>
      <c r="AO40" s="374" t="str">
        <f>IF(OR(AK40="TC",AK40="MT"),'CARGA DOCENTE'!$G701," ")</f>
        <v xml:space="preserve"> </v>
      </c>
      <c r="AP40" s="372">
        <f>'CARGA DOCENTE'!$H702</f>
        <v>0</v>
      </c>
      <c r="AQ40" s="373" t="str">
        <f>IF(OR(AP40="TC",AP40="MT"),'CARGA DOCENTE'!$A702," ")</f>
        <v xml:space="preserve"> </v>
      </c>
      <c r="AR40" s="374" t="str">
        <f>IF(OR(AP40="TC",AP40="MT"),'CARGA DOCENTE'!$B702," ")</f>
        <v xml:space="preserve"> </v>
      </c>
      <c r="AS40" s="374" t="str">
        <f>IF(OR(AP40="TC",AP40="MT"),'CARGA DOCENTE'!$C702," ")</f>
        <v xml:space="preserve"> </v>
      </c>
      <c r="AT40" s="374" t="str">
        <f>IF(OR(AP40="TC",AP40="MT"),'CARGA DOCENTE'!$G702," ")</f>
        <v xml:space="preserve"> </v>
      </c>
      <c r="AU40" s="372">
        <f>'CARGA DOCENTE'!$H703</f>
        <v>0</v>
      </c>
      <c r="AV40" s="373" t="str">
        <f>IF(OR(AU40="TC",AU40="MT"),'CARGA DOCENTE'!$A703," ")</f>
        <v xml:space="preserve"> </v>
      </c>
      <c r="AW40" s="374" t="str">
        <f>IF(OR(AU40="TC",AU40="MT"),'CARGA DOCENTE'!$B703," ")</f>
        <v xml:space="preserve"> </v>
      </c>
      <c r="AX40" s="374" t="str">
        <f>IF(OR(AU40="TC",AU40="MT"),'CARGA DOCENTE'!$C703," ")</f>
        <v xml:space="preserve"> </v>
      </c>
      <c r="AY40" s="374" t="str">
        <f>IF(OR(AU40="TC",AU40="MT"),'CARGA DOCENTE'!$G703," ")</f>
        <v xml:space="preserve"> </v>
      </c>
      <c r="AZ40" s="372">
        <f>'CARGA DOCENTE'!$H704</f>
        <v>0</v>
      </c>
      <c r="BA40" s="373" t="str">
        <f>IF(OR(AZ40="TC",AZ40="MT"),'CARGA DOCENTE'!$A704," ")</f>
        <v xml:space="preserve"> </v>
      </c>
      <c r="BB40" s="374" t="str">
        <f>IF(OR(AZ40="TC",AZ40="MT"),'CARGA DOCENTE'!$B704," ")</f>
        <v xml:space="preserve"> </v>
      </c>
      <c r="BC40" s="374" t="str">
        <f>IF(OR(AZ40="TC",AZ40="MT"),'CARGA DOCENTE'!$C704," ")</f>
        <v xml:space="preserve"> </v>
      </c>
      <c r="BD40" s="374" t="str">
        <f>IF(OR(AZ40="TC",AZ40="MT"),'CARGA DOCENTE'!$G704," ")</f>
        <v xml:space="preserve"> </v>
      </c>
      <c r="BE40" s="372">
        <f>'CARGA DOCENTE'!$H705</f>
        <v>0</v>
      </c>
      <c r="BF40" s="373" t="str">
        <f>IF(OR(BE40="TC",BE40="MT"),'CARGA DOCENTE'!$A705," ")</f>
        <v xml:space="preserve"> </v>
      </c>
      <c r="BG40" s="374" t="str">
        <f>IF(OR(BE40="TC",BE40="MT"),'CARGA DOCENTE'!$B705," ")</f>
        <v xml:space="preserve"> </v>
      </c>
      <c r="BH40" s="374" t="str">
        <f>IF(OR(BE40="TC",BE40="MT"),'CARGA DOCENTE'!$C705," ")</f>
        <v xml:space="preserve"> </v>
      </c>
      <c r="BI40" s="374" t="str">
        <f>IF(OR(BE40="TC",BE40="MT"),'CARGA DOCENTE'!$G705," ")</f>
        <v xml:space="preserve"> </v>
      </c>
      <c r="BJ40" s="372">
        <f>'CARGA DOCENTE'!$H706</f>
        <v>0</v>
      </c>
      <c r="BK40" s="373" t="str">
        <f>IF(OR(BJ40="TC",BJ40="MT"),'CARGA DOCENTE'!$A706," ")</f>
        <v xml:space="preserve"> </v>
      </c>
      <c r="BL40" s="374" t="str">
        <f>IF(OR(BJ40="TC",BJ40="MT"),'CARGA DOCENTE'!$B706," ")</f>
        <v xml:space="preserve"> </v>
      </c>
      <c r="BM40" s="374" t="str">
        <f>IF(OR(BJ40="TC",BJ40="MT"),'CARGA DOCENTE'!$C706," ")</f>
        <v xml:space="preserve"> </v>
      </c>
      <c r="BN40" s="374" t="str">
        <f>IF(OR(BJ40="TC",BJ40="MT"),'CARGA DOCENTE'!$G706," ")</f>
        <v xml:space="preserve"> </v>
      </c>
      <c r="BO40" s="372">
        <f>'CARGA DOCENTE'!$H707</f>
        <v>0</v>
      </c>
      <c r="BP40" s="373" t="str">
        <f>IF(OR(BO40="TC",BO40="MT"),'CARGA DOCENTE'!$A707," ")</f>
        <v xml:space="preserve"> </v>
      </c>
      <c r="BQ40" s="374" t="str">
        <f>IF(OR(BO40="TC",BO40="MT"),'CARGA DOCENTE'!$B707," ")</f>
        <v xml:space="preserve"> </v>
      </c>
      <c r="BR40" s="374" t="str">
        <f>IF(OR(BO40="TC",BO40="MT"),'CARGA DOCENTE'!$C707," ")</f>
        <v xml:space="preserve"> </v>
      </c>
      <c r="BS40" s="374" t="str">
        <f>IF(OR(BO40="TC",BO40="MT"),'CARGA DOCENTE'!$G707," ")</f>
        <v xml:space="preserve"> </v>
      </c>
      <c r="BT40" s="372">
        <f>'CARGA DOCENTE'!$H708</f>
        <v>0</v>
      </c>
      <c r="BU40" s="373" t="str">
        <f>IF(OR(BT40="TC",BT40="MT"),'CARGA DOCENTE'!$A708," ")</f>
        <v xml:space="preserve"> </v>
      </c>
      <c r="BV40" s="374" t="str">
        <f>IF(OR(BT40="TC",BT40="MT"),'CARGA DOCENTE'!$B708," ")</f>
        <v xml:space="preserve"> </v>
      </c>
      <c r="BW40" s="374" t="str">
        <f>IF(OR(BT40="TC",BT40="MT"),'CARGA DOCENTE'!$C708," ")</f>
        <v xml:space="preserve"> </v>
      </c>
      <c r="BX40" s="374" t="str">
        <f>IF(OR(BT40="TC",BT40="MT"),'CARGA DOCENTE'!$G708," ")</f>
        <v xml:space="preserve"> </v>
      </c>
    </row>
    <row r="41" spans="1:76" x14ac:dyDescent="0.2">
      <c r="A41" s="378">
        <f>'CARGA DOCENTE'!J712</f>
        <v>0</v>
      </c>
      <c r="B41" s="372">
        <f>'CARGA DOCENTE'!$H712</f>
        <v>0</v>
      </c>
      <c r="C41" s="373" t="str">
        <f>IF(OR(B41="TC",B41="MT"),'CARGA DOCENTE'!$A712," ")</f>
        <v xml:space="preserve"> </v>
      </c>
      <c r="D41" s="374" t="str">
        <f>IF(OR(B41="TC",B41="MT"),'CARGA DOCENTE'!$B712," ")</f>
        <v xml:space="preserve"> </v>
      </c>
      <c r="E41" s="374" t="str">
        <f>IF(OR(B41="TC",B41="MT"),'CARGA DOCENTE'!$C712," ")</f>
        <v xml:space="preserve"> </v>
      </c>
      <c r="F41" s="374" t="str">
        <f>IF(OR(B41="TC",B41="MT"),'CARGA DOCENTE'!$G712," ")</f>
        <v xml:space="preserve"> </v>
      </c>
      <c r="G41" s="372">
        <f>'CARGA DOCENTE'!$H713</f>
        <v>0</v>
      </c>
      <c r="H41" s="373" t="str">
        <f>IF(OR(G41="TC",G41="MT"),'CARGA DOCENTE'!$A713," ")</f>
        <v xml:space="preserve"> </v>
      </c>
      <c r="I41" s="374" t="str">
        <f>IF(OR(G41="TC",G41="MT"),'CARGA DOCENTE'!$B713," ")</f>
        <v xml:space="preserve"> </v>
      </c>
      <c r="J41" s="374" t="str">
        <f>IF(OR(G41="TC",G41="MT"),'CARGA DOCENTE'!$C713," ")</f>
        <v xml:space="preserve"> </v>
      </c>
      <c r="K41" s="374" t="str">
        <f>IF(OR(G41="TC",G41="MT"),'CARGA DOCENTE'!$G713," ")</f>
        <v xml:space="preserve"> </v>
      </c>
      <c r="L41" s="372">
        <f>'CARGA DOCENTE'!$H714</f>
        <v>0</v>
      </c>
      <c r="M41" s="373" t="str">
        <f>IF(OR(L41="TC",L41="MT"),'CARGA DOCENTE'!$A714," ")</f>
        <v xml:space="preserve"> </v>
      </c>
      <c r="N41" s="374" t="str">
        <f>IF(OR(L41="TC",L41="MT"),'CARGA DOCENTE'!$B714," ")</f>
        <v xml:space="preserve"> </v>
      </c>
      <c r="O41" s="374" t="str">
        <f>IF(OR(L41="TC",L41="MT"),'CARGA DOCENTE'!$C714," ")</f>
        <v xml:space="preserve"> </v>
      </c>
      <c r="P41" s="374" t="str">
        <f>IF(OR(L41="TC",L41="MT"),'CARGA DOCENTE'!$G714," ")</f>
        <v xml:space="preserve"> </v>
      </c>
      <c r="Q41" s="372">
        <f>'CARGA DOCENTE'!$H715</f>
        <v>0</v>
      </c>
      <c r="R41" s="373" t="str">
        <f>IF(OR(Q41="TC",Q41="MT"),'CARGA DOCENTE'!$A715," ")</f>
        <v xml:space="preserve"> </v>
      </c>
      <c r="S41" s="374" t="str">
        <f>IF(OR(Q41="TC",Q41="MT"),'CARGA DOCENTE'!$B715," ")</f>
        <v xml:space="preserve"> </v>
      </c>
      <c r="T41" s="374" t="str">
        <f>IF(OR(Q41="TC",Q41="MT"),'CARGA DOCENTE'!$C715," ")</f>
        <v xml:space="preserve"> </v>
      </c>
      <c r="U41" s="374" t="str">
        <f>IF(OR(Q41="TC",Q41="MT"),'CARGA DOCENTE'!$G715," ")</f>
        <v xml:space="preserve"> </v>
      </c>
      <c r="V41" s="372">
        <f>'CARGA DOCENTE'!$H716</f>
        <v>0</v>
      </c>
      <c r="W41" s="373" t="str">
        <f>IF(OR(V41="TC",V41="MT"),'CARGA DOCENTE'!$A716," ")</f>
        <v xml:space="preserve"> </v>
      </c>
      <c r="X41" s="374" t="str">
        <f>IF(OR(V41="TC",V41="MT"),'CARGA DOCENTE'!$B716," ")</f>
        <v xml:space="preserve"> </v>
      </c>
      <c r="Y41" s="374" t="str">
        <f>IF(OR(V41="TC",V41="MT"),'CARGA DOCENTE'!$C716," ")</f>
        <v xml:space="preserve"> </v>
      </c>
      <c r="Z41" s="374" t="str">
        <f>IF(OR(V41="TC",V41="MT"),'CARGA DOCENTE'!$G716," ")</f>
        <v xml:space="preserve"> </v>
      </c>
      <c r="AA41" s="372">
        <f>'CARGA DOCENTE'!$H717</f>
        <v>0</v>
      </c>
      <c r="AB41" s="373" t="str">
        <f>IF(OR(AA41="TC",AA41="MT"),'CARGA DOCENTE'!$A717," ")</f>
        <v xml:space="preserve"> </v>
      </c>
      <c r="AC41" s="374" t="str">
        <f>IF(OR(AA41="TC",AA41="MT"),'CARGA DOCENTE'!$B717," ")</f>
        <v xml:space="preserve"> </v>
      </c>
      <c r="AD41" s="374" t="str">
        <f>IF(OR(AA41="TC",AA41="MT"),'CARGA DOCENTE'!$C717," ")</f>
        <v xml:space="preserve"> </v>
      </c>
      <c r="AE41" s="374" t="str">
        <f>IF(OR(AA41="TC",AA41="MT"),'CARGA DOCENTE'!$G717," ")</f>
        <v xml:space="preserve"> </v>
      </c>
      <c r="AF41" s="372">
        <f>'CARGA DOCENTE'!$H718</f>
        <v>0</v>
      </c>
      <c r="AG41" s="373" t="str">
        <f>IF(OR(AF41="TC",AF41="MT"),'CARGA DOCENTE'!$A718," ")</f>
        <v xml:space="preserve"> </v>
      </c>
      <c r="AH41" s="374" t="str">
        <f>IF(OR(AF41="TC",AF41="MT"),'CARGA DOCENTE'!$B718," ")</f>
        <v xml:space="preserve"> </v>
      </c>
      <c r="AI41" s="374" t="str">
        <f>IF(OR(AF41="TC",AF41="MT"),'CARGA DOCENTE'!$C718," ")</f>
        <v xml:space="preserve"> </v>
      </c>
      <c r="AJ41" s="374" t="str">
        <f>IF(OR(AF41="TC",AF41="MT"),'CARGA DOCENTE'!$G718," ")</f>
        <v xml:space="preserve"> </v>
      </c>
      <c r="AK41" s="372">
        <f>'CARGA DOCENTE'!$H719</f>
        <v>0</v>
      </c>
      <c r="AL41" s="373" t="str">
        <f>IF(OR(AK41="TC",AK41="MT"),'CARGA DOCENTE'!$A719," ")</f>
        <v xml:space="preserve"> </v>
      </c>
      <c r="AM41" s="374" t="str">
        <f>IF(OR(AK41="TC",AK41="MT"),'CARGA DOCENTE'!$B719," ")</f>
        <v xml:space="preserve"> </v>
      </c>
      <c r="AN41" s="374" t="str">
        <f>IF(OR(AK41="TC",AK41="MT"),'CARGA DOCENTE'!$C719," ")</f>
        <v xml:space="preserve"> </v>
      </c>
      <c r="AO41" s="374" t="str">
        <f>IF(OR(AK41="TC",AK41="MT"),'CARGA DOCENTE'!$G719," ")</f>
        <v xml:space="preserve"> </v>
      </c>
      <c r="AP41" s="372">
        <f>'CARGA DOCENTE'!$H720</f>
        <v>0</v>
      </c>
      <c r="AQ41" s="379" t="str">
        <f>IF(OR(AP41="TC",AP41="MT"),'CARGA DOCENTE'!$A720," ")</f>
        <v xml:space="preserve"> </v>
      </c>
      <c r="AR41" s="380" t="str">
        <f>IF(OR(AP41="TC",AP41="MT"),'CARGA DOCENTE'!$B720," ")</f>
        <v xml:space="preserve"> </v>
      </c>
      <c r="AS41" s="380" t="str">
        <f>IF(OR(AP41="TC",AP41="MT"),'CARGA DOCENTE'!$C720," ")</f>
        <v xml:space="preserve"> </v>
      </c>
      <c r="AT41" s="380" t="str">
        <f>IF(OR(AP41="TC",AP41="MT"),'CARGA DOCENTE'!$G720," ")</f>
        <v xml:space="preserve"> </v>
      </c>
      <c r="AU41" s="372">
        <f>'CARGA DOCENTE'!$H721</f>
        <v>0</v>
      </c>
      <c r="AV41" s="373" t="str">
        <f>IF(OR(AU41="TC",AU41="MT"),'CARGA DOCENTE'!$A721," ")</f>
        <v xml:space="preserve"> </v>
      </c>
      <c r="AW41" s="374" t="str">
        <f>IF(OR(AU41="TC",AU41="MT"),'CARGA DOCENTE'!$B721," ")</f>
        <v xml:space="preserve"> </v>
      </c>
      <c r="AX41" s="374" t="str">
        <f>IF(OR(AU41="TC",AU41="MT"),'CARGA DOCENTE'!$C721," ")</f>
        <v xml:space="preserve"> </v>
      </c>
      <c r="AY41" s="374" t="str">
        <f>IF(OR(AU41="TC",AU41="MT"),'CARGA DOCENTE'!$G721," ")</f>
        <v xml:space="preserve"> </v>
      </c>
      <c r="AZ41" s="372">
        <f>'CARGA DOCENTE'!$H722</f>
        <v>0</v>
      </c>
      <c r="BA41" s="373" t="str">
        <f>IF(OR(AZ41="TC",AZ41="MT"),'CARGA DOCENTE'!$A722," ")</f>
        <v xml:space="preserve"> </v>
      </c>
      <c r="BB41" s="374" t="str">
        <f>IF(OR(AZ41="TC",AZ41="MT"),'CARGA DOCENTE'!$B722," ")</f>
        <v xml:space="preserve"> </v>
      </c>
      <c r="BC41" s="374" t="str">
        <f>IF(OR(AZ41="TC",AZ41="MT"),'CARGA DOCENTE'!$C722," ")</f>
        <v xml:space="preserve"> </v>
      </c>
      <c r="BD41" s="374" t="str">
        <f>IF(OR(AZ41="TC",AZ41="MT"),'CARGA DOCENTE'!$G722," ")</f>
        <v xml:space="preserve"> </v>
      </c>
      <c r="BE41" s="372">
        <f>'CARGA DOCENTE'!$H723</f>
        <v>0</v>
      </c>
      <c r="BF41" s="373" t="str">
        <f>IF(OR(BE41="TC",BE41="MT"),'CARGA DOCENTE'!$A723," ")</f>
        <v xml:space="preserve"> </v>
      </c>
      <c r="BG41" s="374" t="str">
        <f>IF(OR(BE41="TC",BE41="MT"),'CARGA DOCENTE'!$B723," ")</f>
        <v xml:space="preserve"> </v>
      </c>
      <c r="BH41" s="374" t="str">
        <f>IF(OR(BE41="TC",BE41="MT"),'CARGA DOCENTE'!$C723," ")</f>
        <v xml:space="preserve"> </v>
      </c>
      <c r="BI41" s="374" t="str">
        <f>IF(OR(BE41="TC",BE41="MT"),'CARGA DOCENTE'!$G723," ")</f>
        <v xml:space="preserve"> </v>
      </c>
      <c r="BJ41" s="372">
        <f>'CARGA DOCENTE'!$H724</f>
        <v>0</v>
      </c>
      <c r="BK41" s="373" t="str">
        <f>IF(OR(BJ41="TC",BJ41="MT"),'CARGA DOCENTE'!$A724," ")</f>
        <v xml:space="preserve"> </v>
      </c>
      <c r="BL41" s="374" t="str">
        <f>IF(OR(BJ41="TC",BJ41="MT"),'CARGA DOCENTE'!$B724," ")</f>
        <v xml:space="preserve"> </v>
      </c>
      <c r="BM41" s="374" t="str">
        <f>IF(OR(BJ41="TC",BJ41="MT"),'CARGA DOCENTE'!$C724," ")</f>
        <v xml:space="preserve"> </v>
      </c>
      <c r="BN41" s="374" t="str">
        <f>IF(OR(BJ41="TC",BJ41="MT"),'CARGA DOCENTE'!$G724," ")</f>
        <v xml:space="preserve"> </v>
      </c>
      <c r="BO41" s="372">
        <f>'CARGA DOCENTE'!$H725</f>
        <v>0</v>
      </c>
      <c r="BP41" s="373" t="str">
        <f>IF(OR(BO41="TC",BO41="MT"),'CARGA DOCENTE'!$A725," ")</f>
        <v xml:space="preserve"> </v>
      </c>
      <c r="BQ41" s="374" t="str">
        <f>IF(OR(BO41="TC",BO41="MT"),'CARGA DOCENTE'!$B725," ")</f>
        <v xml:space="preserve"> </v>
      </c>
      <c r="BR41" s="374" t="str">
        <f>IF(OR(BO41="TC",BO41="MT"),'CARGA DOCENTE'!$C725," ")</f>
        <v xml:space="preserve"> </v>
      </c>
      <c r="BS41" s="374" t="str">
        <f>IF(OR(BO41="TC",BO41="MT"),'CARGA DOCENTE'!$G725," ")</f>
        <v xml:space="preserve"> </v>
      </c>
      <c r="BT41" s="372">
        <f>'CARGA DOCENTE'!$H726</f>
        <v>0</v>
      </c>
      <c r="BU41" s="373" t="str">
        <f>IF(OR(BT41="TC",BT41="MT"),'CARGA DOCENTE'!$A726," ")</f>
        <v xml:space="preserve"> </v>
      </c>
      <c r="BV41" s="374" t="str">
        <f>IF(OR(BT41="TC",BT41="MT"),'CARGA DOCENTE'!$B726," ")</f>
        <v xml:space="preserve"> </v>
      </c>
      <c r="BW41" s="374" t="str">
        <f>IF(OR(BT41="TC",BT41="MT"),'CARGA DOCENTE'!$C726," ")</f>
        <v xml:space="preserve"> </v>
      </c>
      <c r="BX41" s="374" t="str">
        <f>IF(OR(BT41="TC",BT41="MT"),'CARGA DOCENTE'!$G726," ")</f>
        <v xml:space="preserve"> </v>
      </c>
    </row>
    <row r="42" spans="1:76" x14ac:dyDescent="0.2">
      <c r="A42" s="378">
        <f>'CARGA DOCENTE'!J730</f>
        <v>0</v>
      </c>
      <c r="B42" s="372">
        <f>'CARGA DOCENTE'!$H730</f>
        <v>0</v>
      </c>
      <c r="C42" s="373" t="str">
        <f>IF(OR(B42="TC",B42="MT"),'CARGA DOCENTE'!$A730," ")</f>
        <v xml:space="preserve"> </v>
      </c>
      <c r="D42" s="374" t="str">
        <f>IF(OR(B42="TC",B42="MT"),'CARGA DOCENTE'!$B730," ")</f>
        <v xml:space="preserve"> </v>
      </c>
      <c r="E42" s="374" t="str">
        <f>IF(OR(B42="TC",B42="MT"),'CARGA DOCENTE'!$C730," ")</f>
        <v xml:space="preserve"> </v>
      </c>
      <c r="F42" s="374" t="str">
        <f>IF(OR(B42="TC",B42="MT"),'CARGA DOCENTE'!$G730," ")</f>
        <v xml:space="preserve"> </v>
      </c>
      <c r="G42" s="372">
        <f>'CARGA DOCENTE'!$H731</f>
        <v>0</v>
      </c>
      <c r="H42" s="373" t="str">
        <f>IF(OR(G42="TC",G42="MT"),'CARGA DOCENTE'!$A731," ")</f>
        <v xml:space="preserve"> </v>
      </c>
      <c r="I42" s="374" t="str">
        <f>IF(OR(G42="TC",G42="MT"),'CARGA DOCENTE'!$B731," ")</f>
        <v xml:space="preserve"> </v>
      </c>
      <c r="J42" s="374" t="str">
        <f>IF(OR(G42="TC",G42="MT"),'CARGA DOCENTE'!$C731," ")</f>
        <v xml:space="preserve"> </v>
      </c>
      <c r="K42" s="374" t="str">
        <f>IF(OR(G42="TC",G42="MT"),'CARGA DOCENTE'!$G731," ")</f>
        <v xml:space="preserve"> </v>
      </c>
      <c r="L42" s="372">
        <f>'CARGA DOCENTE'!$H732</f>
        <v>0</v>
      </c>
      <c r="M42" s="373" t="str">
        <f>IF(OR(L42="TC",L42="MT"),'CARGA DOCENTE'!$A732," ")</f>
        <v xml:space="preserve"> </v>
      </c>
      <c r="N42" s="374" t="str">
        <f>IF(OR(L42="TC",L42="MT"),'CARGA DOCENTE'!$B732," ")</f>
        <v xml:space="preserve"> </v>
      </c>
      <c r="O42" s="374" t="str">
        <f>IF(OR(L42="TC",L42="MT"),'CARGA DOCENTE'!$C732," ")</f>
        <v xml:space="preserve"> </v>
      </c>
      <c r="P42" s="374" t="str">
        <f>IF(OR(L42="TC",L42="MT"),'CARGA DOCENTE'!$G732," ")</f>
        <v xml:space="preserve"> </v>
      </c>
      <c r="Q42" s="372">
        <f>'CARGA DOCENTE'!$H733</f>
        <v>0</v>
      </c>
      <c r="R42" s="373" t="str">
        <f>IF(OR(Q42="TC",Q42="MT"),'CARGA DOCENTE'!$A733," ")</f>
        <v xml:space="preserve"> </v>
      </c>
      <c r="S42" s="374" t="str">
        <f>IF(OR(Q42="TC",Q42="MT"),'CARGA DOCENTE'!$B733," ")</f>
        <v xml:space="preserve"> </v>
      </c>
      <c r="T42" s="374" t="str">
        <f>IF(OR(Q42="TC",Q42="MT"),'CARGA DOCENTE'!$C733," ")</f>
        <v xml:space="preserve"> </v>
      </c>
      <c r="U42" s="374" t="str">
        <f>IF(OR(Q42="TC",Q42="MT"),'CARGA DOCENTE'!$G733," ")</f>
        <v xml:space="preserve"> </v>
      </c>
      <c r="V42" s="372">
        <f>'CARGA DOCENTE'!$H734</f>
        <v>0</v>
      </c>
      <c r="W42" s="373" t="str">
        <f>IF(OR(V42="TC",V42="MT"),'CARGA DOCENTE'!$A734," ")</f>
        <v xml:space="preserve"> </v>
      </c>
      <c r="X42" s="374" t="str">
        <f>IF(OR(V42="TC",V42="MT"),'CARGA DOCENTE'!$B734," ")</f>
        <v xml:space="preserve"> </v>
      </c>
      <c r="Y42" s="374" t="str">
        <f>IF(OR(V42="TC",V42="MT"),'CARGA DOCENTE'!$C734," ")</f>
        <v xml:space="preserve"> </v>
      </c>
      <c r="Z42" s="374" t="str">
        <f>IF(OR(V42="TC",V42="MT"),'CARGA DOCENTE'!$G734," ")</f>
        <v xml:space="preserve"> </v>
      </c>
      <c r="AA42" s="372">
        <f>'CARGA DOCENTE'!$H735</f>
        <v>0</v>
      </c>
      <c r="AB42" s="373" t="str">
        <f>IF(OR(AA42="TC",AA42="MT"),'CARGA DOCENTE'!$A735," ")</f>
        <v xml:space="preserve"> </v>
      </c>
      <c r="AC42" s="374" t="str">
        <f>IF(OR(AA42="TC",AA42="MT"),'CARGA DOCENTE'!$B735," ")</f>
        <v xml:space="preserve"> </v>
      </c>
      <c r="AD42" s="374" t="str">
        <f>IF(OR(AA42="TC",AA42="MT"),'CARGA DOCENTE'!$C735," ")</f>
        <v xml:space="preserve"> </v>
      </c>
      <c r="AE42" s="374" t="str">
        <f>IF(OR(AA42="TC",AA42="MT"),'CARGA DOCENTE'!$G735," ")</f>
        <v xml:space="preserve"> </v>
      </c>
      <c r="AF42" s="372">
        <f>'CARGA DOCENTE'!$H736</f>
        <v>0</v>
      </c>
      <c r="AG42" s="373" t="str">
        <f>IF(OR(AF42="TC",AF42="MT"),'CARGA DOCENTE'!$A736," ")</f>
        <v xml:space="preserve"> </v>
      </c>
      <c r="AH42" s="374" t="str">
        <f>IF(OR(AF42="TC",AF42="MT"),'CARGA DOCENTE'!$B736," ")</f>
        <v xml:space="preserve"> </v>
      </c>
      <c r="AI42" s="374" t="str">
        <f>IF(OR(AF42="TC",AF42="MT"),'CARGA DOCENTE'!$C736," ")</f>
        <v xml:space="preserve"> </v>
      </c>
      <c r="AJ42" s="374" t="str">
        <f>IF(OR(AF42="TC",AF42="MT"),'CARGA DOCENTE'!$G736," ")</f>
        <v xml:space="preserve"> </v>
      </c>
      <c r="AK42" s="372">
        <f>'CARGA DOCENTE'!$H737</f>
        <v>0</v>
      </c>
      <c r="AL42" s="373" t="str">
        <f>IF(OR(AK42="TC",AK42="MT"),'CARGA DOCENTE'!$A737," ")</f>
        <v xml:space="preserve"> </v>
      </c>
      <c r="AM42" s="374" t="str">
        <f>IF(OR(AK42="TC",AK42="MT"),'CARGA DOCENTE'!$B737," ")</f>
        <v xml:space="preserve"> </v>
      </c>
      <c r="AN42" s="374" t="str">
        <f>IF(OR(AK42="TC",AK42="MT"),'CARGA DOCENTE'!$C737," ")</f>
        <v xml:space="preserve"> </v>
      </c>
      <c r="AO42" s="374" t="str">
        <f>IF(OR(AK42="TC",AK42="MT"),'CARGA DOCENTE'!$G737," ")</f>
        <v xml:space="preserve"> </v>
      </c>
      <c r="AP42" s="372">
        <f>'CARGA DOCENTE'!$H738</f>
        <v>0</v>
      </c>
      <c r="AQ42" s="379" t="str">
        <f>IF(OR(AP42="TC",AP42="MT"),'CARGA DOCENTE'!$A738," ")</f>
        <v xml:space="preserve"> </v>
      </c>
      <c r="AR42" s="380" t="str">
        <f>IF(OR(AP42="TC",AP42="MT"),'CARGA DOCENTE'!$B738," ")</f>
        <v xml:space="preserve"> </v>
      </c>
      <c r="AS42" s="380" t="str">
        <f>IF(OR(AP42="TC",AP42="MT"),'CARGA DOCENTE'!$C738," ")</f>
        <v xml:space="preserve"> </v>
      </c>
      <c r="AT42" s="380" t="str">
        <f>IF(OR(AP42="TC",AP42="MT"),'CARGA DOCENTE'!$G738," ")</f>
        <v xml:space="preserve"> </v>
      </c>
      <c r="AU42" s="372">
        <f>'CARGA DOCENTE'!$H739</f>
        <v>0</v>
      </c>
      <c r="AV42" s="373" t="str">
        <f>IF(OR(AU42="TC",AU42="MT"),'CARGA DOCENTE'!$A739," ")</f>
        <v xml:space="preserve"> </v>
      </c>
      <c r="AW42" s="374" t="str">
        <f>IF(OR(AU42="TC",AU42="MT"),'CARGA DOCENTE'!$B739," ")</f>
        <v xml:space="preserve"> </v>
      </c>
      <c r="AX42" s="374" t="str">
        <f>IF(OR(AU42="TC",AU42="MT"),'CARGA DOCENTE'!$C739," ")</f>
        <v xml:space="preserve"> </v>
      </c>
      <c r="AY42" s="374" t="str">
        <f>IF(OR(AU42="TC",AU42="MT"),'CARGA DOCENTE'!$G739," ")</f>
        <v xml:space="preserve"> </v>
      </c>
      <c r="AZ42" s="372">
        <f>'CARGA DOCENTE'!$H740</f>
        <v>0</v>
      </c>
      <c r="BA42" s="373" t="str">
        <f>IF(OR(AZ42="TC",AZ42="MT"),'CARGA DOCENTE'!$A740," ")</f>
        <v xml:space="preserve"> </v>
      </c>
      <c r="BB42" s="374" t="str">
        <f>IF(OR(AZ42="TC",AZ42="MT"),'CARGA DOCENTE'!$B740," ")</f>
        <v xml:space="preserve"> </v>
      </c>
      <c r="BC42" s="374" t="str">
        <f>IF(OR(AZ42="TC",AZ42="MT"),'CARGA DOCENTE'!$C740," ")</f>
        <v xml:space="preserve"> </v>
      </c>
      <c r="BD42" s="374" t="str">
        <f>IF(OR(AZ42="TC",AZ42="MT"),'CARGA DOCENTE'!$G740," ")</f>
        <v xml:space="preserve"> </v>
      </c>
      <c r="BE42" s="372">
        <f>'CARGA DOCENTE'!$H741</f>
        <v>0</v>
      </c>
      <c r="BF42" s="373" t="str">
        <f>IF(OR(BE42="TC",BE42="MT"),'CARGA DOCENTE'!$A741," ")</f>
        <v xml:space="preserve"> </v>
      </c>
      <c r="BG42" s="374" t="str">
        <f>IF(OR(BE42="TC",BE42="MT"),'CARGA DOCENTE'!$B741," ")</f>
        <v xml:space="preserve"> </v>
      </c>
      <c r="BH42" s="374" t="str">
        <f>IF(OR(BE42="TC",BE42="MT"),'CARGA DOCENTE'!$C741," ")</f>
        <v xml:space="preserve"> </v>
      </c>
      <c r="BI42" s="374" t="str">
        <f>IF(OR(BE42="TC",BE42="MT"),'CARGA DOCENTE'!$G741," ")</f>
        <v xml:space="preserve"> </v>
      </c>
      <c r="BJ42" s="372">
        <f>'CARGA DOCENTE'!$H742</f>
        <v>0</v>
      </c>
      <c r="BK42" s="373" t="str">
        <f>IF(OR(BJ42="TC",BJ42="MT"),'CARGA DOCENTE'!$A742," ")</f>
        <v xml:space="preserve"> </v>
      </c>
      <c r="BL42" s="374" t="str">
        <f>IF(OR(BJ42="TC",BJ42="MT"),'CARGA DOCENTE'!$B742," ")</f>
        <v xml:space="preserve"> </v>
      </c>
      <c r="BM42" s="374" t="str">
        <f>IF(OR(BJ42="TC",BJ42="MT"),'CARGA DOCENTE'!$C742," ")</f>
        <v xml:space="preserve"> </v>
      </c>
      <c r="BN42" s="374" t="str">
        <f>IF(OR(BJ42="TC",BJ42="MT"),'CARGA DOCENTE'!$G742," ")</f>
        <v xml:space="preserve"> </v>
      </c>
      <c r="BO42" s="372">
        <f>'CARGA DOCENTE'!$H743</f>
        <v>0</v>
      </c>
      <c r="BP42" s="373" t="str">
        <f>IF(OR(BO42="TC",BO42="MT"),'CARGA DOCENTE'!$A743," ")</f>
        <v xml:space="preserve"> </v>
      </c>
      <c r="BQ42" s="374" t="str">
        <f>IF(OR(BO42="TC",BO42="MT"),'CARGA DOCENTE'!$B743," ")</f>
        <v xml:space="preserve"> </v>
      </c>
      <c r="BR42" s="374" t="str">
        <f>IF(OR(BO42="TC",BO42="MT"),'CARGA DOCENTE'!$C743," ")</f>
        <v xml:space="preserve"> </v>
      </c>
      <c r="BS42" s="374" t="str">
        <f>IF(OR(BO42="TC",BO42="MT"),'CARGA DOCENTE'!$G743," ")</f>
        <v xml:space="preserve"> </v>
      </c>
      <c r="BT42" s="372">
        <f>'CARGA DOCENTE'!$H744</f>
        <v>0</v>
      </c>
      <c r="BU42" s="373" t="str">
        <f>IF(OR(BT42="TC",BT42="MT"),'CARGA DOCENTE'!$A744," ")</f>
        <v xml:space="preserve"> </v>
      </c>
      <c r="BV42" s="374" t="str">
        <f>IF(OR(BT42="TC",BT42="MT"),'CARGA DOCENTE'!$B744," ")</f>
        <v xml:space="preserve"> </v>
      </c>
      <c r="BW42" s="374" t="str">
        <f>IF(OR(BT42="TC",BT42="MT"),'CARGA DOCENTE'!$C744," ")</f>
        <v xml:space="preserve"> </v>
      </c>
      <c r="BX42" s="374" t="str">
        <f>IF(OR(BT42="TC",BT42="MT"),'CARGA DOCENTE'!$G744," ")</f>
        <v xml:space="preserve"> </v>
      </c>
    </row>
    <row r="43" spans="1:76" x14ac:dyDescent="0.2">
      <c r="A43" s="378">
        <f>'CARGA DOCENTE'!J748</f>
        <v>0</v>
      </c>
      <c r="B43" s="372">
        <f>'CARGA DOCENTE'!$H748</f>
        <v>0</v>
      </c>
      <c r="C43" s="373" t="str">
        <f>IF(OR(B43="TC",B43="MT"),'CARGA DOCENTE'!$A748," ")</f>
        <v xml:space="preserve"> </v>
      </c>
      <c r="D43" s="374" t="str">
        <f>IF(OR(B43="TC",B43="MT"),'CARGA DOCENTE'!$B748," ")</f>
        <v xml:space="preserve"> </v>
      </c>
      <c r="E43" s="374" t="str">
        <f>IF(OR(B43="TC",B43="MT"),'CARGA DOCENTE'!$C748," ")</f>
        <v xml:space="preserve"> </v>
      </c>
      <c r="F43" s="374" t="str">
        <f>IF(OR(B43="TC",B43="MT"),'CARGA DOCENTE'!$G748," ")</f>
        <v xml:space="preserve"> </v>
      </c>
      <c r="G43" s="372">
        <f>'CARGA DOCENTE'!$H749</f>
        <v>0</v>
      </c>
      <c r="H43" s="373" t="str">
        <f>IF(OR(G43="TC",G43="MT"),'CARGA DOCENTE'!$A749," ")</f>
        <v xml:space="preserve"> </v>
      </c>
      <c r="I43" s="374" t="str">
        <f>IF(OR(G43="TC",G43="MT"),'CARGA DOCENTE'!$B749," ")</f>
        <v xml:space="preserve"> </v>
      </c>
      <c r="J43" s="374" t="str">
        <f>IF(OR(G43="TC",G43="MT"),'CARGA DOCENTE'!$C749," ")</f>
        <v xml:space="preserve"> </v>
      </c>
      <c r="K43" s="374" t="str">
        <f>IF(OR(G43="TC",G43="MT"),'CARGA DOCENTE'!$G749," ")</f>
        <v xml:space="preserve"> </v>
      </c>
      <c r="L43" s="372">
        <f>'CARGA DOCENTE'!$H750</f>
        <v>0</v>
      </c>
      <c r="M43" s="373" t="str">
        <f>IF(OR(L43="TC",L43="MT"),'CARGA DOCENTE'!$A750," ")</f>
        <v xml:space="preserve"> </v>
      </c>
      <c r="N43" s="374" t="str">
        <f>IF(OR(L43="TC",L43="MT"),'CARGA DOCENTE'!$B750," ")</f>
        <v xml:space="preserve"> </v>
      </c>
      <c r="O43" s="374" t="str">
        <f>IF(OR(L43="TC",L43="MT"),'CARGA DOCENTE'!$C750," ")</f>
        <v xml:space="preserve"> </v>
      </c>
      <c r="P43" s="374" t="str">
        <f>IF(OR(L43="TC",L43="MT"),'CARGA DOCENTE'!$G750," ")</f>
        <v xml:space="preserve"> </v>
      </c>
      <c r="Q43" s="372">
        <f>'CARGA DOCENTE'!$H751</f>
        <v>0</v>
      </c>
      <c r="R43" s="373" t="str">
        <f>IF(OR(Q43="TC",Q43="MT"),'CARGA DOCENTE'!$A751," ")</f>
        <v xml:space="preserve"> </v>
      </c>
      <c r="S43" s="374" t="str">
        <f>IF(OR(Q43="TC",Q43="MT"),'CARGA DOCENTE'!$B751," ")</f>
        <v xml:space="preserve"> </v>
      </c>
      <c r="T43" s="374" t="str">
        <f>IF(OR(Q43="TC",Q43="MT"),'CARGA DOCENTE'!$C751," ")</f>
        <v xml:space="preserve"> </v>
      </c>
      <c r="U43" s="374" t="str">
        <f>IF(OR(Q43="TC",Q43="MT"),'CARGA DOCENTE'!$G751," ")</f>
        <v xml:space="preserve"> </v>
      </c>
      <c r="V43" s="372">
        <f>'CARGA DOCENTE'!$H752</f>
        <v>0</v>
      </c>
      <c r="W43" s="373" t="str">
        <f>IF(OR(V43="TC",V43="MT"),'CARGA DOCENTE'!$A752," ")</f>
        <v xml:space="preserve"> </v>
      </c>
      <c r="X43" s="374" t="str">
        <f>IF(OR(V43="TC",V43="MT"),'CARGA DOCENTE'!$B752," ")</f>
        <v xml:space="preserve"> </v>
      </c>
      <c r="Y43" s="374" t="str">
        <f>IF(OR(V43="TC",V43="MT"),'CARGA DOCENTE'!$C752," ")</f>
        <v xml:space="preserve"> </v>
      </c>
      <c r="Z43" s="374" t="str">
        <f>IF(OR(V43="TC",V43="MT"),'CARGA DOCENTE'!$G752," ")</f>
        <v xml:space="preserve"> </v>
      </c>
      <c r="AA43" s="372">
        <f>'CARGA DOCENTE'!$H753</f>
        <v>0</v>
      </c>
      <c r="AB43" s="373" t="str">
        <f>IF(OR(AA43="TC",AA43="MT"),'CARGA DOCENTE'!$A753," ")</f>
        <v xml:space="preserve"> </v>
      </c>
      <c r="AC43" s="374" t="str">
        <f>IF(OR(AA43="TC",AA43="MT"),'CARGA DOCENTE'!$B753," ")</f>
        <v xml:space="preserve"> </v>
      </c>
      <c r="AD43" s="374" t="str">
        <f>IF(OR(AA43="TC",AA43="MT"),'CARGA DOCENTE'!$C753," ")</f>
        <v xml:space="preserve"> </v>
      </c>
      <c r="AE43" s="374" t="str">
        <f>IF(OR(AA43="TC",AA43="MT"),'CARGA DOCENTE'!$G753," ")</f>
        <v xml:space="preserve"> </v>
      </c>
      <c r="AF43" s="372">
        <f>'CARGA DOCENTE'!$H754</f>
        <v>0</v>
      </c>
      <c r="AG43" s="373" t="str">
        <f>IF(OR(AF43="TC",AF43="MT"),'CARGA DOCENTE'!$A754," ")</f>
        <v xml:space="preserve"> </v>
      </c>
      <c r="AH43" s="374" t="str">
        <f>IF(OR(AF43="TC",AF43="MT"),'CARGA DOCENTE'!$B754," ")</f>
        <v xml:space="preserve"> </v>
      </c>
      <c r="AI43" s="374" t="str">
        <f>IF(OR(AF43="TC",AF43="MT"),'CARGA DOCENTE'!$C754," ")</f>
        <v xml:space="preserve"> </v>
      </c>
      <c r="AJ43" s="374" t="str">
        <f>IF(OR(AF43="TC",AF43="MT"),'CARGA DOCENTE'!$G754," ")</f>
        <v xml:space="preserve"> </v>
      </c>
      <c r="AK43" s="372">
        <f>'CARGA DOCENTE'!$H755</f>
        <v>0</v>
      </c>
      <c r="AL43" s="373" t="str">
        <f>IF(OR(AK43="TC",AK43="MT"),'CARGA DOCENTE'!$A755," ")</f>
        <v xml:space="preserve"> </v>
      </c>
      <c r="AM43" s="374" t="str">
        <f>IF(OR(AK43="TC",AK43="MT"),'CARGA DOCENTE'!$B755," ")</f>
        <v xml:space="preserve"> </v>
      </c>
      <c r="AN43" s="374" t="str">
        <f>IF(OR(AK43="TC",AK43="MT"),'CARGA DOCENTE'!$C755," ")</f>
        <v xml:space="preserve"> </v>
      </c>
      <c r="AO43" s="374" t="str">
        <f>IF(OR(AK43="TC",AK43="MT"),'CARGA DOCENTE'!$G755," ")</f>
        <v xml:space="preserve"> </v>
      </c>
      <c r="AP43" s="372">
        <f>'CARGA DOCENTE'!$H756</f>
        <v>0</v>
      </c>
      <c r="AQ43" s="379" t="str">
        <f>IF(OR(AP43="TC",AP43="MT"),'CARGA DOCENTE'!$A756," ")</f>
        <v xml:space="preserve"> </v>
      </c>
      <c r="AR43" s="380" t="str">
        <f>IF(OR(AP43="TC",AP43="MT"),'CARGA DOCENTE'!$B756," ")</f>
        <v xml:space="preserve"> </v>
      </c>
      <c r="AS43" s="380" t="str">
        <f>IF(OR(AP43="TC",AP43="MT"),'CARGA DOCENTE'!$C756," ")</f>
        <v xml:space="preserve"> </v>
      </c>
      <c r="AT43" s="380" t="str">
        <f>IF(OR(AP43="TC",AP43="MT"),'CARGA DOCENTE'!$G756," ")</f>
        <v xml:space="preserve"> </v>
      </c>
      <c r="AU43" s="372">
        <f>'CARGA DOCENTE'!$H757</f>
        <v>0</v>
      </c>
      <c r="AV43" s="373" t="str">
        <f>IF(OR(AU43="TC",AU43="MT"),'CARGA DOCENTE'!$A757," ")</f>
        <v xml:space="preserve"> </v>
      </c>
      <c r="AW43" s="374" t="str">
        <f>IF(OR(AU43="TC",AU43="MT"),'CARGA DOCENTE'!$B757," ")</f>
        <v xml:space="preserve"> </v>
      </c>
      <c r="AX43" s="374" t="str">
        <f>IF(OR(AU43="TC",AU43="MT"),'CARGA DOCENTE'!$C757," ")</f>
        <v xml:space="preserve"> </v>
      </c>
      <c r="AY43" s="374" t="str">
        <f>IF(OR(AU43="TC",AU43="MT"),'CARGA DOCENTE'!$G757," ")</f>
        <v xml:space="preserve"> </v>
      </c>
      <c r="AZ43" s="372">
        <f>'CARGA DOCENTE'!$H758</f>
        <v>0</v>
      </c>
      <c r="BA43" s="373" t="str">
        <f>IF(OR(AZ43="TC",AZ43="MT"),'CARGA DOCENTE'!$A758," ")</f>
        <v xml:space="preserve"> </v>
      </c>
      <c r="BB43" s="374" t="str">
        <f>IF(OR(AZ43="TC",AZ43="MT"),'CARGA DOCENTE'!$B758," ")</f>
        <v xml:space="preserve"> </v>
      </c>
      <c r="BC43" s="374" t="str">
        <f>IF(OR(AZ43="TC",AZ43="MT"),'CARGA DOCENTE'!$C758," ")</f>
        <v xml:space="preserve"> </v>
      </c>
      <c r="BD43" s="374" t="str">
        <f>IF(OR(AZ43="TC",AZ43="MT"),'CARGA DOCENTE'!$G758," ")</f>
        <v xml:space="preserve"> </v>
      </c>
      <c r="BE43" s="372">
        <f>'CARGA DOCENTE'!$H759</f>
        <v>0</v>
      </c>
      <c r="BF43" s="373" t="str">
        <f>IF(OR(BE43="TC",BE43="MT"),'CARGA DOCENTE'!$A759," ")</f>
        <v xml:space="preserve"> </v>
      </c>
      <c r="BG43" s="374" t="str">
        <f>IF(OR(BE43="TC",BE43="MT"),'CARGA DOCENTE'!$B759," ")</f>
        <v xml:space="preserve"> </v>
      </c>
      <c r="BH43" s="374" t="str">
        <f>IF(OR(BE43="TC",BE43="MT"),'CARGA DOCENTE'!$C759," ")</f>
        <v xml:space="preserve"> </v>
      </c>
      <c r="BI43" s="374" t="str">
        <f>IF(OR(BE43="TC",BE43="MT"),'CARGA DOCENTE'!$G759," ")</f>
        <v xml:space="preserve"> </v>
      </c>
      <c r="BJ43" s="372">
        <f>'CARGA DOCENTE'!$H760</f>
        <v>0</v>
      </c>
      <c r="BK43" s="373" t="str">
        <f>IF(OR(BJ43="TC",BJ43="MT"),'CARGA DOCENTE'!$A760," ")</f>
        <v xml:space="preserve"> </v>
      </c>
      <c r="BL43" s="374" t="str">
        <f>IF(OR(BJ43="TC",BJ43="MT"),'CARGA DOCENTE'!$B760," ")</f>
        <v xml:space="preserve"> </v>
      </c>
      <c r="BM43" s="374" t="str">
        <f>IF(OR(BJ43="TC",BJ43="MT"),'CARGA DOCENTE'!$C760," ")</f>
        <v xml:space="preserve"> </v>
      </c>
      <c r="BN43" s="374" t="str">
        <f>IF(OR(BJ43="TC",BJ43="MT"),'CARGA DOCENTE'!$G760," ")</f>
        <v xml:space="preserve"> </v>
      </c>
      <c r="BO43" s="372">
        <f>'CARGA DOCENTE'!$H761</f>
        <v>0</v>
      </c>
      <c r="BP43" s="373" t="str">
        <f>IF(OR(BO43="TC",BO43="MT"),'CARGA DOCENTE'!$A761," ")</f>
        <v xml:space="preserve"> </v>
      </c>
      <c r="BQ43" s="374" t="str">
        <f>IF(OR(BO43="TC",BO43="MT"),'CARGA DOCENTE'!$B761," ")</f>
        <v xml:space="preserve"> </v>
      </c>
      <c r="BR43" s="374" t="str">
        <f>IF(OR(BO43="TC",BO43="MT"),'CARGA DOCENTE'!$C761," ")</f>
        <v xml:space="preserve"> </v>
      </c>
      <c r="BS43" s="374" t="str">
        <f>IF(OR(BO43="TC",BO43="MT"),'CARGA DOCENTE'!$G761," ")</f>
        <v xml:space="preserve"> </v>
      </c>
      <c r="BT43" s="372">
        <f>'CARGA DOCENTE'!$H762</f>
        <v>0</v>
      </c>
      <c r="BU43" s="373" t="str">
        <f>IF(OR(BT43="TC",BT43="MT"),'CARGA DOCENTE'!$A762," ")</f>
        <v xml:space="preserve"> </v>
      </c>
      <c r="BV43" s="374" t="str">
        <f>IF(OR(BT43="TC",BT43="MT"),'CARGA DOCENTE'!$B762," ")</f>
        <v xml:space="preserve"> </v>
      </c>
      <c r="BW43" s="374" t="str">
        <f>IF(OR(BT43="TC",BT43="MT"),'CARGA DOCENTE'!$C762," ")</f>
        <v xml:space="preserve"> </v>
      </c>
      <c r="BX43" s="374" t="str">
        <f>IF(OR(BT43="TC",BT43="MT"),'CARGA DOCENTE'!$G762," ")</f>
        <v xml:space="preserve"> </v>
      </c>
    </row>
    <row r="44" spans="1:76" x14ac:dyDescent="0.2">
      <c r="A44" s="378">
        <f>'CARGA DOCENTE'!J766</f>
        <v>0</v>
      </c>
      <c r="B44" s="372">
        <f>'CARGA DOCENTE'!$H766</f>
        <v>0</v>
      </c>
      <c r="C44" s="373" t="str">
        <f>IF(OR(B44="TC",B44="MT"),'CARGA DOCENTE'!$A766," ")</f>
        <v xml:space="preserve"> </v>
      </c>
      <c r="D44" s="374" t="str">
        <f>IF(OR(B44="TC",B44="MT"),'CARGA DOCENTE'!$B766," ")</f>
        <v xml:space="preserve"> </v>
      </c>
      <c r="E44" s="374" t="str">
        <f>IF(OR(B44="TC",B44="MT"),'CARGA DOCENTE'!$C766," ")</f>
        <v xml:space="preserve"> </v>
      </c>
      <c r="F44" s="374" t="str">
        <f>IF(OR(B44="TC",B44="MT"),'CARGA DOCENTE'!$G766," ")</f>
        <v xml:space="preserve"> </v>
      </c>
      <c r="G44" s="372">
        <f>'CARGA DOCENTE'!$H767</f>
        <v>0</v>
      </c>
      <c r="H44" s="373" t="str">
        <f>IF(OR(G44="TC",G44="MT"),'CARGA DOCENTE'!$A767," ")</f>
        <v xml:space="preserve"> </v>
      </c>
      <c r="I44" s="374" t="str">
        <f>IF(OR(G44="TC",G44="MT"),'CARGA DOCENTE'!$B767," ")</f>
        <v xml:space="preserve"> </v>
      </c>
      <c r="J44" s="374" t="str">
        <f>IF(OR(G44="TC",G44="MT"),'CARGA DOCENTE'!$C767," ")</f>
        <v xml:space="preserve"> </v>
      </c>
      <c r="K44" s="374" t="str">
        <f>IF(OR(G44="TC",G44="MT"),'CARGA DOCENTE'!$G767," ")</f>
        <v xml:space="preserve"> </v>
      </c>
      <c r="L44" s="372">
        <f>'CARGA DOCENTE'!$H768</f>
        <v>0</v>
      </c>
      <c r="M44" s="373" t="str">
        <f>IF(OR(L44="TC",L44="MT"),'CARGA DOCENTE'!$A768," ")</f>
        <v xml:space="preserve"> </v>
      </c>
      <c r="N44" s="374" t="str">
        <f>IF(OR(L44="TC",L44="MT"),'CARGA DOCENTE'!$B768," ")</f>
        <v xml:space="preserve"> </v>
      </c>
      <c r="O44" s="374" t="str">
        <f>IF(OR(L44="TC",L44="MT"),'CARGA DOCENTE'!$C768," ")</f>
        <v xml:space="preserve"> </v>
      </c>
      <c r="P44" s="374" t="str">
        <f>IF(OR(L44="TC",L44="MT"),'CARGA DOCENTE'!$G768," ")</f>
        <v xml:space="preserve"> </v>
      </c>
      <c r="Q44" s="372">
        <f>'CARGA DOCENTE'!$H769</f>
        <v>0</v>
      </c>
      <c r="R44" s="373" t="str">
        <f>IF(OR(Q44="TC",Q44="MT"),'CARGA DOCENTE'!$A769," ")</f>
        <v xml:space="preserve"> </v>
      </c>
      <c r="S44" s="374" t="str">
        <f>IF(OR(Q44="TC",Q44="MT"),'CARGA DOCENTE'!$B769," ")</f>
        <v xml:space="preserve"> </v>
      </c>
      <c r="T44" s="374" t="str">
        <f>IF(OR(Q44="TC",Q44="MT"),'CARGA DOCENTE'!$C769," ")</f>
        <v xml:space="preserve"> </v>
      </c>
      <c r="U44" s="374" t="str">
        <f>IF(OR(Q44="TC",Q44="MT"),'CARGA DOCENTE'!$G769," ")</f>
        <v xml:space="preserve"> </v>
      </c>
      <c r="V44" s="372">
        <f>'CARGA DOCENTE'!$H770</f>
        <v>0</v>
      </c>
      <c r="W44" s="373" t="str">
        <f>IF(OR(V44="TC",V44="MT"),'CARGA DOCENTE'!$A770," ")</f>
        <v xml:space="preserve"> </v>
      </c>
      <c r="X44" s="374" t="str">
        <f>IF(OR(V44="TC",V44="MT"),'CARGA DOCENTE'!$B770," ")</f>
        <v xml:space="preserve"> </v>
      </c>
      <c r="Y44" s="374" t="str">
        <f>IF(OR(V44="TC",V44="MT"),'CARGA DOCENTE'!$C770," ")</f>
        <v xml:space="preserve"> </v>
      </c>
      <c r="Z44" s="374" t="str">
        <f>IF(OR(V44="TC",V44="MT"),'CARGA DOCENTE'!$G770," ")</f>
        <v xml:space="preserve"> </v>
      </c>
      <c r="AA44" s="372">
        <f>'CARGA DOCENTE'!$H771</f>
        <v>0</v>
      </c>
      <c r="AB44" s="373" t="str">
        <f>IF(OR(AA44="TC",AA44="MT"),'CARGA DOCENTE'!$A771," ")</f>
        <v xml:space="preserve"> </v>
      </c>
      <c r="AC44" s="374" t="str">
        <f>IF(OR(AA44="TC",AA44="MT"),'CARGA DOCENTE'!$B771," ")</f>
        <v xml:space="preserve"> </v>
      </c>
      <c r="AD44" s="374" t="str">
        <f>IF(OR(AA44="TC",AA44="MT"),'CARGA DOCENTE'!$C771," ")</f>
        <v xml:space="preserve"> </v>
      </c>
      <c r="AE44" s="374" t="str">
        <f>IF(OR(AA44="TC",AA44="MT"),'CARGA DOCENTE'!$G771," ")</f>
        <v xml:space="preserve"> </v>
      </c>
      <c r="AF44" s="372">
        <f>'CARGA DOCENTE'!$H772</f>
        <v>0</v>
      </c>
      <c r="AG44" s="373" t="str">
        <f>IF(OR(AF44="TC",AF44="MT"),'CARGA DOCENTE'!$A772," ")</f>
        <v xml:space="preserve"> </v>
      </c>
      <c r="AH44" s="374" t="str">
        <f>IF(OR(AF44="TC",AF44="MT"),'CARGA DOCENTE'!$B772," ")</f>
        <v xml:space="preserve"> </v>
      </c>
      <c r="AI44" s="374" t="str">
        <f>IF(OR(AF44="TC",AF44="MT"),'CARGA DOCENTE'!$C772," ")</f>
        <v xml:space="preserve"> </v>
      </c>
      <c r="AJ44" s="374" t="str">
        <f>IF(OR(AF44="TC",AF44="MT"),'CARGA DOCENTE'!$G772," ")</f>
        <v xml:space="preserve"> </v>
      </c>
      <c r="AK44" s="372">
        <f>'CARGA DOCENTE'!$H773</f>
        <v>0</v>
      </c>
      <c r="AL44" s="373" t="str">
        <f>IF(OR(AK44="TC",AK44="MT"),'CARGA DOCENTE'!$A773," ")</f>
        <v xml:space="preserve"> </v>
      </c>
      <c r="AM44" s="374" t="str">
        <f>IF(OR(AK44="TC",AK44="MT"),'CARGA DOCENTE'!$B773," ")</f>
        <v xml:space="preserve"> </v>
      </c>
      <c r="AN44" s="374" t="str">
        <f>IF(OR(AK44="TC",AK44="MT"),'CARGA DOCENTE'!$C773," ")</f>
        <v xml:space="preserve"> </v>
      </c>
      <c r="AO44" s="374" t="str">
        <f>IF(OR(AK44="TC",AK44="MT"),'CARGA DOCENTE'!$G773," ")</f>
        <v xml:space="preserve"> </v>
      </c>
      <c r="AP44" s="372">
        <f>'CARGA DOCENTE'!$H774</f>
        <v>0</v>
      </c>
      <c r="AQ44" s="379" t="str">
        <f>IF(OR(AP44="TC",AP44="MT"),'CARGA DOCENTE'!$A774," ")</f>
        <v xml:space="preserve"> </v>
      </c>
      <c r="AR44" s="380" t="str">
        <f>IF(OR(AP44="TC",AP44="MT"),'CARGA DOCENTE'!$B774," ")</f>
        <v xml:space="preserve"> </v>
      </c>
      <c r="AS44" s="380" t="str">
        <f>IF(OR(AP44="TC",AP44="MT"),'CARGA DOCENTE'!$C774," ")</f>
        <v xml:space="preserve"> </v>
      </c>
      <c r="AT44" s="380" t="str">
        <f>IF(OR(AP44="TC",AP44="MT"),'CARGA DOCENTE'!$G774," ")</f>
        <v xml:space="preserve"> </v>
      </c>
      <c r="AU44" s="372">
        <f>'CARGA DOCENTE'!$H775</f>
        <v>0</v>
      </c>
      <c r="AV44" s="373" t="str">
        <f>IF(OR(AU44="TC",AU44="MT"),'CARGA DOCENTE'!$A775," ")</f>
        <v xml:space="preserve"> </v>
      </c>
      <c r="AW44" s="374" t="str">
        <f>IF(OR(AU44="TC",AU44="MT"),'CARGA DOCENTE'!$B775," ")</f>
        <v xml:space="preserve"> </v>
      </c>
      <c r="AX44" s="374" t="str">
        <f>IF(OR(AU44="TC",AU44="MT"),'CARGA DOCENTE'!$C775," ")</f>
        <v xml:space="preserve"> </v>
      </c>
      <c r="AY44" s="374" t="str">
        <f>IF(OR(AU44="TC",AU44="MT"),'CARGA DOCENTE'!$G775," ")</f>
        <v xml:space="preserve"> </v>
      </c>
      <c r="AZ44" s="372">
        <f>'CARGA DOCENTE'!$H776</f>
        <v>0</v>
      </c>
      <c r="BA44" s="373" t="str">
        <f>IF(OR(AZ44="TC",AZ44="MT"),'CARGA DOCENTE'!$A776," ")</f>
        <v xml:space="preserve"> </v>
      </c>
      <c r="BB44" s="374" t="str">
        <f>IF(OR(AZ44="TC",AZ44="MT"),'CARGA DOCENTE'!$B776," ")</f>
        <v xml:space="preserve"> </v>
      </c>
      <c r="BC44" s="374" t="str">
        <f>IF(OR(AZ44="TC",AZ44="MT"),'CARGA DOCENTE'!$C776," ")</f>
        <v xml:space="preserve"> </v>
      </c>
      <c r="BD44" s="374" t="str">
        <f>IF(OR(AZ44="TC",AZ44="MT"),'CARGA DOCENTE'!$G776," ")</f>
        <v xml:space="preserve"> </v>
      </c>
      <c r="BE44" s="372">
        <f>'CARGA DOCENTE'!$H777</f>
        <v>0</v>
      </c>
      <c r="BF44" s="373" t="str">
        <f>IF(OR(BE44="TC",BE44="MT"),'CARGA DOCENTE'!$A777," ")</f>
        <v xml:space="preserve"> </v>
      </c>
      <c r="BG44" s="374" t="str">
        <f>IF(OR(BE44="TC",BE44="MT"),'CARGA DOCENTE'!$B777," ")</f>
        <v xml:space="preserve"> </v>
      </c>
      <c r="BH44" s="374" t="str">
        <f>IF(OR(BE44="TC",BE44="MT"),'CARGA DOCENTE'!$C777," ")</f>
        <v xml:space="preserve"> </v>
      </c>
      <c r="BI44" s="374" t="str">
        <f>IF(OR(BE44="TC",BE44="MT"),'CARGA DOCENTE'!$G777," ")</f>
        <v xml:space="preserve"> </v>
      </c>
      <c r="BJ44" s="372">
        <f>'CARGA DOCENTE'!$H778</f>
        <v>0</v>
      </c>
      <c r="BK44" s="373" t="str">
        <f>IF(OR(BJ44="TC",BJ44="MT"),'CARGA DOCENTE'!$A778," ")</f>
        <v xml:space="preserve"> </v>
      </c>
      <c r="BL44" s="374" t="str">
        <f>IF(OR(BJ44="TC",BJ44="MT"),'CARGA DOCENTE'!$B778," ")</f>
        <v xml:space="preserve"> </v>
      </c>
      <c r="BM44" s="374" t="str">
        <f>IF(OR(BJ44="TC",BJ44="MT"),'CARGA DOCENTE'!$C778," ")</f>
        <v xml:space="preserve"> </v>
      </c>
      <c r="BN44" s="374" t="str">
        <f>IF(OR(BJ44="TC",BJ44="MT"),'CARGA DOCENTE'!$G778," ")</f>
        <v xml:space="preserve"> </v>
      </c>
      <c r="BO44" s="372">
        <f>'CARGA DOCENTE'!$H779</f>
        <v>0</v>
      </c>
      <c r="BP44" s="373" t="str">
        <f>IF(OR(BO44="TC",BO44="MT"),'CARGA DOCENTE'!$A779," ")</f>
        <v xml:space="preserve"> </v>
      </c>
      <c r="BQ44" s="374" t="str">
        <f>IF(OR(BO44="TC",BO44="MT"),'CARGA DOCENTE'!$B779," ")</f>
        <v xml:space="preserve"> </v>
      </c>
      <c r="BR44" s="374" t="str">
        <f>IF(OR(BO44="TC",BO44="MT"),'CARGA DOCENTE'!$C779," ")</f>
        <v xml:space="preserve"> </v>
      </c>
      <c r="BS44" s="374" t="str">
        <f>IF(OR(BO44="TC",BO44="MT"),'CARGA DOCENTE'!$G779," ")</f>
        <v xml:space="preserve"> </v>
      </c>
      <c r="BT44" s="372">
        <f>'CARGA DOCENTE'!$H780</f>
        <v>0</v>
      </c>
      <c r="BU44" s="373" t="str">
        <f>IF(OR(BT44="TC",BT44="MT"),'CARGA DOCENTE'!$A780," ")</f>
        <v xml:space="preserve"> </v>
      </c>
      <c r="BV44" s="374" t="str">
        <f>IF(OR(BT44="TC",BT44="MT"),'CARGA DOCENTE'!$B780," ")</f>
        <v xml:space="preserve"> </v>
      </c>
      <c r="BW44" s="374" t="str">
        <f>IF(OR(BT44="TC",BT44="MT"),'CARGA DOCENTE'!$C780," ")</f>
        <v xml:space="preserve"> </v>
      </c>
      <c r="BX44" s="374" t="str">
        <f>IF(OR(BT44="TC",BT44="MT"),'CARGA DOCENTE'!$G780," ")</f>
        <v xml:space="preserve"> </v>
      </c>
    </row>
    <row r="45" spans="1:76" x14ac:dyDescent="0.2">
      <c r="A45" s="378">
        <f>'CARGA DOCENTE'!J784</f>
        <v>0</v>
      </c>
      <c r="B45" s="372">
        <f>'CARGA DOCENTE'!$H784</f>
        <v>0</v>
      </c>
      <c r="C45" s="373" t="str">
        <f>IF(OR(B45="TC",B45="MT"),'CARGA DOCENTE'!$A784," ")</f>
        <v xml:space="preserve"> </v>
      </c>
      <c r="D45" s="374" t="str">
        <f>IF(OR(B45="TC",B45="MT"),'CARGA DOCENTE'!$B784," ")</f>
        <v xml:space="preserve"> </v>
      </c>
      <c r="E45" s="374" t="str">
        <f>IF(OR(B45="TC",B45="MT"),'CARGA DOCENTE'!$C784," ")</f>
        <v xml:space="preserve"> </v>
      </c>
      <c r="F45" s="374" t="str">
        <f>IF(OR(B45="TC",B45="MT"),'CARGA DOCENTE'!$G784," ")</f>
        <v xml:space="preserve"> </v>
      </c>
      <c r="G45" s="372">
        <f>'CARGA DOCENTE'!$H785</f>
        <v>0</v>
      </c>
      <c r="H45" s="373" t="str">
        <f>IF(OR(G45="TC",G45="MT"),'CARGA DOCENTE'!$A785," ")</f>
        <v xml:space="preserve"> </v>
      </c>
      <c r="I45" s="374" t="str">
        <f>IF(OR(G45="TC",G45="MT"),'CARGA DOCENTE'!$B785," ")</f>
        <v xml:space="preserve"> </v>
      </c>
      <c r="J45" s="374" t="str">
        <f>IF(OR(G45="TC",G45="MT"),'CARGA DOCENTE'!$C785," ")</f>
        <v xml:space="preserve"> </v>
      </c>
      <c r="K45" s="374" t="str">
        <f>IF(OR(G45="TC",G45="MT"),'CARGA DOCENTE'!$G785," ")</f>
        <v xml:space="preserve"> </v>
      </c>
      <c r="L45" s="372">
        <f>'CARGA DOCENTE'!$H786</f>
        <v>0</v>
      </c>
      <c r="M45" s="373" t="str">
        <f>IF(OR(L45="TC",L45="MT"),'CARGA DOCENTE'!$A786," ")</f>
        <v xml:space="preserve"> </v>
      </c>
      <c r="N45" s="374" t="str">
        <f>IF(OR(L45="TC",L45="MT"),'CARGA DOCENTE'!$B786," ")</f>
        <v xml:space="preserve"> </v>
      </c>
      <c r="O45" s="374" t="str">
        <f>IF(OR(L45="TC",L45="MT"),'CARGA DOCENTE'!$C786," ")</f>
        <v xml:space="preserve"> </v>
      </c>
      <c r="P45" s="374" t="str">
        <f>IF(OR(L45="TC",L45="MT"),'CARGA DOCENTE'!$G786," ")</f>
        <v xml:space="preserve"> </v>
      </c>
      <c r="Q45" s="372">
        <f>'CARGA DOCENTE'!$H787</f>
        <v>0</v>
      </c>
      <c r="R45" s="373" t="str">
        <f>IF(OR(Q45="TC",Q45="MT"),'CARGA DOCENTE'!$A787," ")</f>
        <v xml:space="preserve"> </v>
      </c>
      <c r="S45" s="374" t="str">
        <f>IF(OR(Q45="TC",Q45="MT"),'CARGA DOCENTE'!$B787," ")</f>
        <v xml:space="preserve"> </v>
      </c>
      <c r="T45" s="374" t="str">
        <f>IF(OR(Q45="TC",Q45="MT"),'CARGA DOCENTE'!$C787," ")</f>
        <v xml:space="preserve"> </v>
      </c>
      <c r="U45" s="374" t="str">
        <f>IF(OR(Q45="TC",Q45="MT"),'CARGA DOCENTE'!$G787," ")</f>
        <v xml:space="preserve"> </v>
      </c>
      <c r="V45" s="372">
        <f>'CARGA DOCENTE'!$H788</f>
        <v>0</v>
      </c>
      <c r="W45" s="373" t="str">
        <f>IF(OR(V45="TC",V45="MT"),'CARGA DOCENTE'!$A788," ")</f>
        <v xml:space="preserve"> </v>
      </c>
      <c r="X45" s="374" t="str">
        <f>IF(OR(V45="TC",V45="MT"),'CARGA DOCENTE'!$B788," ")</f>
        <v xml:space="preserve"> </v>
      </c>
      <c r="Y45" s="374" t="str">
        <f>IF(OR(V45="TC",V45="MT"),'CARGA DOCENTE'!$C788," ")</f>
        <v xml:space="preserve"> </v>
      </c>
      <c r="Z45" s="374" t="str">
        <f>IF(OR(V45="TC",V45="MT"),'CARGA DOCENTE'!$G788," ")</f>
        <v xml:space="preserve"> </v>
      </c>
      <c r="AA45" s="372">
        <f>'CARGA DOCENTE'!$H789</f>
        <v>0</v>
      </c>
      <c r="AB45" s="373" t="str">
        <f>IF(OR(AA45="TC",AA45="MT"),'CARGA DOCENTE'!$A789," ")</f>
        <v xml:space="preserve"> </v>
      </c>
      <c r="AC45" s="374" t="str">
        <f>IF(OR(AA45="TC",AA45="MT"),'CARGA DOCENTE'!$B789," ")</f>
        <v xml:space="preserve"> </v>
      </c>
      <c r="AD45" s="374" t="str">
        <f>IF(OR(AA45="TC",AA45="MT"),'CARGA DOCENTE'!$C789," ")</f>
        <v xml:space="preserve"> </v>
      </c>
      <c r="AE45" s="374" t="str">
        <f>IF(OR(AA45="TC",AA45="MT"),'CARGA DOCENTE'!$G789," ")</f>
        <v xml:space="preserve"> </v>
      </c>
      <c r="AF45" s="372">
        <f>'CARGA DOCENTE'!$H790</f>
        <v>0</v>
      </c>
      <c r="AG45" s="373" t="str">
        <f>IF(OR(AF45="TC",AF45="MT"),'CARGA DOCENTE'!$A790," ")</f>
        <v xml:space="preserve"> </v>
      </c>
      <c r="AH45" s="374" t="str">
        <f>IF(OR(AF45="TC",AF45="MT"),'CARGA DOCENTE'!$B790," ")</f>
        <v xml:space="preserve"> </v>
      </c>
      <c r="AI45" s="374" t="str">
        <f>IF(OR(AF45="TC",AF45="MT"),'CARGA DOCENTE'!$C790," ")</f>
        <v xml:space="preserve"> </v>
      </c>
      <c r="AJ45" s="374" t="str">
        <f>IF(OR(AF45="TC",AF45="MT"),'CARGA DOCENTE'!$G790," ")</f>
        <v xml:space="preserve"> </v>
      </c>
      <c r="AK45" s="372">
        <f>'CARGA DOCENTE'!$H791</f>
        <v>0</v>
      </c>
      <c r="AL45" s="373" t="str">
        <f>IF(OR(AK45="TC",AK45="MT"),'CARGA DOCENTE'!$A791," ")</f>
        <v xml:space="preserve"> </v>
      </c>
      <c r="AM45" s="374" t="str">
        <f>IF(OR(AK45="TC",AK45="MT"),'CARGA DOCENTE'!$B791," ")</f>
        <v xml:space="preserve"> </v>
      </c>
      <c r="AN45" s="374" t="str">
        <f>IF(OR(AK45="TC",AK45="MT"),'CARGA DOCENTE'!$C791," ")</f>
        <v xml:space="preserve"> </v>
      </c>
      <c r="AO45" s="374" t="str">
        <f>IF(OR(AK45="TC",AK45="MT"),'CARGA DOCENTE'!$G791," ")</f>
        <v xml:space="preserve"> </v>
      </c>
      <c r="AP45" s="372">
        <f>'CARGA DOCENTE'!$H792</f>
        <v>0</v>
      </c>
      <c r="AQ45" s="379" t="str">
        <f>IF(OR(AP45="TC",AP45="MT"),'CARGA DOCENTE'!$A792," ")</f>
        <v xml:space="preserve"> </v>
      </c>
      <c r="AR45" s="380" t="str">
        <f>IF(OR(AP45="TC",AP45="MT"),'CARGA DOCENTE'!$B792," ")</f>
        <v xml:space="preserve"> </v>
      </c>
      <c r="AS45" s="380" t="str">
        <f>IF(OR(AP45="TC",AP45="MT"),'CARGA DOCENTE'!$C792," ")</f>
        <v xml:space="preserve"> </v>
      </c>
      <c r="AT45" s="380" t="str">
        <f>IF(OR(AP45="TC",AP45="MT"),'CARGA DOCENTE'!$G792," ")</f>
        <v xml:space="preserve"> </v>
      </c>
      <c r="AU45" s="372">
        <f>'CARGA DOCENTE'!$H793</f>
        <v>0</v>
      </c>
      <c r="AV45" s="373" t="str">
        <f>IF(OR(AU45="TC",AU45="MT"),'CARGA DOCENTE'!$A793," ")</f>
        <v xml:space="preserve"> </v>
      </c>
      <c r="AW45" s="374" t="str">
        <f>IF(OR(AU45="TC",AU45="MT"),'CARGA DOCENTE'!$B793," ")</f>
        <v xml:space="preserve"> </v>
      </c>
      <c r="AX45" s="374" t="str">
        <f>IF(OR(AU45="TC",AU45="MT"),'CARGA DOCENTE'!$C793," ")</f>
        <v xml:space="preserve"> </v>
      </c>
      <c r="AY45" s="374" t="str">
        <f>IF(OR(AU45="TC",AU45="MT"),'CARGA DOCENTE'!$G793," ")</f>
        <v xml:space="preserve"> </v>
      </c>
      <c r="AZ45" s="372">
        <f>'CARGA DOCENTE'!$H794</f>
        <v>0</v>
      </c>
      <c r="BA45" s="373" t="str">
        <f>IF(OR(AZ45="TC",AZ45="MT"),'CARGA DOCENTE'!$A794," ")</f>
        <v xml:space="preserve"> </v>
      </c>
      <c r="BB45" s="374" t="str">
        <f>IF(OR(AZ45="TC",AZ45="MT"),'CARGA DOCENTE'!$B794," ")</f>
        <v xml:space="preserve"> </v>
      </c>
      <c r="BC45" s="374" t="str">
        <f>IF(OR(AZ45="TC",AZ45="MT"),'CARGA DOCENTE'!$C794," ")</f>
        <v xml:space="preserve"> </v>
      </c>
      <c r="BD45" s="374" t="str">
        <f>IF(OR(AZ45="TC",AZ45="MT"),'CARGA DOCENTE'!$G794," ")</f>
        <v xml:space="preserve"> </v>
      </c>
      <c r="BE45" s="372">
        <f>'CARGA DOCENTE'!$H795</f>
        <v>0</v>
      </c>
      <c r="BF45" s="373" t="str">
        <f>IF(OR(BE45="TC",BE45="MT"),'CARGA DOCENTE'!$A795," ")</f>
        <v xml:space="preserve"> </v>
      </c>
      <c r="BG45" s="374" t="str">
        <f>IF(OR(BE45="TC",BE45="MT"),'CARGA DOCENTE'!$B795," ")</f>
        <v xml:space="preserve"> </v>
      </c>
      <c r="BH45" s="374" t="str">
        <f>IF(OR(BE45="TC",BE45="MT"),'CARGA DOCENTE'!$C795," ")</f>
        <v xml:space="preserve"> </v>
      </c>
      <c r="BI45" s="374" t="str">
        <f>IF(OR(BE45="TC",BE45="MT"),'CARGA DOCENTE'!$G795," ")</f>
        <v xml:space="preserve"> </v>
      </c>
      <c r="BJ45" s="372">
        <f>'CARGA DOCENTE'!$H796</f>
        <v>0</v>
      </c>
      <c r="BK45" s="373" t="str">
        <f>IF(OR(BJ45="TC",BJ45="MT"),'CARGA DOCENTE'!$A796," ")</f>
        <v xml:space="preserve"> </v>
      </c>
      <c r="BL45" s="374" t="str">
        <f>IF(OR(BJ45="TC",BJ45="MT"),'CARGA DOCENTE'!$B796," ")</f>
        <v xml:space="preserve"> </v>
      </c>
      <c r="BM45" s="374" t="str">
        <f>IF(OR(BJ45="TC",BJ45="MT"),'CARGA DOCENTE'!$C796," ")</f>
        <v xml:space="preserve"> </v>
      </c>
      <c r="BN45" s="374" t="str">
        <f>IF(OR(BJ45="TC",BJ45="MT"),'CARGA DOCENTE'!$G796," ")</f>
        <v xml:space="preserve"> </v>
      </c>
      <c r="BO45" s="372">
        <f>'CARGA DOCENTE'!$H797</f>
        <v>0</v>
      </c>
      <c r="BP45" s="373" t="str">
        <f>IF(OR(BO45="TC",BO45="MT"),'CARGA DOCENTE'!$A797," ")</f>
        <v xml:space="preserve"> </v>
      </c>
      <c r="BQ45" s="374" t="str">
        <f>IF(OR(BO45="TC",BO45="MT"),'CARGA DOCENTE'!$B797," ")</f>
        <v xml:space="preserve"> </v>
      </c>
      <c r="BR45" s="374" t="str">
        <f>IF(OR(BO45="TC",BO45="MT"),'CARGA DOCENTE'!$C797," ")</f>
        <v xml:space="preserve"> </v>
      </c>
      <c r="BS45" s="374" t="str">
        <f>IF(OR(BO45="TC",BO45="MT"),'CARGA DOCENTE'!$G797," ")</f>
        <v xml:space="preserve"> </v>
      </c>
      <c r="BT45" s="372">
        <f>'CARGA DOCENTE'!$H798</f>
        <v>0</v>
      </c>
      <c r="BU45" s="373" t="str">
        <f>IF(OR(BT45="TC",BT45="MT"),'CARGA DOCENTE'!$A798," ")</f>
        <v xml:space="preserve"> </v>
      </c>
      <c r="BV45" s="374" t="str">
        <f>IF(OR(BT45="TC",BT45="MT"),'CARGA DOCENTE'!$B798," ")</f>
        <v xml:space="preserve"> </v>
      </c>
      <c r="BW45" s="374" t="str">
        <f>IF(OR(BT45="TC",BT45="MT"),'CARGA DOCENTE'!$C798," ")</f>
        <v xml:space="preserve"> </v>
      </c>
      <c r="BX45" s="374" t="str">
        <f>IF(OR(BT45="TC",BT45="MT"),'CARGA DOCENTE'!$G798," ")</f>
        <v xml:space="preserve"> </v>
      </c>
    </row>
    <row r="46" spans="1:76" x14ac:dyDescent="0.2">
      <c r="A46" s="378">
        <f>'CARGA DOCENTE'!J802</f>
        <v>0</v>
      </c>
      <c r="B46" s="372">
        <f>'CARGA DOCENTE'!$H802</f>
        <v>0</v>
      </c>
      <c r="C46" s="373" t="str">
        <f>IF(OR(B46="TC",B46="MT"),'CARGA DOCENTE'!$A802," ")</f>
        <v xml:space="preserve"> </v>
      </c>
      <c r="D46" s="374" t="str">
        <f>IF(OR(B46="TC",B46="MT"),'CARGA DOCENTE'!$B802," ")</f>
        <v xml:space="preserve"> </v>
      </c>
      <c r="E46" s="374" t="str">
        <f>IF(OR(B46="TC",B46="MT"),'CARGA DOCENTE'!$C802," ")</f>
        <v xml:space="preserve"> </v>
      </c>
      <c r="F46" s="374" t="str">
        <f>IF(OR(B46="TC",B46="MT"),'CARGA DOCENTE'!$G802," ")</f>
        <v xml:space="preserve"> </v>
      </c>
      <c r="G46" s="372">
        <f>'CARGA DOCENTE'!$H803</f>
        <v>0</v>
      </c>
      <c r="H46" s="373" t="str">
        <f>IF(OR(G46="TC",G46="MT"),'CARGA DOCENTE'!$A803," ")</f>
        <v xml:space="preserve"> </v>
      </c>
      <c r="I46" s="374" t="str">
        <f>IF(OR(G46="TC",G46="MT"),'CARGA DOCENTE'!$B803," ")</f>
        <v xml:space="preserve"> </v>
      </c>
      <c r="J46" s="374" t="str">
        <f>IF(OR(G46="TC",G46="MT"),'CARGA DOCENTE'!$C803," ")</f>
        <v xml:space="preserve"> </v>
      </c>
      <c r="K46" s="374" t="str">
        <f>IF(OR(G46="TC",G46="MT"),'CARGA DOCENTE'!$G803," ")</f>
        <v xml:space="preserve"> </v>
      </c>
      <c r="L46" s="372">
        <f>'CARGA DOCENTE'!$H804</f>
        <v>0</v>
      </c>
      <c r="M46" s="373" t="str">
        <f>IF(OR(L46="TC",L46="MT"),'CARGA DOCENTE'!$A804," ")</f>
        <v xml:space="preserve"> </v>
      </c>
      <c r="N46" s="374" t="str">
        <f>IF(OR(L46="TC",L46="MT"),'CARGA DOCENTE'!$B804," ")</f>
        <v xml:space="preserve"> </v>
      </c>
      <c r="O46" s="374" t="str">
        <f>IF(OR(L46="TC",L46="MT"),'CARGA DOCENTE'!$C804," ")</f>
        <v xml:space="preserve"> </v>
      </c>
      <c r="P46" s="374" t="str">
        <f>IF(OR(L46="TC",L46="MT"),'CARGA DOCENTE'!$G804," ")</f>
        <v xml:space="preserve"> </v>
      </c>
      <c r="Q46" s="372">
        <f>'CARGA DOCENTE'!$H805</f>
        <v>0</v>
      </c>
      <c r="R46" s="373" t="str">
        <f>IF(OR(Q46="TC",Q46="MT"),'CARGA DOCENTE'!$A805," ")</f>
        <v xml:space="preserve"> </v>
      </c>
      <c r="S46" s="374" t="str">
        <f>IF(OR(Q46="TC",Q46="MT"),'CARGA DOCENTE'!$B805," ")</f>
        <v xml:space="preserve"> </v>
      </c>
      <c r="T46" s="374" t="str">
        <f>IF(OR(Q46="TC",Q46="MT"),'CARGA DOCENTE'!$C805," ")</f>
        <v xml:space="preserve"> </v>
      </c>
      <c r="U46" s="374" t="str">
        <f>IF(OR(Q46="TC",Q46="MT"),'CARGA DOCENTE'!$G805," ")</f>
        <v xml:space="preserve"> </v>
      </c>
      <c r="V46" s="372">
        <f>'CARGA DOCENTE'!$H806</f>
        <v>0</v>
      </c>
      <c r="W46" s="373" t="str">
        <f>IF(OR(V46="TC",V46="MT"),'CARGA DOCENTE'!$A806," ")</f>
        <v xml:space="preserve"> </v>
      </c>
      <c r="X46" s="374" t="str">
        <f>IF(OR(V46="TC",V46="MT"),'CARGA DOCENTE'!$B806," ")</f>
        <v xml:space="preserve"> </v>
      </c>
      <c r="Y46" s="374" t="str">
        <f>IF(OR(V46="TC",V46="MT"),'CARGA DOCENTE'!$C806," ")</f>
        <v xml:space="preserve"> </v>
      </c>
      <c r="Z46" s="374" t="str">
        <f>IF(OR(V46="TC",V46="MT"),'CARGA DOCENTE'!$G806," ")</f>
        <v xml:space="preserve"> </v>
      </c>
      <c r="AA46" s="372">
        <f>'CARGA DOCENTE'!$H807</f>
        <v>0</v>
      </c>
      <c r="AB46" s="373" t="str">
        <f>IF(OR(AA46="TC",AA46="MT"),'CARGA DOCENTE'!$A807," ")</f>
        <v xml:space="preserve"> </v>
      </c>
      <c r="AC46" s="374" t="str">
        <f>IF(OR(AA46="TC",AA46="MT"),'CARGA DOCENTE'!$B807," ")</f>
        <v xml:space="preserve"> </v>
      </c>
      <c r="AD46" s="374" t="str">
        <f>IF(OR(AA46="TC",AA46="MT"),'CARGA DOCENTE'!$C807," ")</f>
        <v xml:space="preserve"> </v>
      </c>
      <c r="AE46" s="374" t="str">
        <f>IF(OR(AA46="TC",AA46="MT"),'CARGA DOCENTE'!$G807," ")</f>
        <v xml:space="preserve"> </v>
      </c>
      <c r="AF46" s="372">
        <f>'CARGA DOCENTE'!$H808</f>
        <v>0</v>
      </c>
      <c r="AG46" s="373" t="str">
        <f>IF(OR(AF46="TC",AF46="MT"),'CARGA DOCENTE'!$A808," ")</f>
        <v xml:space="preserve"> </v>
      </c>
      <c r="AH46" s="374" t="str">
        <f>IF(OR(AF46="TC",AF46="MT"),'CARGA DOCENTE'!$B808," ")</f>
        <v xml:space="preserve"> </v>
      </c>
      <c r="AI46" s="374" t="str">
        <f>IF(OR(AF46="TC",AF46="MT"),'CARGA DOCENTE'!$C808," ")</f>
        <v xml:space="preserve"> </v>
      </c>
      <c r="AJ46" s="374" t="str">
        <f>IF(OR(AF46="TC",AF46="MT"),'CARGA DOCENTE'!$G808," ")</f>
        <v xml:space="preserve"> </v>
      </c>
      <c r="AK46" s="372">
        <f>'CARGA DOCENTE'!$H809</f>
        <v>0</v>
      </c>
      <c r="AL46" s="373" t="str">
        <f>IF(OR(AK46="TC",AK46="MT"),'CARGA DOCENTE'!$A809," ")</f>
        <v xml:space="preserve"> </v>
      </c>
      <c r="AM46" s="374" t="str">
        <f>IF(OR(AK46="TC",AK46="MT"),'CARGA DOCENTE'!$B809," ")</f>
        <v xml:space="preserve"> </v>
      </c>
      <c r="AN46" s="374" t="str">
        <f>IF(OR(AK46="TC",AK46="MT"),'CARGA DOCENTE'!$C809," ")</f>
        <v xml:space="preserve"> </v>
      </c>
      <c r="AO46" s="374" t="str">
        <f>IF(OR(AK46="TC",AK46="MT"),'CARGA DOCENTE'!$G809," ")</f>
        <v xml:space="preserve"> </v>
      </c>
      <c r="AP46" s="372">
        <f>'CARGA DOCENTE'!$H810</f>
        <v>0</v>
      </c>
      <c r="AQ46" s="379" t="str">
        <f>IF(OR(AP46="TC",AP46="MT"),'CARGA DOCENTE'!$A810," ")</f>
        <v xml:space="preserve"> </v>
      </c>
      <c r="AR46" s="380" t="str">
        <f>IF(OR(AP46="TC",AP46="MT"),'CARGA DOCENTE'!$B810," ")</f>
        <v xml:space="preserve"> </v>
      </c>
      <c r="AS46" s="380" t="str">
        <f>IF(OR(AP46="TC",AP46="MT"),'CARGA DOCENTE'!$C810," ")</f>
        <v xml:space="preserve"> </v>
      </c>
      <c r="AT46" s="380" t="str">
        <f>IF(OR(AP46="TC",AP46="MT"),'CARGA DOCENTE'!$G810," ")</f>
        <v xml:space="preserve"> </v>
      </c>
      <c r="AU46" s="372">
        <f>'CARGA DOCENTE'!$H811</f>
        <v>0</v>
      </c>
      <c r="AV46" s="373" t="str">
        <f>IF(OR(AU46="TC",AU46="MT"),'CARGA DOCENTE'!$A811," ")</f>
        <v xml:space="preserve"> </v>
      </c>
      <c r="AW46" s="374" t="str">
        <f>IF(OR(AU46="TC",AU46="MT"),'CARGA DOCENTE'!$B811," ")</f>
        <v xml:space="preserve"> </v>
      </c>
      <c r="AX46" s="374" t="str">
        <f>IF(OR(AU46="TC",AU46="MT"),'CARGA DOCENTE'!$C811," ")</f>
        <v xml:space="preserve"> </v>
      </c>
      <c r="AY46" s="374" t="str">
        <f>IF(OR(AU46="TC",AU46="MT"),'CARGA DOCENTE'!$G811," ")</f>
        <v xml:space="preserve"> </v>
      </c>
      <c r="AZ46" s="372">
        <f>'CARGA DOCENTE'!$H812</f>
        <v>0</v>
      </c>
      <c r="BA46" s="373" t="str">
        <f>IF(OR(AZ46="TC",AZ46="MT"),'CARGA DOCENTE'!$A812," ")</f>
        <v xml:space="preserve"> </v>
      </c>
      <c r="BB46" s="374" t="str">
        <f>IF(OR(AZ46="TC",AZ46="MT"),'CARGA DOCENTE'!$B812," ")</f>
        <v xml:space="preserve"> </v>
      </c>
      <c r="BC46" s="374" t="str">
        <f>IF(OR(AZ46="TC",AZ46="MT"),'CARGA DOCENTE'!$C812," ")</f>
        <v xml:space="preserve"> </v>
      </c>
      <c r="BD46" s="374" t="str">
        <f>IF(OR(AZ46="TC",AZ46="MT"),'CARGA DOCENTE'!$G812," ")</f>
        <v xml:space="preserve"> </v>
      </c>
      <c r="BE46" s="372">
        <f>'CARGA DOCENTE'!$H813</f>
        <v>0</v>
      </c>
      <c r="BF46" s="373" t="str">
        <f>IF(OR(BE46="TC",BE46="MT"),'CARGA DOCENTE'!$A813," ")</f>
        <v xml:space="preserve"> </v>
      </c>
      <c r="BG46" s="374" t="str">
        <f>IF(OR(BE46="TC",BE46="MT"),'CARGA DOCENTE'!$B813," ")</f>
        <v xml:space="preserve"> </v>
      </c>
      <c r="BH46" s="374" t="str">
        <f>IF(OR(BE46="TC",BE46="MT"),'CARGA DOCENTE'!$C813," ")</f>
        <v xml:space="preserve"> </v>
      </c>
      <c r="BI46" s="374" t="str">
        <f>IF(OR(BE46="TC",BE46="MT"),'CARGA DOCENTE'!$G813," ")</f>
        <v xml:space="preserve"> </v>
      </c>
      <c r="BJ46" s="372">
        <f>'CARGA DOCENTE'!$H814</f>
        <v>0</v>
      </c>
      <c r="BK46" s="373" t="str">
        <f>IF(OR(BJ46="TC",BJ46="MT"),'CARGA DOCENTE'!$A814," ")</f>
        <v xml:space="preserve"> </v>
      </c>
      <c r="BL46" s="374" t="str">
        <f>IF(OR(BJ46="TC",BJ46="MT"),'CARGA DOCENTE'!$B814," ")</f>
        <v xml:space="preserve"> </v>
      </c>
      <c r="BM46" s="374" t="str">
        <f>IF(OR(BJ46="TC",BJ46="MT"),'CARGA DOCENTE'!$C814," ")</f>
        <v xml:space="preserve"> </v>
      </c>
      <c r="BN46" s="374" t="str">
        <f>IF(OR(BJ46="TC",BJ46="MT"),'CARGA DOCENTE'!$G814," ")</f>
        <v xml:space="preserve"> </v>
      </c>
      <c r="BO46" s="372">
        <f>'CARGA DOCENTE'!$H815</f>
        <v>0</v>
      </c>
      <c r="BP46" s="373" t="str">
        <f>IF(OR(BO46="TC",BO46="MT"),'CARGA DOCENTE'!$A815," ")</f>
        <v xml:space="preserve"> </v>
      </c>
      <c r="BQ46" s="374" t="str">
        <f>IF(OR(BO46="TC",BO46="MT"),'CARGA DOCENTE'!$B815," ")</f>
        <v xml:space="preserve"> </v>
      </c>
      <c r="BR46" s="374" t="str">
        <f>IF(OR(BO46="TC",BO46="MT"),'CARGA DOCENTE'!$C815," ")</f>
        <v xml:space="preserve"> </v>
      </c>
      <c r="BS46" s="374" t="str">
        <f>IF(OR(BO46="TC",BO46="MT"),'CARGA DOCENTE'!$G815," ")</f>
        <v xml:space="preserve"> </v>
      </c>
      <c r="BT46" s="372">
        <f>'CARGA DOCENTE'!$H816</f>
        <v>0</v>
      </c>
      <c r="BU46" s="373" t="str">
        <f>IF(OR(BT46="TC",BT46="MT"),'CARGA DOCENTE'!$A816," ")</f>
        <v xml:space="preserve"> </v>
      </c>
      <c r="BV46" s="374" t="str">
        <f>IF(OR(BT46="TC",BT46="MT"),'CARGA DOCENTE'!$B816," ")</f>
        <v xml:space="preserve"> </v>
      </c>
      <c r="BW46" s="374" t="str">
        <f>IF(OR(BT46="TC",BT46="MT"),'CARGA DOCENTE'!$C816," ")</f>
        <v xml:space="preserve"> </v>
      </c>
      <c r="BX46" s="374" t="str">
        <f>IF(OR(BT46="TC",BT46="MT"),'CARGA DOCENTE'!$G816," ")</f>
        <v xml:space="preserve"> </v>
      </c>
    </row>
    <row r="47" spans="1:76" x14ac:dyDescent="0.2">
      <c r="A47" s="378">
        <f>'CARGA DOCENTE'!J820</f>
        <v>0</v>
      </c>
      <c r="B47" s="372">
        <f>'CARGA DOCENTE'!$H820</f>
        <v>0</v>
      </c>
      <c r="C47" s="373" t="str">
        <f>IF(OR(B47="TC",B47="MT"),'CARGA DOCENTE'!$A820," ")</f>
        <v xml:space="preserve"> </v>
      </c>
      <c r="D47" s="374" t="str">
        <f>IF(OR(B47="TC",B47="MT"),'CARGA DOCENTE'!$B820," ")</f>
        <v xml:space="preserve"> </v>
      </c>
      <c r="E47" s="374" t="str">
        <f>IF(OR(B47="TC",B47="MT"),'CARGA DOCENTE'!$C820," ")</f>
        <v xml:space="preserve"> </v>
      </c>
      <c r="F47" s="374" t="str">
        <f>IF(OR(B47="TC",B47="MT"),'CARGA DOCENTE'!$G820," ")</f>
        <v xml:space="preserve"> </v>
      </c>
      <c r="G47" s="372">
        <f>'CARGA DOCENTE'!$H821</f>
        <v>0</v>
      </c>
      <c r="H47" s="373" t="str">
        <f>IF(OR(G47="TC",G47="MT"),'CARGA DOCENTE'!$A821," ")</f>
        <v xml:space="preserve"> </v>
      </c>
      <c r="I47" s="374" t="str">
        <f>IF(OR(G47="TC",G47="MT"),'CARGA DOCENTE'!$B821," ")</f>
        <v xml:space="preserve"> </v>
      </c>
      <c r="J47" s="374" t="str">
        <f>IF(OR(G47="TC",G47="MT"),'CARGA DOCENTE'!$C821," ")</f>
        <v xml:space="preserve"> </v>
      </c>
      <c r="K47" s="374" t="str">
        <f>IF(OR(G47="TC",G47="MT"),'CARGA DOCENTE'!$G821," ")</f>
        <v xml:space="preserve"> </v>
      </c>
      <c r="L47" s="372">
        <f>'CARGA DOCENTE'!$H822</f>
        <v>0</v>
      </c>
      <c r="M47" s="373" t="str">
        <f>IF(OR(L47="TC",L47="MT"),'CARGA DOCENTE'!$A822," ")</f>
        <v xml:space="preserve"> </v>
      </c>
      <c r="N47" s="374" t="str">
        <f>IF(OR(L47="TC",L47="MT"),'CARGA DOCENTE'!$B822," ")</f>
        <v xml:space="preserve"> </v>
      </c>
      <c r="O47" s="374" t="str">
        <f>IF(OR(L47="TC",L47="MT"),'CARGA DOCENTE'!$C822," ")</f>
        <v xml:space="preserve"> </v>
      </c>
      <c r="P47" s="374" t="str">
        <f>IF(OR(L47="TC",L47="MT"),'CARGA DOCENTE'!$G822," ")</f>
        <v xml:space="preserve"> </v>
      </c>
      <c r="Q47" s="372">
        <f>'CARGA DOCENTE'!$H823</f>
        <v>0</v>
      </c>
      <c r="R47" s="373" t="str">
        <f>IF(OR(Q47="TC",Q47="MT"),'CARGA DOCENTE'!$A823," ")</f>
        <v xml:space="preserve"> </v>
      </c>
      <c r="S47" s="374" t="str">
        <f>IF(OR(Q47="TC",Q47="MT"),'CARGA DOCENTE'!$B823," ")</f>
        <v xml:space="preserve"> </v>
      </c>
      <c r="T47" s="374" t="str">
        <f>IF(OR(Q47="TC",Q47="MT"),'CARGA DOCENTE'!$C823," ")</f>
        <v xml:space="preserve"> </v>
      </c>
      <c r="U47" s="374" t="str">
        <f>IF(OR(Q47="TC",Q47="MT"),'CARGA DOCENTE'!$G823," ")</f>
        <v xml:space="preserve"> </v>
      </c>
      <c r="V47" s="372">
        <f>'CARGA DOCENTE'!$H824</f>
        <v>0</v>
      </c>
      <c r="W47" s="373" t="str">
        <f>IF(OR(V47="TC",V47="MT"),'CARGA DOCENTE'!$A824," ")</f>
        <v xml:space="preserve"> </v>
      </c>
      <c r="X47" s="374" t="str">
        <f>IF(OR(V47="TC",V47="MT"),'CARGA DOCENTE'!$B824," ")</f>
        <v xml:space="preserve"> </v>
      </c>
      <c r="Y47" s="374" t="str">
        <f>IF(OR(V47="TC",V47="MT"),'CARGA DOCENTE'!$C824," ")</f>
        <v xml:space="preserve"> </v>
      </c>
      <c r="Z47" s="374" t="str">
        <f>IF(OR(V47="TC",V47="MT"),'CARGA DOCENTE'!$G824," ")</f>
        <v xml:space="preserve"> </v>
      </c>
      <c r="AA47" s="372">
        <f>'CARGA DOCENTE'!$H825</f>
        <v>0</v>
      </c>
      <c r="AB47" s="373" t="str">
        <f>IF(OR(AA47="TC",AA47="MT"),'CARGA DOCENTE'!$A825," ")</f>
        <v xml:space="preserve"> </v>
      </c>
      <c r="AC47" s="374" t="str">
        <f>IF(OR(AA47="TC",AA47="MT"),'CARGA DOCENTE'!$B825," ")</f>
        <v xml:space="preserve"> </v>
      </c>
      <c r="AD47" s="374" t="str">
        <f>IF(OR(AA47="TC",AA47="MT"),'CARGA DOCENTE'!$C825," ")</f>
        <v xml:space="preserve"> </v>
      </c>
      <c r="AE47" s="374" t="str">
        <f>IF(OR(AA47="TC",AA47="MT"),'CARGA DOCENTE'!$G825," ")</f>
        <v xml:space="preserve"> </v>
      </c>
      <c r="AF47" s="372">
        <f>'CARGA DOCENTE'!$H826</f>
        <v>0</v>
      </c>
      <c r="AG47" s="373" t="str">
        <f>IF(OR(AF47="TC",AF47="MT"),'CARGA DOCENTE'!$A826," ")</f>
        <v xml:space="preserve"> </v>
      </c>
      <c r="AH47" s="374" t="str">
        <f>IF(OR(AF47="TC",AF47="MT"),'CARGA DOCENTE'!$B826," ")</f>
        <v xml:space="preserve"> </v>
      </c>
      <c r="AI47" s="374" t="str">
        <f>IF(OR(AF47="TC",AF47="MT"),'CARGA DOCENTE'!$C826," ")</f>
        <v xml:space="preserve"> </v>
      </c>
      <c r="AJ47" s="374" t="str">
        <f>IF(OR(AF47="TC",AF47="MT"),'CARGA DOCENTE'!$G826," ")</f>
        <v xml:space="preserve"> </v>
      </c>
      <c r="AK47" s="372">
        <f>'CARGA DOCENTE'!$H827</f>
        <v>0</v>
      </c>
      <c r="AL47" s="373" t="str">
        <f>IF(OR(AK47="TC",AK47="MT"),'CARGA DOCENTE'!$A827," ")</f>
        <v xml:space="preserve"> </v>
      </c>
      <c r="AM47" s="374" t="str">
        <f>IF(OR(AK47="TC",AK47="MT"),'CARGA DOCENTE'!$B827," ")</f>
        <v xml:space="preserve"> </v>
      </c>
      <c r="AN47" s="374" t="str">
        <f>IF(OR(AK47="TC",AK47="MT"),'CARGA DOCENTE'!$C827," ")</f>
        <v xml:space="preserve"> </v>
      </c>
      <c r="AO47" s="374" t="str">
        <f>IF(OR(AK47="TC",AK47="MT"),'CARGA DOCENTE'!$G827," ")</f>
        <v xml:space="preserve"> </v>
      </c>
      <c r="AP47" s="372">
        <f>'CARGA DOCENTE'!$H828</f>
        <v>0</v>
      </c>
      <c r="AQ47" s="379" t="str">
        <f>IF(OR(AP47="TC",AP47="MT"),'CARGA DOCENTE'!$A828," ")</f>
        <v xml:space="preserve"> </v>
      </c>
      <c r="AR47" s="380" t="str">
        <f>IF(OR(AP47="TC",AP47="MT"),'CARGA DOCENTE'!$B828," ")</f>
        <v xml:space="preserve"> </v>
      </c>
      <c r="AS47" s="380" t="str">
        <f>IF(OR(AP47="TC",AP47="MT"),'CARGA DOCENTE'!$C828," ")</f>
        <v xml:space="preserve"> </v>
      </c>
      <c r="AT47" s="380" t="str">
        <f>IF(OR(AP47="TC",AP47="MT"),'CARGA DOCENTE'!$G828," ")</f>
        <v xml:space="preserve"> </v>
      </c>
      <c r="AU47" s="372">
        <f>'CARGA DOCENTE'!$H829</f>
        <v>0</v>
      </c>
      <c r="AV47" s="373" t="str">
        <f>IF(OR(AU47="TC",AU47="MT"),'CARGA DOCENTE'!$A829," ")</f>
        <v xml:space="preserve"> </v>
      </c>
      <c r="AW47" s="374" t="str">
        <f>IF(OR(AU47="TC",AU47="MT"),'CARGA DOCENTE'!$B829," ")</f>
        <v xml:space="preserve"> </v>
      </c>
      <c r="AX47" s="374" t="str">
        <f>IF(OR(AU47="TC",AU47="MT"),'CARGA DOCENTE'!$C829," ")</f>
        <v xml:space="preserve"> </v>
      </c>
      <c r="AY47" s="374" t="str">
        <f>IF(OR(AU47="TC",AU47="MT"),'CARGA DOCENTE'!$G829," ")</f>
        <v xml:space="preserve"> </v>
      </c>
      <c r="AZ47" s="372">
        <f>'CARGA DOCENTE'!$H830</f>
        <v>0</v>
      </c>
      <c r="BA47" s="373" t="str">
        <f>IF(OR(AZ47="TC",AZ47="MT"),'CARGA DOCENTE'!$A830," ")</f>
        <v xml:space="preserve"> </v>
      </c>
      <c r="BB47" s="374" t="str">
        <f>IF(OR(AZ47="TC",AZ47="MT"),'CARGA DOCENTE'!$B830," ")</f>
        <v xml:space="preserve"> </v>
      </c>
      <c r="BC47" s="374" t="str">
        <f>IF(OR(AZ47="TC",AZ47="MT"),'CARGA DOCENTE'!$C830," ")</f>
        <v xml:space="preserve"> </v>
      </c>
      <c r="BD47" s="374" t="str">
        <f>IF(OR(AZ47="TC",AZ47="MT"),'CARGA DOCENTE'!$G830," ")</f>
        <v xml:space="preserve"> </v>
      </c>
      <c r="BE47" s="372">
        <f>'CARGA DOCENTE'!$H831</f>
        <v>0</v>
      </c>
      <c r="BF47" s="373" t="str">
        <f>IF(OR(BE47="TC",BE47="MT"),'CARGA DOCENTE'!$A831," ")</f>
        <v xml:space="preserve"> </v>
      </c>
      <c r="BG47" s="374" t="str">
        <f>IF(OR(BE47="TC",BE47="MT"),'CARGA DOCENTE'!$B831," ")</f>
        <v xml:space="preserve"> </v>
      </c>
      <c r="BH47" s="374" t="str">
        <f>IF(OR(BE47="TC",BE47="MT"),'CARGA DOCENTE'!$C831," ")</f>
        <v xml:space="preserve"> </v>
      </c>
      <c r="BI47" s="374" t="str">
        <f>IF(OR(BE47="TC",BE47="MT"),'CARGA DOCENTE'!$G831," ")</f>
        <v xml:space="preserve"> </v>
      </c>
      <c r="BJ47" s="372">
        <f>'CARGA DOCENTE'!$H832</f>
        <v>0</v>
      </c>
      <c r="BK47" s="373" t="str">
        <f>IF(OR(BJ47="TC",BJ47="MT"),'CARGA DOCENTE'!$A832," ")</f>
        <v xml:space="preserve"> </v>
      </c>
      <c r="BL47" s="374" t="str">
        <f>IF(OR(BJ47="TC",BJ47="MT"),'CARGA DOCENTE'!$B832," ")</f>
        <v xml:space="preserve"> </v>
      </c>
      <c r="BM47" s="374" t="str">
        <f>IF(OR(BJ47="TC",BJ47="MT"),'CARGA DOCENTE'!$C832," ")</f>
        <v xml:space="preserve"> </v>
      </c>
      <c r="BN47" s="374" t="str">
        <f>IF(OR(BJ47="TC",BJ47="MT"),'CARGA DOCENTE'!$G832," ")</f>
        <v xml:space="preserve"> </v>
      </c>
      <c r="BO47" s="372">
        <f>'CARGA DOCENTE'!$H833</f>
        <v>0</v>
      </c>
      <c r="BP47" s="373" t="str">
        <f>IF(OR(BO47="TC",BO47="MT"),'CARGA DOCENTE'!$A833," ")</f>
        <v xml:space="preserve"> </v>
      </c>
      <c r="BQ47" s="374" t="str">
        <f>IF(OR(BO47="TC",BO47="MT"),'CARGA DOCENTE'!$B833," ")</f>
        <v xml:space="preserve"> </v>
      </c>
      <c r="BR47" s="374" t="str">
        <f>IF(OR(BO47="TC",BO47="MT"),'CARGA DOCENTE'!$C833," ")</f>
        <v xml:space="preserve"> </v>
      </c>
      <c r="BS47" s="374" t="str">
        <f>IF(OR(BO47="TC",BO47="MT"),'CARGA DOCENTE'!$G833," ")</f>
        <v xml:space="preserve"> </v>
      </c>
      <c r="BT47" s="372">
        <f>'CARGA DOCENTE'!$H834</f>
        <v>0</v>
      </c>
      <c r="BU47" s="373" t="str">
        <f>IF(OR(BT47="TC",BT47="MT"),'CARGA DOCENTE'!$A834," ")</f>
        <v xml:space="preserve"> </v>
      </c>
      <c r="BV47" s="374" t="str">
        <f>IF(OR(BT47="TC",BT47="MT"),'CARGA DOCENTE'!$B834," ")</f>
        <v xml:space="preserve"> </v>
      </c>
      <c r="BW47" s="374" t="str">
        <f>IF(OR(BT47="TC",BT47="MT"),'CARGA DOCENTE'!$C834," ")</f>
        <v xml:space="preserve"> </v>
      </c>
      <c r="BX47" s="374" t="str">
        <f>IF(OR(BT47="TC",BT47="MT"),'CARGA DOCENTE'!$G834," ")</f>
        <v xml:space="preserve"> </v>
      </c>
    </row>
    <row r="48" spans="1:76" x14ac:dyDescent="0.2">
      <c r="A48" s="378">
        <f>'CARGA DOCENTE'!J838</f>
        <v>0</v>
      </c>
      <c r="B48" s="372">
        <f>'CARGA DOCENTE'!$H838</f>
        <v>0</v>
      </c>
      <c r="C48" s="373" t="str">
        <f>IF(OR(B48="TC",B48="MT"),'CARGA DOCENTE'!$A838," ")</f>
        <v xml:space="preserve"> </v>
      </c>
      <c r="D48" s="374" t="str">
        <f>IF(OR(B48="TC",B48="MT"),'CARGA DOCENTE'!$B838," ")</f>
        <v xml:space="preserve"> </v>
      </c>
      <c r="E48" s="374" t="str">
        <f>IF(OR(B48="TC",B48="MT"),'CARGA DOCENTE'!$C838," ")</f>
        <v xml:space="preserve"> </v>
      </c>
      <c r="F48" s="374" t="str">
        <f>IF(OR(B48="TC",B48="MT"),'CARGA DOCENTE'!$G838," ")</f>
        <v xml:space="preserve"> </v>
      </c>
      <c r="G48" s="372">
        <f>'CARGA DOCENTE'!$H839</f>
        <v>0</v>
      </c>
      <c r="H48" s="373" t="str">
        <f>IF(OR(G48="TC",G48="MT"),'CARGA DOCENTE'!$A839," ")</f>
        <v xml:space="preserve"> </v>
      </c>
      <c r="I48" s="374" t="str">
        <f>IF(OR(G48="TC",G48="MT"),'CARGA DOCENTE'!$B839," ")</f>
        <v xml:space="preserve"> </v>
      </c>
      <c r="J48" s="374" t="str">
        <f>IF(OR(G48="TC",G48="MT"),'CARGA DOCENTE'!$C839," ")</f>
        <v xml:space="preserve"> </v>
      </c>
      <c r="K48" s="374" t="str">
        <f>IF(OR(G48="TC",G48="MT"),'CARGA DOCENTE'!$G839," ")</f>
        <v xml:space="preserve"> </v>
      </c>
      <c r="L48" s="372">
        <f>'CARGA DOCENTE'!$H840</f>
        <v>0</v>
      </c>
      <c r="M48" s="373" t="str">
        <f>IF(OR(L48="TC",L48="MT"),'CARGA DOCENTE'!$A840," ")</f>
        <v xml:space="preserve"> </v>
      </c>
      <c r="N48" s="374" t="str">
        <f>IF(OR(L48="TC",L48="MT"),'CARGA DOCENTE'!$B840," ")</f>
        <v xml:space="preserve"> </v>
      </c>
      <c r="O48" s="374" t="str">
        <f>IF(OR(L48="TC",L48="MT"),'CARGA DOCENTE'!$C840," ")</f>
        <v xml:space="preserve"> </v>
      </c>
      <c r="P48" s="374" t="str">
        <f>IF(OR(L48="TC",L48="MT"),'CARGA DOCENTE'!$G840," ")</f>
        <v xml:space="preserve"> </v>
      </c>
      <c r="Q48" s="372">
        <f>'CARGA DOCENTE'!$H841</f>
        <v>0</v>
      </c>
      <c r="R48" s="373" t="str">
        <f>IF(OR(Q48="TC",Q48="MT"),'CARGA DOCENTE'!$A841," ")</f>
        <v xml:space="preserve"> </v>
      </c>
      <c r="S48" s="374" t="str">
        <f>IF(OR(Q48="TC",Q48="MT"),'CARGA DOCENTE'!$B841," ")</f>
        <v xml:space="preserve"> </v>
      </c>
      <c r="T48" s="374" t="str">
        <f>IF(OR(Q48="TC",Q48="MT"),'CARGA DOCENTE'!$C841," ")</f>
        <v xml:space="preserve"> </v>
      </c>
      <c r="U48" s="374" t="str">
        <f>IF(OR(Q48="TC",Q48="MT"),'CARGA DOCENTE'!$G841," ")</f>
        <v xml:space="preserve"> </v>
      </c>
      <c r="V48" s="372">
        <f>'CARGA DOCENTE'!$H842</f>
        <v>0</v>
      </c>
      <c r="W48" s="373" t="str">
        <f>IF(OR(V48="TC",V48="MT"),'CARGA DOCENTE'!$A842," ")</f>
        <v xml:space="preserve"> </v>
      </c>
      <c r="X48" s="374" t="str">
        <f>IF(OR(V48="TC",V48="MT"),'CARGA DOCENTE'!$B842," ")</f>
        <v xml:space="preserve"> </v>
      </c>
      <c r="Y48" s="374" t="str">
        <f>IF(OR(V48="TC",V48="MT"),'CARGA DOCENTE'!$C842," ")</f>
        <v xml:space="preserve"> </v>
      </c>
      <c r="Z48" s="374" t="str">
        <f>IF(OR(V48="TC",V48="MT"),'CARGA DOCENTE'!$G842," ")</f>
        <v xml:space="preserve"> </v>
      </c>
      <c r="AA48" s="372">
        <f>'CARGA DOCENTE'!$H843</f>
        <v>0</v>
      </c>
      <c r="AB48" s="373" t="str">
        <f>IF(OR(AA48="TC",AA48="MT"),'CARGA DOCENTE'!$A843," ")</f>
        <v xml:space="preserve"> </v>
      </c>
      <c r="AC48" s="374" t="str">
        <f>IF(OR(AA48="TC",AA48="MT"),'CARGA DOCENTE'!$B843," ")</f>
        <v xml:space="preserve"> </v>
      </c>
      <c r="AD48" s="374" t="str">
        <f>IF(OR(AA48="TC",AA48="MT"),'CARGA DOCENTE'!$C843," ")</f>
        <v xml:space="preserve"> </v>
      </c>
      <c r="AE48" s="374" t="str">
        <f>IF(OR(AA48="TC",AA48="MT"),'CARGA DOCENTE'!$G843," ")</f>
        <v xml:space="preserve"> </v>
      </c>
      <c r="AF48" s="372">
        <f>'CARGA DOCENTE'!$H844</f>
        <v>0</v>
      </c>
      <c r="AG48" s="373" t="str">
        <f>IF(OR(AF48="TC",AF48="MT"),'CARGA DOCENTE'!$A844," ")</f>
        <v xml:space="preserve"> </v>
      </c>
      <c r="AH48" s="374" t="str">
        <f>IF(OR(AF48="TC",AF48="MT"),'CARGA DOCENTE'!$B844," ")</f>
        <v xml:space="preserve"> </v>
      </c>
      <c r="AI48" s="374" t="str">
        <f>IF(OR(AF48="TC",AF48="MT"),'CARGA DOCENTE'!$C844," ")</f>
        <v xml:space="preserve"> </v>
      </c>
      <c r="AJ48" s="374" t="str">
        <f>IF(OR(AF48="TC",AF48="MT"),'CARGA DOCENTE'!$G844," ")</f>
        <v xml:space="preserve"> </v>
      </c>
      <c r="AK48" s="372">
        <f>'CARGA DOCENTE'!$H845</f>
        <v>0</v>
      </c>
      <c r="AL48" s="373" t="str">
        <f>IF(OR(AK48="TC",AK48="MT"),'CARGA DOCENTE'!$A845," ")</f>
        <v xml:space="preserve"> </v>
      </c>
      <c r="AM48" s="374" t="str">
        <f>IF(OR(AK48="TC",AK48="MT"),'CARGA DOCENTE'!$B845," ")</f>
        <v xml:space="preserve"> </v>
      </c>
      <c r="AN48" s="374" t="str">
        <f>IF(OR(AK48="TC",AK48="MT"),'CARGA DOCENTE'!$C845," ")</f>
        <v xml:space="preserve"> </v>
      </c>
      <c r="AO48" s="374" t="str">
        <f>IF(OR(AK48="TC",AK48="MT"),'CARGA DOCENTE'!$G845," ")</f>
        <v xml:space="preserve"> </v>
      </c>
      <c r="AP48" s="372">
        <f>'CARGA DOCENTE'!$H846</f>
        <v>0</v>
      </c>
      <c r="AQ48" s="379" t="str">
        <f>IF(OR(AP48="TC",AP48="MT"),'CARGA DOCENTE'!$A846," ")</f>
        <v xml:space="preserve"> </v>
      </c>
      <c r="AR48" s="380" t="str">
        <f>IF(OR(AP48="TC",AP48="MT"),'CARGA DOCENTE'!$B846," ")</f>
        <v xml:space="preserve"> </v>
      </c>
      <c r="AS48" s="380" t="str">
        <f>IF(OR(AP48="TC",AP48="MT"),'CARGA DOCENTE'!$C846," ")</f>
        <v xml:space="preserve"> </v>
      </c>
      <c r="AT48" s="380" t="str">
        <f>IF(OR(AP48="TC",AP48="MT"),'CARGA DOCENTE'!$G846," ")</f>
        <v xml:space="preserve"> </v>
      </c>
      <c r="AU48" s="372">
        <f>'CARGA DOCENTE'!$H847</f>
        <v>0</v>
      </c>
      <c r="AV48" s="373" t="str">
        <f>IF(OR(AU48="TC",AU48="MT"),'CARGA DOCENTE'!$A847," ")</f>
        <v xml:space="preserve"> </v>
      </c>
      <c r="AW48" s="374" t="str">
        <f>IF(OR(AU48="TC",AU48="MT"),'CARGA DOCENTE'!$B847," ")</f>
        <v xml:space="preserve"> </v>
      </c>
      <c r="AX48" s="374" t="str">
        <f>IF(OR(AU48="TC",AU48="MT"),'CARGA DOCENTE'!$C847," ")</f>
        <v xml:space="preserve"> </v>
      </c>
      <c r="AY48" s="374" t="str">
        <f>IF(OR(AU48="TC",AU48="MT"),'CARGA DOCENTE'!$G847," ")</f>
        <v xml:space="preserve"> </v>
      </c>
      <c r="AZ48" s="372">
        <f>'CARGA DOCENTE'!$H848</f>
        <v>0</v>
      </c>
      <c r="BA48" s="373" t="str">
        <f>IF(OR(AZ48="TC",AZ48="MT"),'CARGA DOCENTE'!$A848," ")</f>
        <v xml:space="preserve"> </v>
      </c>
      <c r="BB48" s="374" t="str">
        <f>IF(OR(AZ48="TC",AZ48="MT"),'CARGA DOCENTE'!$B848," ")</f>
        <v xml:space="preserve"> </v>
      </c>
      <c r="BC48" s="374" t="str">
        <f>IF(OR(AZ48="TC",AZ48="MT"),'CARGA DOCENTE'!$C848," ")</f>
        <v xml:space="preserve"> </v>
      </c>
      <c r="BD48" s="374" t="str">
        <f>IF(OR(AZ48="TC",AZ48="MT"),'CARGA DOCENTE'!$G848," ")</f>
        <v xml:space="preserve"> </v>
      </c>
      <c r="BE48" s="372">
        <f>'CARGA DOCENTE'!$H849</f>
        <v>0</v>
      </c>
      <c r="BF48" s="373" t="str">
        <f>IF(OR(BE48="TC",BE48="MT"),'CARGA DOCENTE'!$A849," ")</f>
        <v xml:space="preserve"> </v>
      </c>
      <c r="BG48" s="374" t="str">
        <f>IF(OR(BE48="TC",BE48="MT"),'CARGA DOCENTE'!$B849," ")</f>
        <v xml:space="preserve"> </v>
      </c>
      <c r="BH48" s="374" t="str">
        <f>IF(OR(BE48="TC",BE48="MT"),'CARGA DOCENTE'!$C849," ")</f>
        <v xml:space="preserve"> </v>
      </c>
      <c r="BI48" s="374" t="str">
        <f>IF(OR(BE48="TC",BE48="MT"),'CARGA DOCENTE'!$G849," ")</f>
        <v xml:space="preserve"> </v>
      </c>
      <c r="BJ48" s="372">
        <f>'CARGA DOCENTE'!$H850</f>
        <v>0</v>
      </c>
      <c r="BK48" s="373" t="str">
        <f>IF(OR(BJ48="TC",BJ48="MT"),'CARGA DOCENTE'!$A850," ")</f>
        <v xml:space="preserve"> </v>
      </c>
      <c r="BL48" s="374" t="str">
        <f>IF(OR(BJ48="TC",BJ48="MT"),'CARGA DOCENTE'!$B850," ")</f>
        <v xml:space="preserve"> </v>
      </c>
      <c r="BM48" s="374" t="str">
        <f>IF(OR(BJ48="TC",BJ48="MT"),'CARGA DOCENTE'!$C850," ")</f>
        <v xml:space="preserve"> </v>
      </c>
      <c r="BN48" s="374" t="str">
        <f>IF(OR(BJ48="TC",BJ48="MT"),'CARGA DOCENTE'!$G850," ")</f>
        <v xml:space="preserve"> </v>
      </c>
      <c r="BO48" s="372">
        <f>'CARGA DOCENTE'!$H851</f>
        <v>0</v>
      </c>
      <c r="BP48" s="373" t="str">
        <f>IF(OR(BO48="TC",BO48="MT"),'CARGA DOCENTE'!$A851," ")</f>
        <v xml:space="preserve"> </v>
      </c>
      <c r="BQ48" s="374" t="str">
        <f>IF(OR(BO48="TC",BO48="MT"),'CARGA DOCENTE'!$B851," ")</f>
        <v xml:space="preserve"> </v>
      </c>
      <c r="BR48" s="374" t="str">
        <f>IF(OR(BO48="TC",BO48="MT"),'CARGA DOCENTE'!$C851," ")</f>
        <v xml:space="preserve"> </v>
      </c>
      <c r="BS48" s="374" t="str">
        <f>IF(OR(BO48="TC",BO48="MT"),'CARGA DOCENTE'!$G851," ")</f>
        <v xml:space="preserve"> </v>
      </c>
      <c r="BT48" s="372">
        <f>'CARGA DOCENTE'!$H852</f>
        <v>0</v>
      </c>
      <c r="BU48" s="373" t="str">
        <f>IF(OR(BT48="TC",BT48="MT"),'CARGA DOCENTE'!$A852," ")</f>
        <v xml:space="preserve"> </v>
      </c>
      <c r="BV48" s="374" t="str">
        <f>IF(OR(BT48="TC",BT48="MT"),'CARGA DOCENTE'!$B852," ")</f>
        <v xml:space="preserve"> </v>
      </c>
      <c r="BW48" s="374" t="str">
        <f>IF(OR(BT48="TC",BT48="MT"),'CARGA DOCENTE'!$C852," ")</f>
        <v xml:space="preserve"> </v>
      </c>
      <c r="BX48" s="374" t="str">
        <f>IF(OR(BT48="TC",BT48="MT"),'CARGA DOCENTE'!$G852," ")</f>
        <v xml:space="preserve"> </v>
      </c>
    </row>
    <row r="49" spans="1:76" x14ac:dyDescent="0.2">
      <c r="A49" s="378">
        <f>'CARGA DOCENTE'!J856</f>
        <v>0</v>
      </c>
      <c r="B49" s="372">
        <f>'CARGA DOCENTE'!$H856</f>
        <v>0</v>
      </c>
      <c r="C49" s="373" t="str">
        <f>IF(OR(B49="TC",B49="MT"),'CARGA DOCENTE'!$A856," ")</f>
        <v xml:space="preserve"> </v>
      </c>
      <c r="D49" s="374" t="str">
        <f>IF(OR(B49="TC",B49="MT"),'CARGA DOCENTE'!$B856," ")</f>
        <v xml:space="preserve"> </v>
      </c>
      <c r="E49" s="374" t="str">
        <f>IF(OR(B49="TC",B49="MT"),'CARGA DOCENTE'!$C856," ")</f>
        <v xml:space="preserve"> </v>
      </c>
      <c r="F49" s="374" t="str">
        <f>IF(OR(B49="TC",B49="MT"),'CARGA DOCENTE'!$G856," ")</f>
        <v xml:space="preserve"> </v>
      </c>
      <c r="G49" s="372">
        <f>'CARGA DOCENTE'!$H857</f>
        <v>0</v>
      </c>
      <c r="H49" s="373" t="str">
        <f>IF(OR(G49="TC",G49="MT"),'CARGA DOCENTE'!$A857," ")</f>
        <v xml:space="preserve"> </v>
      </c>
      <c r="I49" s="374" t="str">
        <f>IF(OR(G49="TC",G49="MT"),'CARGA DOCENTE'!$B857," ")</f>
        <v xml:space="preserve"> </v>
      </c>
      <c r="J49" s="374" t="str">
        <f>IF(OR(G49="TC",G49="MT"),'CARGA DOCENTE'!$C857," ")</f>
        <v xml:space="preserve"> </v>
      </c>
      <c r="K49" s="374" t="str">
        <f>IF(OR(G49="TC",G49="MT"),'CARGA DOCENTE'!$G857," ")</f>
        <v xml:space="preserve"> </v>
      </c>
      <c r="L49" s="372">
        <f>'CARGA DOCENTE'!$H858</f>
        <v>0</v>
      </c>
      <c r="M49" s="373" t="str">
        <f>IF(OR(L49="TC",L49="MT"),'CARGA DOCENTE'!$A858," ")</f>
        <v xml:space="preserve"> </v>
      </c>
      <c r="N49" s="374" t="str">
        <f>IF(OR(L49="TC",L49="MT"),'CARGA DOCENTE'!$B858," ")</f>
        <v xml:space="preserve"> </v>
      </c>
      <c r="O49" s="374" t="str">
        <f>IF(OR(L49="TC",L49="MT"),'CARGA DOCENTE'!$C858," ")</f>
        <v xml:space="preserve"> </v>
      </c>
      <c r="P49" s="374" t="str">
        <f>IF(OR(L49="TC",L49="MT"),'CARGA DOCENTE'!$G858," ")</f>
        <v xml:space="preserve"> </v>
      </c>
      <c r="Q49" s="372">
        <f>'CARGA DOCENTE'!$H859</f>
        <v>0</v>
      </c>
      <c r="R49" s="373" t="str">
        <f>IF(OR(Q49="TC",Q49="MT"),'CARGA DOCENTE'!$A859," ")</f>
        <v xml:space="preserve"> </v>
      </c>
      <c r="S49" s="374" t="str">
        <f>IF(OR(Q49="TC",Q49="MT"),'CARGA DOCENTE'!$B859," ")</f>
        <v xml:space="preserve"> </v>
      </c>
      <c r="T49" s="374" t="str">
        <f>IF(OR(Q49="TC",Q49="MT"),'CARGA DOCENTE'!$C859," ")</f>
        <v xml:space="preserve"> </v>
      </c>
      <c r="U49" s="374" t="str">
        <f>IF(OR(Q49="TC",Q49="MT"),'CARGA DOCENTE'!$G859," ")</f>
        <v xml:space="preserve"> </v>
      </c>
      <c r="V49" s="372">
        <f>'CARGA DOCENTE'!$H860</f>
        <v>0</v>
      </c>
      <c r="W49" s="373" t="str">
        <f>IF(OR(V49="TC",V49="MT"),'CARGA DOCENTE'!$A860," ")</f>
        <v xml:space="preserve"> </v>
      </c>
      <c r="X49" s="374" t="str">
        <f>IF(OR(V49="TC",V49="MT"),'CARGA DOCENTE'!$B860," ")</f>
        <v xml:space="preserve"> </v>
      </c>
      <c r="Y49" s="374" t="str">
        <f>IF(OR(V49="TC",V49="MT"),'CARGA DOCENTE'!$C860," ")</f>
        <v xml:space="preserve"> </v>
      </c>
      <c r="Z49" s="374" t="str">
        <f>IF(OR(V49="TC",V49="MT"),'CARGA DOCENTE'!$G860," ")</f>
        <v xml:space="preserve"> </v>
      </c>
      <c r="AA49" s="372">
        <f>'CARGA DOCENTE'!$H861</f>
        <v>0</v>
      </c>
      <c r="AB49" s="373" t="str">
        <f>IF(OR(AA49="TC",AA49="MT"),'CARGA DOCENTE'!$A861," ")</f>
        <v xml:space="preserve"> </v>
      </c>
      <c r="AC49" s="374" t="str">
        <f>IF(OR(AA49="TC",AA49="MT"),'CARGA DOCENTE'!$B861," ")</f>
        <v xml:space="preserve"> </v>
      </c>
      <c r="AD49" s="374" t="str">
        <f>IF(OR(AA49="TC",AA49="MT"),'CARGA DOCENTE'!$C861," ")</f>
        <v xml:space="preserve"> </v>
      </c>
      <c r="AE49" s="374" t="str">
        <f>IF(OR(AA49="TC",AA49="MT"),'CARGA DOCENTE'!$G861," ")</f>
        <v xml:space="preserve"> </v>
      </c>
      <c r="AF49" s="372">
        <f>'CARGA DOCENTE'!$H862</f>
        <v>0</v>
      </c>
      <c r="AG49" s="373" t="str">
        <f>IF(OR(AF49="TC",AF49="MT"),'CARGA DOCENTE'!$A862," ")</f>
        <v xml:space="preserve"> </v>
      </c>
      <c r="AH49" s="374" t="str">
        <f>IF(OR(AF49="TC",AF49="MT"),'CARGA DOCENTE'!$B862," ")</f>
        <v xml:space="preserve"> </v>
      </c>
      <c r="AI49" s="374" t="str">
        <f>IF(OR(AF49="TC",AF49="MT"),'CARGA DOCENTE'!$C862," ")</f>
        <v xml:space="preserve"> </v>
      </c>
      <c r="AJ49" s="374" t="str">
        <f>IF(OR(AF49="TC",AF49="MT"),'CARGA DOCENTE'!$G862," ")</f>
        <v xml:space="preserve"> </v>
      </c>
      <c r="AK49" s="372">
        <f>'CARGA DOCENTE'!$H863</f>
        <v>0</v>
      </c>
      <c r="AL49" s="373" t="str">
        <f>IF(OR(AK49="TC",AK49="MT"),'CARGA DOCENTE'!$A863," ")</f>
        <v xml:space="preserve"> </v>
      </c>
      <c r="AM49" s="374" t="str">
        <f>IF(OR(AK49="TC",AK49="MT"),'CARGA DOCENTE'!$B863," ")</f>
        <v xml:space="preserve"> </v>
      </c>
      <c r="AN49" s="374" t="str">
        <f>IF(OR(AK49="TC",AK49="MT"),'CARGA DOCENTE'!$C863," ")</f>
        <v xml:space="preserve"> </v>
      </c>
      <c r="AO49" s="374" t="str">
        <f>IF(OR(AK49="TC",AK49="MT"),'CARGA DOCENTE'!$G863," ")</f>
        <v xml:space="preserve"> </v>
      </c>
      <c r="AP49" s="372">
        <f>'CARGA DOCENTE'!$H864</f>
        <v>0</v>
      </c>
      <c r="AQ49" s="379" t="str">
        <f>IF(OR(AP49="TC",AP49="MT"),'CARGA DOCENTE'!$A864," ")</f>
        <v xml:space="preserve"> </v>
      </c>
      <c r="AR49" s="380" t="str">
        <f>IF(OR(AP49="TC",AP49="MT"),'CARGA DOCENTE'!$B864," ")</f>
        <v xml:space="preserve"> </v>
      </c>
      <c r="AS49" s="380" t="str">
        <f>IF(OR(AP49="TC",AP49="MT"),'CARGA DOCENTE'!$C864," ")</f>
        <v xml:space="preserve"> </v>
      </c>
      <c r="AT49" s="380" t="str">
        <f>IF(OR(AP49="TC",AP49="MT"),'CARGA DOCENTE'!$G864," ")</f>
        <v xml:space="preserve"> </v>
      </c>
      <c r="AU49" s="372">
        <f>'CARGA DOCENTE'!$H865</f>
        <v>0</v>
      </c>
      <c r="AV49" s="373" t="str">
        <f>IF(OR(AU49="TC",AU49="MT"),'CARGA DOCENTE'!$A865," ")</f>
        <v xml:space="preserve"> </v>
      </c>
      <c r="AW49" s="374" t="str">
        <f>IF(OR(AU49="TC",AU49="MT"),'CARGA DOCENTE'!$B865," ")</f>
        <v xml:space="preserve"> </v>
      </c>
      <c r="AX49" s="374" t="str">
        <f>IF(OR(AU49="TC",AU49="MT"),'CARGA DOCENTE'!$C865," ")</f>
        <v xml:space="preserve"> </v>
      </c>
      <c r="AY49" s="374" t="str">
        <f>IF(OR(AU49="TC",AU49="MT"),'CARGA DOCENTE'!$G865," ")</f>
        <v xml:space="preserve"> </v>
      </c>
      <c r="AZ49" s="372">
        <f>'CARGA DOCENTE'!$H866</f>
        <v>0</v>
      </c>
      <c r="BA49" s="373" t="str">
        <f>IF(OR(AZ49="TC",AZ49="MT"),'CARGA DOCENTE'!$A866," ")</f>
        <v xml:space="preserve"> </v>
      </c>
      <c r="BB49" s="374" t="str">
        <f>IF(OR(AZ49="TC",AZ49="MT"),'CARGA DOCENTE'!$B866," ")</f>
        <v xml:space="preserve"> </v>
      </c>
      <c r="BC49" s="374" t="str">
        <f>IF(OR(AZ49="TC",AZ49="MT"),'CARGA DOCENTE'!$C866," ")</f>
        <v xml:space="preserve"> </v>
      </c>
      <c r="BD49" s="374" t="str">
        <f>IF(OR(AZ49="TC",AZ49="MT"),'CARGA DOCENTE'!$G866," ")</f>
        <v xml:space="preserve"> </v>
      </c>
      <c r="BE49" s="372">
        <f>'CARGA DOCENTE'!$H867</f>
        <v>0</v>
      </c>
      <c r="BF49" s="373" t="str">
        <f>IF(OR(BE49="TC",BE49="MT"),'CARGA DOCENTE'!$A867," ")</f>
        <v xml:space="preserve"> </v>
      </c>
      <c r="BG49" s="374" t="str">
        <f>IF(OR(BE49="TC",BE49="MT"),'CARGA DOCENTE'!$B867," ")</f>
        <v xml:space="preserve"> </v>
      </c>
      <c r="BH49" s="374" t="str">
        <f>IF(OR(BE49="TC",BE49="MT"),'CARGA DOCENTE'!$C867," ")</f>
        <v xml:space="preserve"> </v>
      </c>
      <c r="BI49" s="374" t="str">
        <f>IF(OR(BE49="TC",BE49="MT"),'CARGA DOCENTE'!$G867," ")</f>
        <v xml:space="preserve"> </v>
      </c>
      <c r="BJ49" s="372">
        <f>'CARGA DOCENTE'!$H868</f>
        <v>0</v>
      </c>
      <c r="BK49" s="373" t="str">
        <f>IF(OR(BJ49="TC",BJ49="MT"),'CARGA DOCENTE'!$A868," ")</f>
        <v xml:space="preserve"> </v>
      </c>
      <c r="BL49" s="374" t="str">
        <f>IF(OR(BJ49="TC",BJ49="MT"),'CARGA DOCENTE'!$B868," ")</f>
        <v xml:space="preserve"> </v>
      </c>
      <c r="BM49" s="374" t="str">
        <f>IF(OR(BJ49="TC",BJ49="MT"),'CARGA DOCENTE'!$C868," ")</f>
        <v xml:space="preserve"> </v>
      </c>
      <c r="BN49" s="374" t="str">
        <f>IF(OR(BJ49="TC",BJ49="MT"),'CARGA DOCENTE'!$G868," ")</f>
        <v xml:space="preserve"> </v>
      </c>
      <c r="BO49" s="372">
        <f>'CARGA DOCENTE'!$H869</f>
        <v>0</v>
      </c>
      <c r="BP49" s="373" t="str">
        <f>IF(OR(BO49="TC",BO49="MT"),'CARGA DOCENTE'!$A869," ")</f>
        <v xml:space="preserve"> </v>
      </c>
      <c r="BQ49" s="374" t="str">
        <f>IF(OR(BO49="TC",BO49="MT"),'CARGA DOCENTE'!$B869," ")</f>
        <v xml:space="preserve"> </v>
      </c>
      <c r="BR49" s="374" t="str">
        <f>IF(OR(BO49="TC",BO49="MT"),'CARGA DOCENTE'!$C869," ")</f>
        <v xml:space="preserve"> </v>
      </c>
      <c r="BS49" s="374" t="str">
        <f>IF(OR(BO49="TC",BO49="MT"),'CARGA DOCENTE'!$G869," ")</f>
        <v xml:space="preserve"> </v>
      </c>
      <c r="BT49" s="372">
        <f>'CARGA DOCENTE'!$H870</f>
        <v>0</v>
      </c>
      <c r="BU49" s="373" t="str">
        <f>IF(OR(BT49="TC",BT49="MT"),'CARGA DOCENTE'!$A870," ")</f>
        <v xml:space="preserve"> </v>
      </c>
      <c r="BV49" s="374" t="str">
        <f>IF(OR(BT49="TC",BT49="MT"),'CARGA DOCENTE'!$B870," ")</f>
        <v xml:space="preserve"> </v>
      </c>
      <c r="BW49" s="374" t="str">
        <f>IF(OR(BT49="TC",BT49="MT"),'CARGA DOCENTE'!$C870," ")</f>
        <v xml:space="preserve"> </v>
      </c>
      <c r="BX49" s="374" t="str">
        <f>IF(OR(BT49="TC",BT49="MT"),'CARGA DOCENTE'!$G870," ")</f>
        <v xml:space="preserve"> </v>
      </c>
    </row>
    <row r="50" spans="1:76" x14ac:dyDescent="0.2">
      <c r="A50" s="378">
        <f>'CARGA DOCENTE'!J874</f>
        <v>0</v>
      </c>
      <c r="B50" s="372">
        <f>'CARGA DOCENTE'!$H874</f>
        <v>0</v>
      </c>
      <c r="C50" s="373" t="str">
        <f>IF(OR(B50="TC",B50="MT"),'CARGA DOCENTE'!$A874," ")</f>
        <v xml:space="preserve"> </v>
      </c>
      <c r="D50" s="374" t="str">
        <f>IF(OR(B50="TC",B50="MT"),'CARGA DOCENTE'!$B874," ")</f>
        <v xml:space="preserve"> </v>
      </c>
      <c r="E50" s="374" t="str">
        <f>IF(OR(B50="TC",B50="MT"),'CARGA DOCENTE'!$C874," ")</f>
        <v xml:space="preserve"> </v>
      </c>
      <c r="F50" s="374" t="str">
        <f>IF(OR(B50="TC",B50="MT"),'CARGA DOCENTE'!$G874," ")</f>
        <v xml:space="preserve"> </v>
      </c>
      <c r="G50" s="372">
        <f>'CARGA DOCENTE'!$H875</f>
        <v>0</v>
      </c>
      <c r="H50" s="373" t="str">
        <f>IF(OR(G50="TC",G50="MT"),'CARGA DOCENTE'!$A875," ")</f>
        <v xml:space="preserve"> </v>
      </c>
      <c r="I50" s="374" t="str">
        <f>IF(OR(G50="TC",G50="MT"),'CARGA DOCENTE'!$B875," ")</f>
        <v xml:space="preserve"> </v>
      </c>
      <c r="J50" s="374" t="str">
        <f>IF(OR(G50="TC",G50="MT"),'CARGA DOCENTE'!$C875," ")</f>
        <v xml:space="preserve"> </v>
      </c>
      <c r="K50" s="374" t="str">
        <f>IF(OR(G50="TC",G50="MT"),'CARGA DOCENTE'!$G875," ")</f>
        <v xml:space="preserve"> </v>
      </c>
      <c r="L50" s="372">
        <f>'CARGA DOCENTE'!$H876</f>
        <v>0</v>
      </c>
      <c r="M50" s="373" t="str">
        <f>IF(OR(L50="TC",L50="MT"),'CARGA DOCENTE'!$A876," ")</f>
        <v xml:space="preserve"> </v>
      </c>
      <c r="N50" s="374" t="str">
        <f>IF(OR(L50="TC",L50="MT"),'CARGA DOCENTE'!$B876," ")</f>
        <v xml:space="preserve"> </v>
      </c>
      <c r="O50" s="374" t="str">
        <f>IF(OR(L50="TC",L50="MT"),'CARGA DOCENTE'!$C876," ")</f>
        <v xml:space="preserve"> </v>
      </c>
      <c r="P50" s="374" t="str">
        <f>IF(OR(L50="TC",L50="MT"),'CARGA DOCENTE'!$G876," ")</f>
        <v xml:space="preserve"> </v>
      </c>
      <c r="Q50" s="372">
        <f>'CARGA DOCENTE'!$H877</f>
        <v>0</v>
      </c>
      <c r="R50" s="373" t="str">
        <f>IF(OR(Q50="TC",Q50="MT"),'CARGA DOCENTE'!$A877," ")</f>
        <v xml:space="preserve"> </v>
      </c>
      <c r="S50" s="374" t="str">
        <f>IF(OR(Q50="TC",Q50="MT"),'CARGA DOCENTE'!$B877," ")</f>
        <v xml:space="preserve"> </v>
      </c>
      <c r="T50" s="374" t="str">
        <f>IF(OR(Q50="TC",Q50="MT"),'CARGA DOCENTE'!$C877," ")</f>
        <v xml:space="preserve"> </v>
      </c>
      <c r="U50" s="374" t="str">
        <f>IF(OR(Q50="TC",Q50="MT"),'CARGA DOCENTE'!$G877," ")</f>
        <v xml:space="preserve"> </v>
      </c>
      <c r="V50" s="372">
        <f>'CARGA DOCENTE'!$H878</f>
        <v>0</v>
      </c>
      <c r="W50" s="373" t="str">
        <f>IF(OR(V50="TC",V50="MT"),'CARGA DOCENTE'!$A878," ")</f>
        <v xml:space="preserve"> </v>
      </c>
      <c r="X50" s="374" t="str">
        <f>IF(OR(V50="TC",V50="MT"),'CARGA DOCENTE'!$B878," ")</f>
        <v xml:space="preserve"> </v>
      </c>
      <c r="Y50" s="374" t="str">
        <f>IF(OR(V50="TC",V50="MT"),'CARGA DOCENTE'!$C878," ")</f>
        <v xml:space="preserve"> </v>
      </c>
      <c r="Z50" s="374" t="str">
        <f>IF(OR(V50="TC",V50="MT"),'CARGA DOCENTE'!$G878," ")</f>
        <v xml:space="preserve"> </v>
      </c>
      <c r="AA50" s="372">
        <f>'CARGA DOCENTE'!$H879</f>
        <v>0</v>
      </c>
      <c r="AB50" s="373" t="str">
        <f>IF(OR(AA50="TC",AA50="MT"),'CARGA DOCENTE'!$A879," ")</f>
        <v xml:space="preserve"> </v>
      </c>
      <c r="AC50" s="374" t="str">
        <f>IF(OR(AA50="TC",AA50="MT"),'CARGA DOCENTE'!$B879," ")</f>
        <v xml:space="preserve"> </v>
      </c>
      <c r="AD50" s="374" t="str">
        <f>IF(OR(AA50="TC",AA50="MT"),'CARGA DOCENTE'!$C879," ")</f>
        <v xml:space="preserve"> </v>
      </c>
      <c r="AE50" s="374" t="str">
        <f>IF(OR(AA50="TC",AA50="MT"),'CARGA DOCENTE'!$G879," ")</f>
        <v xml:space="preserve"> </v>
      </c>
      <c r="AF50" s="372">
        <f>'CARGA DOCENTE'!$H880</f>
        <v>0</v>
      </c>
      <c r="AG50" s="373" t="str">
        <f>IF(OR(AF50="TC",AF50="MT"),'CARGA DOCENTE'!$A880," ")</f>
        <v xml:space="preserve"> </v>
      </c>
      <c r="AH50" s="374" t="str">
        <f>IF(OR(AF50="TC",AF50="MT"),'CARGA DOCENTE'!$B880," ")</f>
        <v xml:space="preserve"> </v>
      </c>
      <c r="AI50" s="374" t="str">
        <f>IF(OR(AF50="TC",AF50="MT"),'CARGA DOCENTE'!$C880," ")</f>
        <v xml:space="preserve"> </v>
      </c>
      <c r="AJ50" s="374" t="str">
        <f>IF(OR(AF50="TC",AF50="MT"),'CARGA DOCENTE'!$G880," ")</f>
        <v xml:space="preserve"> </v>
      </c>
      <c r="AK50" s="372">
        <f>'CARGA DOCENTE'!$H881</f>
        <v>0</v>
      </c>
      <c r="AL50" s="373" t="str">
        <f>IF(OR(AK50="TC",AK50="MT"),'CARGA DOCENTE'!$A881," ")</f>
        <v xml:space="preserve"> </v>
      </c>
      <c r="AM50" s="374" t="str">
        <f>IF(OR(AK50="TC",AK50="MT"),'CARGA DOCENTE'!$B881," ")</f>
        <v xml:space="preserve"> </v>
      </c>
      <c r="AN50" s="374" t="str">
        <f>IF(OR(AK50="TC",AK50="MT"),'CARGA DOCENTE'!$C881," ")</f>
        <v xml:space="preserve"> </v>
      </c>
      <c r="AO50" s="374" t="str">
        <f>IF(OR(AK50="TC",AK50="MT"),'CARGA DOCENTE'!$G881," ")</f>
        <v xml:space="preserve"> </v>
      </c>
      <c r="AP50" s="372">
        <f>'CARGA DOCENTE'!$H882</f>
        <v>0</v>
      </c>
      <c r="AQ50" s="379" t="str">
        <f>IF(OR(AP50="TC",AP50="MT"),'CARGA DOCENTE'!$A882," ")</f>
        <v xml:space="preserve"> </v>
      </c>
      <c r="AR50" s="380" t="str">
        <f>IF(OR(AP50="TC",AP50="MT"),'CARGA DOCENTE'!$B882," ")</f>
        <v xml:space="preserve"> </v>
      </c>
      <c r="AS50" s="380" t="str">
        <f>IF(OR(AP50="TC",AP50="MT"),'CARGA DOCENTE'!$C882," ")</f>
        <v xml:space="preserve"> </v>
      </c>
      <c r="AT50" s="380" t="str">
        <f>IF(OR(AP50="TC",AP50="MT"),'CARGA DOCENTE'!$G882," ")</f>
        <v xml:space="preserve"> </v>
      </c>
      <c r="AU50" s="372">
        <f>'CARGA DOCENTE'!$H883</f>
        <v>0</v>
      </c>
      <c r="AV50" s="373" t="str">
        <f>IF(OR(AU50="TC",AU50="MT"),'CARGA DOCENTE'!$A883," ")</f>
        <v xml:space="preserve"> </v>
      </c>
      <c r="AW50" s="374" t="str">
        <f>IF(OR(AU50="TC",AU50="MT"),'CARGA DOCENTE'!$B883," ")</f>
        <v xml:space="preserve"> </v>
      </c>
      <c r="AX50" s="374" t="str">
        <f>IF(OR(AU50="TC",AU50="MT"),'CARGA DOCENTE'!$C883," ")</f>
        <v xml:space="preserve"> </v>
      </c>
      <c r="AY50" s="374" t="str">
        <f>IF(OR(AU50="TC",AU50="MT"),'CARGA DOCENTE'!$G883," ")</f>
        <v xml:space="preserve"> </v>
      </c>
      <c r="AZ50" s="372">
        <f>'CARGA DOCENTE'!$H884</f>
        <v>0</v>
      </c>
      <c r="BA50" s="373" t="str">
        <f>IF(OR(AZ50="TC",AZ50="MT"),'CARGA DOCENTE'!$A884," ")</f>
        <v xml:space="preserve"> </v>
      </c>
      <c r="BB50" s="374" t="str">
        <f>IF(OR(AZ50="TC",AZ50="MT"),'CARGA DOCENTE'!$B884," ")</f>
        <v xml:space="preserve"> </v>
      </c>
      <c r="BC50" s="374" t="str">
        <f>IF(OR(AZ50="TC",AZ50="MT"),'CARGA DOCENTE'!$C884," ")</f>
        <v xml:space="preserve"> </v>
      </c>
      <c r="BD50" s="374" t="str">
        <f>IF(OR(AZ50="TC",AZ50="MT"),'CARGA DOCENTE'!$G884," ")</f>
        <v xml:space="preserve"> </v>
      </c>
      <c r="BE50" s="372">
        <f>'CARGA DOCENTE'!$H885</f>
        <v>0</v>
      </c>
      <c r="BF50" s="373" t="str">
        <f>IF(OR(BE50="TC",BE50="MT"),'CARGA DOCENTE'!$A885," ")</f>
        <v xml:space="preserve"> </v>
      </c>
      <c r="BG50" s="374" t="str">
        <f>IF(OR(BE50="TC",BE50="MT"),'CARGA DOCENTE'!$B885," ")</f>
        <v xml:space="preserve"> </v>
      </c>
      <c r="BH50" s="374" t="str">
        <f>IF(OR(BE50="TC",BE50="MT"),'CARGA DOCENTE'!$C885," ")</f>
        <v xml:space="preserve"> </v>
      </c>
      <c r="BI50" s="374" t="str">
        <f>IF(OR(BE50="TC",BE50="MT"),'CARGA DOCENTE'!$G885," ")</f>
        <v xml:space="preserve"> </v>
      </c>
      <c r="BJ50" s="372">
        <f>'CARGA DOCENTE'!$H886</f>
        <v>0</v>
      </c>
      <c r="BK50" s="373" t="str">
        <f>IF(OR(BJ50="TC",BJ50="MT"),'CARGA DOCENTE'!$A886," ")</f>
        <v xml:space="preserve"> </v>
      </c>
      <c r="BL50" s="374" t="str">
        <f>IF(OR(BJ50="TC",BJ50="MT"),'CARGA DOCENTE'!$B886," ")</f>
        <v xml:space="preserve"> </v>
      </c>
      <c r="BM50" s="374" t="str">
        <f>IF(OR(BJ50="TC",BJ50="MT"),'CARGA DOCENTE'!$C886," ")</f>
        <v xml:space="preserve"> </v>
      </c>
      <c r="BN50" s="374" t="str">
        <f>IF(OR(BJ50="TC",BJ50="MT"),'CARGA DOCENTE'!$G886," ")</f>
        <v xml:space="preserve"> </v>
      </c>
      <c r="BO50" s="372">
        <f>'CARGA DOCENTE'!$H887</f>
        <v>0</v>
      </c>
      <c r="BP50" s="373" t="str">
        <f>IF(OR(BO50="TC",BO50="MT"),'CARGA DOCENTE'!$A887," ")</f>
        <v xml:space="preserve"> </v>
      </c>
      <c r="BQ50" s="374" t="str">
        <f>IF(OR(BO50="TC",BO50="MT"),'CARGA DOCENTE'!$B887," ")</f>
        <v xml:space="preserve"> </v>
      </c>
      <c r="BR50" s="374" t="str">
        <f>IF(OR(BO50="TC",BO50="MT"),'CARGA DOCENTE'!$C887," ")</f>
        <v xml:space="preserve"> </v>
      </c>
      <c r="BS50" s="374" t="str">
        <f>IF(OR(BO50="TC",BO50="MT"),'CARGA DOCENTE'!$G887," ")</f>
        <v xml:space="preserve"> </v>
      </c>
      <c r="BT50" s="372">
        <f>'CARGA DOCENTE'!$H888</f>
        <v>0</v>
      </c>
      <c r="BU50" s="373" t="str">
        <f>IF(OR(BT50="TC",BT50="MT"),'CARGA DOCENTE'!$A888," ")</f>
        <v xml:space="preserve"> </v>
      </c>
      <c r="BV50" s="374" t="str">
        <f>IF(OR(BT50="TC",BT50="MT"),'CARGA DOCENTE'!$B888," ")</f>
        <v xml:space="preserve"> </v>
      </c>
      <c r="BW50" s="374" t="str">
        <f>IF(OR(BT50="TC",BT50="MT"),'CARGA DOCENTE'!$C888," ")</f>
        <v xml:space="preserve"> </v>
      </c>
      <c r="BX50" s="374" t="str">
        <f>IF(OR(BT50="TC",BT50="MT"),'CARGA DOCENTE'!$G888," ")</f>
        <v xml:space="preserve"> </v>
      </c>
    </row>
    <row r="51" spans="1:76" x14ac:dyDescent="0.2">
      <c r="A51" s="378">
        <f>'CARGA DOCENTE'!J892</f>
        <v>0</v>
      </c>
      <c r="B51" s="372">
        <f>'CARGA DOCENTE'!$H892</f>
        <v>0</v>
      </c>
      <c r="C51" s="373" t="str">
        <f>IF(OR(B51="TC",B51="MT"),'CARGA DOCENTE'!$A892," ")</f>
        <v xml:space="preserve"> </v>
      </c>
      <c r="D51" s="374" t="str">
        <f>IF(OR(B51="TC",B51="MT"),'CARGA DOCENTE'!$B892," ")</f>
        <v xml:space="preserve"> </v>
      </c>
      <c r="E51" s="374" t="str">
        <f>IF(OR(B51="TC",B51="MT"),'CARGA DOCENTE'!$C892," ")</f>
        <v xml:space="preserve"> </v>
      </c>
      <c r="F51" s="374" t="str">
        <f>IF(OR(B51="TC",B51="MT"),'CARGA DOCENTE'!$G892," ")</f>
        <v xml:space="preserve"> </v>
      </c>
      <c r="G51" s="372">
        <f>'CARGA DOCENTE'!$H893</f>
        <v>0</v>
      </c>
      <c r="H51" s="373" t="str">
        <f>IF(OR(G51="TC",G51="MT"),'CARGA DOCENTE'!$A893," ")</f>
        <v xml:space="preserve"> </v>
      </c>
      <c r="I51" s="374" t="str">
        <f>IF(OR(G51="TC",G51="MT"),'CARGA DOCENTE'!$B893," ")</f>
        <v xml:space="preserve"> </v>
      </c>
      <c r="J51" s="374" t="str">
        <f>IF(OR(G51="TC",G51="MT"),'CARGA DOCENTE'!$C893," ")</f>
        <v xml:space="preserve"> </v>
      </c>
      <c r="K51" s="374" t="str">
        <f>IF(OR(G51="TC",G51="MT"),'CARGA DOCENTE'!$G893," ")</f>
        <v xml:space="preserve"> </v>
      </c>
      <c r="L51" s="372">
        <f>'CARGA DOCENTE'!$H894</f>
        <v>0</v>
      </c>
      <c r="M51" s="373" t="str">
        <f>IF(OR(L51="TC",L51="MT"),'CARGA DOCENTE'!$A894," ")</f>
        <v xml:space="preserve"> </v>
      </c>
      <c r="N51" s="374" t="str">
        <f>IF(OR(L51="TC",L51="MT"),'CARGA DOCENTE'!$B894," ")</f>
        <v xml:space="preserve"> </v>
      </c>
      <c r="O51" s="374" t="str">
        <f>IF(OR(L51="TC",L51="MT"),'CARGA DOCENTE'!$C894," ")</f>
        <v xml:space="preserve"> </v>
      </c>
      <c r="P51" s="374" t="str">
        <f>IF(OR(L51="TC",L51="MT"),'CARGA DOCENTE'!$G894," ")</f>
        <v xml:space="preserve"> </v>
      </c>
      <c r="Q51" s="372">
        <f>'CARGA DOCENTE'!$H895</f>
        <v>0</v>
      </c>
      <c r="R51" s="373" t="str">
        <f>IF(OR(Q51="TC",Q51="MT"),'CARGA DOCENTE'!$A895," ")</f>
        <v xml:space="preserve"> </v>
      </c>
      <c r="S51" s="374" t="str">
        <f>IF(OR(Q51="TC",Q51="MT"),'CARGA DOCENTE'!$B895," ")</f>
        <v xml:space="preserve"> </v>
      </c>
      <c r="T51" s="374" t="str">
        <f>IF(OR(Q51="TC",Q51="MT"),'CARGA DOCENTE'!$C895," ")</f>
        <v xml:space="preserve"> </v>
      </c>
      <c r="U51" s="374" t="str">
        <f>IF(OR(Q51="TC",Q51="MT"),'CARGA DOCENTE'!$G895," ")</f>
        <v xml:space="preserve"> </v>
      </c>
      <c r="V51" s="372">
        <f>'CARGA DOCENTE'!$H896</f>
        <v>0</v>
      </c>
      <c r="W51" s="373" t="str">
        <f>IF(OR(V51="TC",V51="MT"),'CARGA DOCENTE'!$A896," ")</f>
        <v xml:space="preserve"> </v>
      </c>
      <c r="X51" s="374" t="str">
        <f>IF(OR(V51="TC",V51="MT"),'CARGA DOCENTE'!$B896," ")</f>
        <v xml:space="preserve"> </v>
      </c>
      <c r="Y51" s="374" t="str">
        <f>IF(OR(V51="TC",V51="MT"),'CARGA DOCENTE'!$C896," ")</f>
        <v xml:space="preserve"> </v>
      </c>
      <c r="Z51" s="374" t="str">
        <f>IF(OR(V51="TC",V51="MT"),'CARGA DOCENTE'!$G896," ")</f>
        <v xml:space="preserve"> </v>
      </c>
      <c r="AA51" s="372">
        <f>'CARGA DOCENTE'!$H897</f>
        <v>0</v>
      </c>
      <c r="AB51" s="373" t="str">
        <f>IF(OR(AA51="TC",AA51="MT"),'CARGA DOCENTE'!$A897," ")</f>
        <v xml:space="preserve"> </v>
      </c>
      <c r="AC51" s="374" t="str">
        <f>IF(OR(AA51="TC",AA51="MT"),'CARGA DOCENTE'!$B897," ")</f>
        <v xml:space="preserve"> </v>
      </c>
      <c r="AD51" s="374" t="str">
        <f>IF(OR(AA51="TC",AA51="MT"),'CARGA DOCENTE'!$C897," ")</f>
        <v xml:space="preserve"> </v>
      </c>
      <c r="AE51" s="374" t="str">
        <f>IF(OR(AA51="TC",AA51="MT"),'CARGA DOCENTE'!$G897," ")</f>
        <v xml:space="preserve"> </v>
      </c>
      <c r="AF51" s="372">
        <f>'CARGA DOCENTE'!$H898</f>
        <v>0</v>
      </c>
      <c r="AG51" s="373" t="str">
        <f>IF(OR(AF51="TC",AF51="MT"),'CARGA DOCENTE'!$A898," ")</f>
        <v xml:space="preserve"> </v>
      </c>
      <c r="AH51" s="374" t="str">
        <f>IF(OR(AF51="TC",AF51="MT"),'CARGA DOCENTE'!$B898," ")</f>
        <v xml:space="preserve"> </v>
      </c>
      <c r="AI51" s="374" t="str">
        <f>IF(OR(AF51="TC",AF51="MT"),'CARGA DOCENTE'!$C898," ")</f>
        <v xml:space="preserve"> </v>
      </c>
      <c r="AJ51" s="374" t="str">
        <f>IF(OR(AF51="TC",AF51="MT"),'CARGA DOCENTE'!$G898," ")</f>
        <v xml:space="preserve"> </v>
      </c>
      <c r="AK51" s="372">
        <f>'CARGA DOCENTE'!$H899</f>
        <v>0</v>
      </c>
      <c r="AL51" s="373" t="str">
        <f>IF(OR(AK51="TC",AK51="MT"),'CARGA DOCENTE'!$A899," ")</f>
        <v xml:space="preserve"> </v>
      </c>
      <c r="AM51" s="374" t="str">
        <f>IF(OR(AK51="TC",AK51="MT"),'CARGA DOCENTE'!$B899," ")</f>
        <v xml:space="preserve"> </v>
      </c>
      <c r="AN51" s="374" t="str">
        <f>IF(OR(AK51="TC",AK51="MT"),'CARGA DOCENTE'!$C899," ")</f>
        <v xml:space="preserve"> </v>
      </c>
      <c r="AO51" s="374" t="str">
        <f>IF(OR(AK51="TC",AK51="MT"),'CARGA DOCENTE'!$G899," ")</f>
        <v xml:space="preserve"> </v>
      </c>
      <c r="AP51" s="372">
        <f>'CARGA DOCENTE'!$H900</f>
        <v>0</v>
      </c>
      <c r="AQ51" s="379" t="str">
        <f>IF(OR(AP51="TC",AP51="MT"),'CARGA DOCENTE'!$A900," ")</f>
        <v xml:space="preserve"> </v>
      </c>
      <c r="AR51" s="380" t="str">
        <f>IF(OR(AP51="TC",AP51="MT"),'CARGA DOCENTE'!$B900," ")</f>
        <v xml:space="preserve"> </v>
      </c>
      <c r="AS51" s="380" t="str">
        <f>IF(OR(AP51="TC",AP51="MT"),'CARGA DOCENTE'!$C900," ")</f>
        <v xml:space="preserve"> </v>
      </c>
      <c r="AT51" s="380" t="str">
        <f>IF(OR(AP51="TC",AP51="MT"),'CARGA DOCENTE'!$G900," ")</f>
        <v xml:space="preserve"> </v>
      </c>
      <c r="AU51" s="372">
        <f>'CARGA DOCENTE'!$H901</f>
        <v>0</v>
      </c>
      <c r="AV51" s="373" t="str">
        <f>IF(OR(AU51="TC",AU51="MT"),'CARGA DOCENTE'!$A901," ")</f>
        <v xml:space="preserve"> </v>
      </c>
      <c r="AW51" s="374" t="str">
        <f>IF(OR(AU51="TC",AU51="MT"),'CARGA DOCENTE'!$B901," ")</f>
        <v xml:space="preserve"> </v>
      </c>
      <c r="AX51" s="374" t="str">
        <f>IF(OR(AU51="TC",AU51="MT"),'CARGA DOCENTE'!$C901," ")</f>
        <v xml:space="preserve"> </v>
      </c>
      <c r="AY51" s="374" t="str">
        <f>IF(OR(AU51="TC",AU51="MT"),'CARGA DOCENTE'!$G901," ")</f>
        <v xml:space="preserve"> </v>
      </c>
      <c r="AZ51" s="372">
        <f>'CARGA DOCENTE'!$H902</f>
        <v>0</v>
      </c>
      <c r="BA51" s="373" t="str">
        <f>IF(OR(AZ51="TC",AZ51="MT"),'CARGA DOCENTE'!$A902," ")</f>
        <v xml:space="preserve"> </v>
      </c>
      <c r="BB51" s="374" t="str">
        <f>IF(OR(AZ51="TC",AZ51="MT"),'CARGA DOCENTE'!$B902," ")</f>
        <v xml:space="preserve"> </v>
      </c>
      <c r="BC51" s="374" t="str">
        <f>IF(OR(AZ51="TC",AZ51="MT"),'CARGA DOCENTE'!$C902," ")</f>
        <v xml:space="preserve"> </v>
      </c>
      <c r="BD51" s="374" t="str">
        <f>IF(OR(AZ51="TC",AZ51="MT"),'CARGA DOCENTE'!$G902," ")</f>
        <v xml:space="preserve"> </v>
      </c>
      <c r="BE51" s="372">
        <f>'CARGA DOCENTE'!$H903</f>
        <v>0</v>
      </c>
      <c r="BF51" s="373" t="str">
        <f>IF(OR(BE51="TC",BE51="MT"),'CARGA DOCENTE'!$A903," ")</f>
        <v xml:space="preserve"> </v>
      </c>
      <c r="BG51" s="374" t="str">
        <f>IF(OR(BE51="TC",BE51="MT"),'CARGA DOCENTE'!$B903," ")</f>
        <v xml:space="preserve"> </v>
      </c>
      <c r="BH51" s="374" t="str">
        <f>IF(OR(BE51="TC",BE51="MT"),'CARGA DOCENTE'!$C903," ")</f>
        <v xml:space="preserve"> </v>
      </c>
      <c r="BI51" s="374" t="str">
        <f>IF(OR(BE51="TC",BE51="MT"),'CARGA DOCENTE'!$G903," ")</f>
        <v xml:space="preserve"> </v>
      </c>
      <c r="BJ51" s="372">
        <f>'CARGA DOCENTE'!$H904</f>
        <v>0</v>
      </c>
      <c r="BK51" s="373" t="str">
        <f>IF(OR(BJ51="TC",BJ51="MT"),'CARGA DOCENTE'!$A904," ")</f>
        <v xml:space="preserve"> </v>
      </c>
      <c r="BL51" s="374" t="str">
        <f>IF(OR(BJ51="TC",BJ51="MT"),'CARGA DOCENTE'!$B904," ")</f>
        <v xml:space="preserve"> </v>
      </c>
      <c r="BM51" s="374" t="str">
        <f>IF(OR(BJ51="TC",BJ51="MT"),'CARGA DOCENTE'!$C904," ")</f>
        <v xml:space="preserve"> </v>
      </c>
      <c r="BN51" s="374" t="str">
        <f>IF(OR(BJ51="TC",BJ51="MT"),'CARGA DOCENTE'!$G904," ")</f>
        <v xml:space="preserve"> </v>
      </c>
      <c r="BO51" s="372">
        <f>'CARGA DOCENTE'!$H905</f>
        <v>0</v>
      </c>
      <c r="BP51" s="373" t="str">
        <f>IF(OR(BO51="TC",BO51="MT"),'CARGA DOCENTE'!$A905," ")</f>
        <v xml:space="preserve"> </v>
      </c>
      <c r="BQ51" s="374" t="str">
        <f>IF(OR(BO51="TC",BO51="MT"),'CARGA DOCENTE'!$B905," ")</f>
        <v xml:space="preserve"> </v>
      </c>
      <c r="BR51" s="374" t="str">
        <f>IF(OR(BO51="TC",BO51="MT"),'CARGA DOCENTE'!$C905," ")</f>
        <v xml:space="preserve"> </v>
      </c>
      <c r="BS51" s="374" t="str">
        <f>IF(OR(BO51="TC",BO51="MT"),'CARGA DOCENTE'!$G905," ")</f>
        <v xml:space="preserve"> </v>
      </c>
      <c r="BT51" s="372">
        <f>'CARGA DOCENTE'!$H906</f>
        <v>0</v>
      </c>
      <c r="BU51" s="373" t="str">
        <f>IF(OR(BT51="TC",BT51="MT"),'CARGA DOCENTE'!$A906," ")</f>
        <v xml:space="preserve"> </v>
      </c>
      <c r="BV51" s="374" t="str">
        <f>IF(OR(BT51="TC",BT51="MT"),'CARGA DOCENTE'!$B906," ")</f>
        <v xml:space="preserve"> </v>
      </c>
      <c r="BW51" s="374" t="str">
        <f>IF(OR(BT51="TC",BT51="MT"),'CARGA DOCENTE'!$C906," ")</f>
        <v xml:space="preserve"> </v>
      </c>
      <c r="BX51" s="374" t="str">
        <f>IF(OR(BT51="TC",BT51="MT"),'CARGA DOCENTE'!$G906," ")</f>
        <v xml:space="preserve"> </v>
      </c>
    </row>
    <row r="52" spans="1:76" x14ac:dyDescent="0.2">
      <c r="A52" s="378">
        <f>'CARGA DOCENTE'!J910</f>
        <v>0</v>
      </c>
      <c r="B52" s="372">
        <f>'CARGA DOCENTE'!$H910</f>
        <v>0</v>
      </c>
      <c r="C52" s="373" t="str">
        <f>IF(OR(B52="TC",B52="MT"),'CARGA DOCENTE'!$A910," ")</f>
        <v xml:space="preserve"> </v>
      </c>
      <c r="D52" s="374" t="str">
        <f>IF(OR(B52="TC",B52="MT"),'CARGA DOCENTE'!$B910," ")</f>
        <v xml:space="preserve"> </v>
      </c>
      <c r="E52" s="374" t="str">
        <f>IF(OR(B52="TC",B52="MT"),'CARGA DOCENTE'!$C910," ")</f>
        <v xml:space="preserve"> </v>
      </c>
      <c r="F52" s="374" t="str">
        <f>IF(OR(B52="TC",B52="MT"),'CARGA DOCENTE'!$G910," ")</f>
        <v xml:space="preserve"> </v>
      </c>
      <c r="G52" s="372">
        <f>'CARGA DOCENTE'!$H911</f>
        <v>0</v>
      </c>
      <c r="H52" s="373" t="str">
        <f>IF(OR(G52="TC",G52="MT"),'CARGA DOCENTE'!$A911," ")</f>
        <v xml:space="preserve"> </v>
      </c>
      <c r="I52" s="374" t="str">
        <f>IF(OR(G52="TC",G52="MT"),'CARGA DOCENTE'!$B911," ")</f>
        <v xml:space="preserve"> </v>
      </c>
      <c r="J52" s="374" t="str">
        <f>IF(OR(G52="TC",G52="MT"),'CARGA DOCENTE'!$C911," ")</f>
        <v xml:space="preserve"> </v>
      </c>
      <c r="K52" s="374" t="str">
        <f>IF(OR(G52="TC",G52="MT"),'CARGA DOCENTE'!$G911," ")</f>
        <v xml:space="preserve"> </v>
      </c>
      <c r="L52" s="372">
        <f>'CARGA DOCENTE'!$H912</f>
        <v>0</v>
      </c>
      <c r="M52" s="373" t="str">
        <f>IF(OR(L52="TC",L52="MT"),'CARGA DOCENTE'!$A912," ")</f>
        <v xml:space="preserve"> </v>
      </c>
      <c r="N52" s="374" t="str">
        <f>IF(OR(L52="TC",L52="MT"),'CARGA DOCENTE'!$B912," ")</f>
        <v xml:space="preserve"> </v>
      </c>
      <c r="O52" s="374" t="str">
        <f>IF(OR(L52="TC",L52="MT"),'CARGA DOCENTE'!$C912," ")</f>
        <v xml:space="preserve"> </v>
      </c>
      <c r="P52" s="374" t="str">
        <f>IF(OR(L52="TC",L52="MT"),'CARGA DOCENTE'!$G912," ")</f>
        <v xml:space="preserve"> </v>
      </c>
      <c r="Q52" s="372">
        <f>'CARGA DOCENTE'!$H913</f>
        <v>0</v>
      </c>
      <c r="R52" s="373" t="str">
        <f>IF(OR(Q52="TC",Q52="MT"),'CARGA DOCENTE'!$A913," ")</f>
        <v xml:space="preserve"> </v>
      </c>
      <c r="S52" s="374" t="str">
        <f>IF(OR(Q52="TC",Q52="MT"),'CARGA DOCENTE'!$B913," ")</f>
        <v xml:space="preserve"> </v>
      </c>
      <c r="T52" s="374" t="str">
        <f>IF(OR(Q52="TC",Q52="MT"),'CARGA DOCENTE'!$C913," ")</f>
        <v xml:space="preserve"> </v>
      </c>
      <c r="U52" s="374" t="str">
        <f>IF(OR(Q52="TC",Q52="MT"),'CARGA DOCENTE'!$G913," ")</f>
        <v xml:space="preserve"> </v>
      </c>
      <c r="V52" s="372">
        <f>'CARGA DOCENTE'!$H914</f>
        <v>0</v>
      </c>
      <c r="W52" s="373" t="str">
        <f>IF(OR(V52="TC",V52="MT"),'CARGA DOCENTE'!$A914," ")</f>
        <v xml:space="preserve"> </v>
      </c>
      <c r="X52" s="374" t="str">
        <f>IF(OR(V52="TC",V52="MT"),'CARGA DOCENTE'!$B914," ")</f>
        <v xml:space="preserve"> </v>
      </c>
      <c r="Y52" s="374" t="str">
        <f>IF(OR(V52="TC",V52="MT"),'CARGA DOCENTE'!$C914," ")</f>
        <v xml:space="preserve"> </v>
      </c>
      <c r="Z52" s="374" t="str">
        <f>IF(OR(V52="TC",V52="MT"),'CARGA DOCENTE'!$G914," ")</f>
        <v xml:space="preserve"> </v>
      </c>
      <c r="AA52" s="372">
        <f>'CARGA DOCENTE'!$H915</f>
        <v>0</v>
      </c>
      <c r="AB52" s="373" t="str">
        <f>IF(OR(AA52="TC",AA52="MT"),'CARGA DOCENTE'!$A915," ")</f>
        <v xml:space="preserve"> </v>
      </c>
      <c r="AC52" s="374" t="str">
        <f>IF(OR(AA52="TC",AA52="MT"),'CARGA DOCENTE'!$B915," ")</f>
        <v xml:space="preserve"> </v>
      </c>
      <c r="AD52" s="374" t="str">
        <f>IF(OR(AA52="TC",AA52="MT"),'CARGA DOCENTE'!$C915," ")</f>
        <v xml:space="preserve"> </v>
      </c>
      <c r="AE52" s="374" t="str">
        <f>IF(OR(AA52="TC",AA52="MT"),'CARGA DOCENTE'!$G915," ")</f>
        <v xml:space="preserve"> </v>
      </c>
      <c r="AF52" s="372">
        <f>'CARGA DOCENTE'!$H916</f>
        <v>0</v>
      </c>
      <c r="AG52" s="373" t="str">
        <f>IF(OR(AF52="TC",AF52="MT"),'CARGA DOCENTE'!$A916," ")</f>
        <v xml:space="preserve"> </v>
      </c>
      <c r="AH52" s="374" t="str">
        <f>IF(OR(AF52="TC",AF52="MT"),'CARGA DOCENTE'!$B916," ")</f>
        <v xml:space="preserve"> </v>
      </c>
      <c r="AI52" s="374" t="str">
        <f>IF(OR(AF52="TC",AF52="MT"),'CARGA DOCENTE'!$C916," ")</f>
        <v xml:space="preserve"> </v>
      </c>
      <c r="AJ52" s="374" t="str">
        <f>IF(OR(AF52="TC",AF52="MT"),'CARGA DOCENTE'!$G916," ")</f>
        <v xml:space="preserve"> </v>
      </c>
      <c r="AK52" s="372">
        <f>'CARGA DOCENTE'!$H917</f>
        <v>0</v>
      </c>
      <c r="AL52" s="373" t="str">
        <f>IF(OR(AK52="TC",AK52="MT"),'CARGA DOCENTE'!$A917," ")</f>
        <v xml:space="preserve"> </v>
      </c>
      <c r="AM52" s="374" t="str">
        <f>IF(OR(AK52="TC",AK52="MT"),'CARGA DOCENTE'!$B917," ")</f>
        <v xml:space="preserve"> </v>
      </c>
      <c r="AN52" s="374" t="str">
        <f>IF(OR(AK52="TC",AK52="MT"),'CARGA DOCENTE'!$C917," ")</f>
        <v xml:space="preserve"> </v>
      </c>
      <c r="AO52" s="374" t="str">
        <f>IF(OR(AK52="TC",AK52="MT"),'CARGA DOCENTE'!$G917," ")</f>
        <v xml:space="preserve"> </v>
      </c>
      <c r="AP52" s="372">
        <f>'CARGA DOCENTE'!$H918</f>
        <v>0</v>
      </c>
      <c r="AQ52" s="379" t="str">
        <f>IF(OR(AP52="TC",AP52="MT"),'CARGA DOCENTE'!$A918," ")</f>
        <v xml:space="preserve"> </v>
      </c>
      <c r="AR52" s="380" t="str">
        <f>IF(OR(AP52="TC",AP52="MT"),'CARGA DOCENTE'!$B918," ")</f>
        <v xml:space="preserve"> </v>
      </c>
      <c r="AS52" s="380" t="str">
        <f>IF(OR(AP52="TC",AP52="MT"),'CARGA DOCENTE'!$C918," ")</f>
        <v xml:space="preserve"> </v>
      </c>
      <c r="AT52" s="380" t="str">
        <f>IF(OR(AP52="TC",AP52="MT"),'CARGA DOCENTE'!$G918," ")</f>
        <v xml:space="preserve"> </v>
      </c>
      <c r="AU52" s="372">
        <f>'CARGA DOCENTE'!$H919</f>
        <v>0</v>
      </c>
      <c r="AV52" s="373" t="str">
        <f>IF(OR(AU52="TC",AU52="MT"),'CARGA DOCENTE'!$A919," ")</f>
        <v xml:space="preserve"> </v>
      </c>
      <c r="AW52" s="374" t="str">
        <f>IF(OR(AU52="TC",AU52="MT"),'CARGA DOCENTE'!$B919," ")</f>
        <v xml:space="preserve"> </v>
      </c>
      <c r="AX52" s="374" t="str">
        <f>IF(OR(AU52="TC",AU52="MT"),'CARGA DOCENTE'!$C919," ")</f>
        <v xml:space="preserve"> </v>
      </c>
      <c r="AY52" s="374" t="str">
        <f>IF(OR(AU52="TC",AU52="MT"),'CARGA DOCENTE'!$G919," ")</f>
        <v xml:space="preserve"> </v>
      </c>
      <c r="AZ52" s="372">
        <f>'CARGA DOCENTE'!$H920</f>
        <v>0</v>
      </c>
      <c r="BA52" s="373" t="str">
        <f>IF(OR(AZ52="TC",AZ52="MT"),'CARGA DOCENTE'!$A920," ")</f>
        <v xml:space="preserve"> </v>
      </c>
      <c r="BB52" s="374" t="str">
        <f>IF(OR(AZ52="TC",AZ52="MT"),'CARGA DOCENTE'!$B920," ")</f>
        <v xml:space="preserve"> </v>
      </c>
      <c r="BC52" s="374" t="str">
        <f>IF(OR(AZ52="TC",AZ52="MT"),'CARGA DOCENTE'!$C920," ")</f>
        <v xml:space="preserve"> </v>
      </c>
      <c r="BD52" s="374" t="str">
        <f>IF(OR(AZ52="TC",AZ52="MT"),'CARGA DOCENTE'!$G920," ")</f>
        <v xml:space="preserve"> </v>
      </c>
      <c r="BE52" s="372">
        <f>'CARGA DOCENTE'!$H921</f>
        <v>0</v>
      </c>
      <c r="BF52" s="373" t="str">
        <f>IF(OR(BE52="TC",BE52="MT"),'CARGA DOCENTE'!$A921," ")</f>
        <v xml:space="preserve"> </v>
      </c>
      <c r="BG52" s="374" t="str">
        <f>IF(OR(BE52="TC",BE52="MT"),'CARGA DOCENTE'!$B921," ")</f>
        <v xml:space="preserve"> </v>
      </c>
      <c r="BH52" s="374" t="str">
        <f>IF(OR(BE52="TC",BE52="MT"),'CARGA DOCENTE'!$C921," ")</f>
        <v xml:space="preserve"> </v>
      </c>
      <c r="BI52" s="374" t="str">
        <f>IF(OR(BE52="TC",BE52="MT"),'CARGA DOCENTE'!$G921," ")</f>
        <v xml:space="preserve"> </v>
      </c>
      <c r="BJ52" s="372">
        <f>'CARGA DOCENTE'!$H922</f>
        <v>0</v>
      </c>
      <c r="BK52" s="373" t="str">
        <f>IF(OR(BJ52="TC",BJ52="MT"),'CARGA DOCENTE'!$A922," ")</f>
        <v xml:space="preserve"> </v>
      </c>
      <c r="BL52" s="374" t="str">
        <f>IF(OR(BJ52="TC",BJ52="MT"),'CARGA DOCENTE'!$B922," ")</f>
        <v xml:space="preserve"> </v>
      </c>
      <c r="BM52" s="374" t="str">
        <f>IF(OR(BJ52="TC",BJ52="MT"),'CARGA DOCENTE'!$C922," ")</f>
        <v xml:space="preserve"> </v>
      </c>
      <c r="BN52" s="374" t="str">
        <f>IF(OR(BJ52="TC",BJ52="MT"),'CARGA DOCENTE'!$G922," ")</f>
        <v xml:space="preserve"> </v>
      </c>
      <c r="BO52" s="372">
        <f>'CARGA DOCENTE'!$H923</f>
        <v>0</v>
      </c>
      <c r="BP52" s="373" t="str">
        <f>IF(OR(BO52="TC",BO52="MT"),'CARGA DOCENTE'!$A923," ")</f>
        <v xml:space="preserve"> </v>
      </c>
      <c r="BQ52" s="374" t="str">
        <f>IF(OR(BO52="TC",BO52="MT"),'CARGA DOCENTE'!$B923," ")</f>
        <v xml:space="preserve"> </v>
      </c>
      <c r="BR52" s="374" t="str">
        <f>IF(OR(BO52="TC",BO52="MT"),'CARGA DOCENTE'!$C923," ")</f>
        <v xml:space="preserve"> </v>
      </c>
      <c r="BS52" s="374" t="str">
        <f>IF(OR(BO52="TC",BO52="MT"),'CARGA DOCENTE'!$G923," ")</f>
        <v xml:space="preserve"> </v>
      </c>
      <c r="BT52" s="372">
        <f>'CARGA DOCENTE'!$H924</f>
        <v>0</v>
      </c>
      <c r="BU52" s="373" t="str">
        <f>IF(OR(BT52="TC",BT52="MT"),'CARGA DOCENTE'!$A924," ")</f>
        <v xml:space="preserve"> </v>
      </c>
      <c r="BV52" s="374" t="str">
        <f>IF(OR(BT52="TC",BT52="MT"),'CARGA DOCENTE'!$B924," ")</f>
        <v xml:space="preserve"> </v>
      </c>
      <c r="BW52" s="374" t="str">
        <f>IF(OR(BT52="TC",BT52="MT"),'CARGA DOCENTE'!$C924," ")</f>
        <v xml:space="preserve"> </v>
      </c>
      <c r="BX52" s="374" t="str">
        <f>IF(OR(BT52="TC",BT52="MT"),'CARGA DOCENTE'!$G924," ")</f>
        <v xml:space="preserve"> </v>
      </c>
    </row>
    <row r="53" spans="1:76" x14ac:dyDescent="0.2">
      <c r="A53" s="378">
        <f>'CARGA DOCENTE'!J928</f>
        <v>0</v>
      </c>
      <c r="B53" s="372">
        <f>'CARGA DOCENTE'!$H928</f>
        <v>0</v>
      </c>
      <c r="C53" s="373" t="str">
        <f>IF(OR(B53="TC",B53="MT"),'CARGA DOCENTE'!$A928," ")</f>
        <v xml:space="preserve"> </v>
      </c>
      <c r="D53" s="374" t="str">
        <f>IF(OR(B53="TC",B53="MT"),'CARGA DOCENTE'!$B928," ")</f>
        <v xml:space="preserve"> </v>
      </c>
      <c r="E53" s="374" t="str">
        <f>IF(OR(B53="TC",B53="MT"),'CARGA DOCENTE'!$C928," ")</f>
        <v xml:space="preserve"> </v>
      </c>
      <c r="F53" s="374" t="str">
        <f>IF(OR(B53="TC",B53="MT"),'CARGA DOCENTE'!$G928," ")</f>
        <v xml:space="preserve"> </v>
      </c>
      <c r="G53" s="372">
        <f>'CARGA DOCENTE'!$H929</f>
        <v>0</v>
      </c>
      <c r="H53" s="373" t="str">
        <f>IF(OR(G53="TC",G53="MT"),'CARGA DOCENTE'!$A929," ")</f>
        <v xml:space="preserve"> </v>
      </c>
      <c r="I53" s="374" t="str">
        <f>IF(OR(G53="TC",G53="MT"),'CARGA DOCENTE'!$B929," ")</f>
        <v xml:space="preserve"> </v>
      </c>
      <c r="J53" s="374" t="str">
        <f>IF(OR(G53="TC",G53="MT"),'CARGA DOCENTE'!$C929," ")</f>
        <v xml:space="preserve"> </v>
      </c>
      <c r="K53" s="374" t="str">
        <f>IF(OR(G53="TC",G53="MT"),'CARGA DOCENTE'!$G929," ")</f>
        <v xml:space="preserve"> </v>
      </c>
      <c r="L53" s="372">
        <f>'CARGA DOCENTE'!$H930</f>
        <v>0</v>
      </c>
      <c r="M53" s="373" t="str">
        <f>IF(OR(L53="TC",L53="MT"),'CARGA DOCENTE'!$A930," ")</f>
        <v xml:space="preserve"> </v>
      </c>
      <c r="N53" s="374" t="str">
        <f>IF(OR(L53="TC",L53="MT"),'CARGA DOCENTE'!$B930," ")</f>
        <v xml:space="preserve"> </v>
      </c>
      <c r="O53" s="374" t="str">
        <f>IF(OR(L53="TC",L53="MT"),'CARGA DOCENTE'!$C930," ")</f>
        <v xml:space="preserve"> </v>
      </c>
      <c r="P53" s="374" t="str">
        <f>IF(OR(L53="TC",L53="MT"),'CARGA DOCENTE'!$G930," ")</f>
        <v xml:space="preserve"> </v>
      </c>
      <c r="Q53" s="372">
        <f>'CARGA DOCENTE'!$H931</f>
        <v>0</v>
      </c>
      <c r="R53" s="373" t="str">
        <f>IF(OR(Q53="TC",Q53="MT"),'CARGA DOCENTE'!$A931," ")</f>
        <v xml:space="preserve"> </v>
      </c>
      <c r="S53" s="374" t="str">
        <f>IF(OR(Q53="TC",Q53="MT"),'CARGA DOCENTE'!$B931," ")</f>
        <v xml:space="preserve"> </v>
      </c>
      <c r="T53" s="374" t="str">
        <f>IF(OR(Q53="TC",Q53="MT"),'CARGA DOCENTE'!$C931," ")</f>
        <v xml:space="preserve"> </v>
      </c>
      <c r="U53" s="374" t="str">
        <f>IF(OR(Q53="TC",Q53="MT"),'CARGA DOCENTE'!$G931," ")</f>
        <v xml:space="preserve"> </v>
      </c>
      <c r="V53" s="372">
        <f>'CARGA DOCENTE'!$H932</f>
        <v>0</v>
      </c>
      <c r="W53" s="373" t="str">
        <f>IF(OR(V53="TC",V53="MT"),'CARGA DOCENTE'!$A932," ")</f>
        <v xml:space="preserve"> </v>
      </c>
      <c r="X53" s="374" t="str">
        <f>IF(OR(V53="TC",V53="MT"),'CARGA DOCENTE'!$B932," ")</f>
        <v xml:space="preserve"> </v>
      </c>
      <c r="Y53" s="374" t="str">
        <f>IF(OR(V53="TC",V53="MT"),'CARGA DOCENTE'!$C932," ")</f>
        <v xml:space="preserve"> </v>
      </c>
      <c r="Z53" s="374" t="str">
        <f>IF(OR(V53="TC",V53="MT"),'CARGA DOCENTE'!$G932," ")</f>
        <v xml:space="preserve"> </v>
      </c>
      <c r="AA53" s="372">
        <f>'CARGA DOCENTE'!$H933</f>
        <v>0</v>
      </c>
      <c r="AB53" s="373" t="str">
        <f>IF(OR(AA53="TC",AA53="MT"),'CARGA DOCENTE'!$A933," ")</f>
        <v xml:space="preserve"> </v>
      </c>
      <c r="AC53" s="374" t="str">
        <f>IF(OR(AA53="TC",AA53="MT"),'CARGA DOCENTE'!$B933," ")</f>
        <v xml:space="preserve"> </v>
      </c>
      <c r="AD53" s="374" t="str">
        <f>IF(OR(AA53="TC",AA53="MT"),'CARGA DOCENTE'!$C933," ")</f>
        <v xml:space="preserve"> </v>
      </c>
      <c r="AE53" s="374" t="str">
        <f>IF(OR(AA53="TC",AA53="MT"),'CARGA DOCENTE'!$G933," ")</f>
        <v xml:space="preserve"> </v>
      </c>
      <c r="AF53" s="372">
        <f>'CARGA DOCENTE'!$H934</f>
        <v>0</v>
      </c>
      <c r="AG53" s="373" t="str">
        <f>IF(OR(AF53="TC",AF53="MT"),'CARGA DOCENTE'!$A934," ")</f>
        <v xml:space="preserve"> </v>
      </c>
      <c r="AH53" s="374" t="str">
        <f>IF(OR(AF53="TC",AF53="MT"),'CARGA DOCENTE'!$B934," ")</f>
        <v xml:space="preserve"> </v>
      </c>
      <c r="AI53" s="374" t="str">
        <f>IF(OR(AF53="TC",AF53="MT"),'CARGA DOCENTE'!$C934," ")</f>
        <v xml:space="preserve"> </v>
      </c>
      <c r="AJ53" s="374" t="str">
        <f>IF(OR(AF53="TC",AF53="MT"),'CARGA DOCENTE'!$G934," ")</f>
        <v xml:space="preserve"> </v>
      </c>
      <c r="AK53" s="372">
        <f>'CARGA DOCENTE'!$H935</f>
        <v>0</v>
      </c>
      <c r="AL53" s="373" t="str">
        <f>IF(OR(AK53="TC",AK53="MT"),'CARGA DOCENTE'!$A935," ")</f>
        <v xml:space="preserve"> </v>
      </c>
      <c r="AM53" s="374" t="str">
        <f>IF(OR(AK53="TC",AK53="MT"),'CARGA DOCENTE'!$B935," ")</f>
        <v xml:space="preserve"> </v>
      </c>
      <c r="AN53" s="374" t="str">
        <f>IF(OR(AK53="TC",AK53="MT"),'CARGA DOCENTE'!$C935," ")</f>
        <v xml:space="preserve"> </v>
      </c>
      <c r="AO53" s="374" t="str">
        <f>IF(OR(AK53="TC",AK53="MT"),'CARGA DOCENTE'!$G935," ")</f>
        <v xml:space="preserve"> </v>
      </c>
      <c r="AP53" s="372">
        <f>'CARGA DOCENTE'!$H936</f>
        <v>0</v>
      </c>
      <c r="AQ53" s="379" t="str">
        <f>IF(OR(AP53="TC",AP53="MT"),'CARGA DOCENTE'!$A936," ")</f>
        <v xml:space="preserve"> </v>
      </c>
      <c r="AR53" s="380" t="str">
        <f>IF(OR(AP53="TC",AP53="MT"),'CARGA DOCENTE'!$B936," ")</f>
        <v xml:space="preserve"> </v>
      </c>
      <c r="AS53" s="380" t="str">
        <f>IF(OR(AP53="TC",AP53="MT"),'CARGA DOCENTE'!$C936," ")</f>
        <v xml:space="preserve"> </v>
      </c>
      <c r="AT53" s="380" t="str">
        <f>IF(OR(AP53="TC",AP53="MT"),'CARGA DOCENTE'!$G936," ")</f>
        <v xml:space="preserve"> </v>
      </c>
      <c r="AU53" s="372">
        <f>'CARGA DOCENTE'!$H937</f>
        <v>0</v>
      </c>
      <c r="AV53" s="373" t="str">
        <f>IF(OR(AU53="TC",AU53="MT"),'CARGA DOCENTE'!$A937," ")</f>
        <v xml:space="preserve"> </v>
      </c>
      <c r="AW53" s="374" t="str">
        <f>IF(OR(AU53="TC",AU53="MT"),'CARGA DOCENTE'!$B937," ")</f>
        <v xml:space="preserve"> </v>
      </c>
      <c r="AX53" s="374" t="str">
        <f>IF(OR(AU53="TC",AU53="MT"),'CARGA DOCENTE'!$C937," ")</f>
        <v xml:space="preserve"> </v>
      </c>
      <c r="AY53" s="374" t="str">
        <f>IF(OR(AU53="TC",AU53="MT"),'CARGA DOCENTE'!$G937," ")</f>
        <v xml:space="preserve"> </v>
      </c>
      <c r="AZ53" s="372">
        <f>'CARGA DOCENTE'!$H938</f>
        <v>0</v>
      </c>
      <c r="BA53" s="373" t="str">
        <f>IF(OR(AZ53="TC",AZ53="MT"),'CARGA DOCENTE'!$A938," ")</f>
        <v xml:space="preserve"> </v>
      </c>
      <c r="BB53" s="374" t="str">
        <f>IF(OR(AZ53="TC",AZ53="MT"),'CARGA DOCENTE'!$B938," ")</f>
        <v xml:space="preserve"> </v>
      </c>
      <c r="BC53" s="374" t="str">
        <f>IF(OR(AZ53="TC",AZ53="MT"),'CARGA DOCENTE'!$C938," ")</f>
        <v xml:space="preserve"> </v>
      </c>
      <c r="BD53" s="374" t="str">
        <f>IF(OR(AZ53="TC",AZ53="MT"),'CARGA DOCENTE'!$G938," ")</f>
        <v xml:space="preserve"> </v>
      </c>
      <c r="BE53" s="372">
        <f>'CARGA DOCENTE'!$H939</f>
        <v>0</v>
      </c>
      <c r="BF53" s="373" t="str">
        <f>IF(OR(BE53="TC",BE53="MT"),'CARGA DOCENTE'!$A939," ")</f>
        <v xml:space="preserve"> </v>
      </c>
      <c r="BG53" s="374" t="str">
        <f>IF(OR(BE53="TC",BE53="MT"),'CARGA DOCENTE'!$B939," ")</f>
        <v xml:space="preserve"> </v>
      </c>
      <c r="BH53" s="374" t="str">
        <f>IF(OR(BE53="TC",BE53="MT"),'CARGA DOCENTE'!$C939," ")</f>
        <v xml:space="preserve"> </v>
      </c>
      <c r="BI53" s="374" t="str">
        <f>IF(OR(BE53="TC",BE53="MT"),'CARGA DOCENTE'!$G939," ")</f>
        <v xml:space="preserve"> </v>
      </c>
      <c r="BJ53" s="372">
        <f>'CARGA DOCENTE'!$H940</f>
        <v>0</v>
      </c>
      <c r="BK53" s="373" t="str">
        <f>IF(OR(BJ53="TC",BJ53="MT"),'CARGA DOCENTE'!$A940," ")</f>
        <v xml:space="preserve"> </v>
      </c>
      <c r="BL53" s="374" t="str">
        <f>IF(OR(BJ53="TC",BJ53="MT"),'CARGA DOCENTE'!$B940," ")</f>
        <v xml:space="preserve"> </v>
      </c>
      <c r="BM53" s="374" t="str">
        <f>IF(OR(BJ53="TC",BJ53="MT"),'CARGA DOCENTE'!$C940," ")</f>
        <v xml:space="preserve"> </v>
      </c>
      <c r="BN53" s="374" t="str">
        <f>IF(OR(BJ53="TC",BJ53="MT"),'CARGA DOCENTE'!$G940," ")</f>
        <v xml:space="preserve"> </v>
      </c>
      <c r="BO53" s="372">
        <f>'CARGA DOCENTE'!$H941</f>
        <v>0</v>
      </c>
      <c r="BP53" s="373" t="str">
        <f>IF(OR(BO53="TC",BO53="MT"),'CARGA DOCENTE'!$A941," ")</f>
        <v xml:space="preserve"> </v>
      </c>
      <c r="BQ53" s="374" t="str">
        <f>IF(OR(BO53="TC",BO53="MT"),'CARGA DOCENTE'!$B941," ")</f>
        <v xml:space="preserve"> </v>
      </c>
      <c r="BR53" s="374" t="str">
        <f>IF(OR(BO53="TC",BO53="MT"),'CARGA DOCENTE'!$C941," ")</f>
        <v xml:space="preserve"> </v>
      </c>
      <c r="BS53" s="374" t="str">
        <f>IF(OR(BO53="TC",BO53="MT"),'CARGA DOCENTE'!$G941," ")</f>
        <v xml:space="preserve"> </v>
      </c>
      <c r="BT53" s="372">
        <f>'CARGA DOCENTE'!$H942</f>
        <v>0</v>
      </c>
      <c r="BU53" s="373" t="str">
        <f>IF(OR(BT53="TC",BT53="MT"),'CARGA DOCENTE'!$A942," ")</f>
        <v xml:space="preserve"> </v>
      </c>
      <c r="BV53" s="374" t="str">
        <f>IF(OR(BT53="TC",BT53="MT"),'CARGA DOCENTE'!$B942," ")</f>
        <v xml:space="preserve"> </v>
      </c>
      <c r="BW53" s="374" t="str">
        <f>IF(OR(BT53="TC",BT53="MT"),'CARGA DOCENTE'!$C942," ")</f>
        <v xml:space="preserve"> </v>
      </c>
      <c r="BX53" s="374" t="str">
        <f>IF(OR(BT53="TC",BT53="MT"),'CARGA DOCENTE'!$G942," ")</f>
        <v xml:space="preserve"> </v>
      </c>
    </row>
    <row r="54" spans="1:76" x14ac:dyDescent="0.2">
      <c r="A54" s="378">
        <f>'CARGA DOCENTE'!J946</f>
        <v>0</v>
      </c>
      <c r="B54" s="372">
        <f>'CARGA DOCENTE'!$H946</f>
        <v>0</v>
      </c>
      <c r="C54" s="373" t="str">
        <f>IF(OR(B54="TC",B54="MT"),'CARGA DOCENTE'!$A946," ")</f>
        <v xml:space="preserve"> </v>
      </c>
      <c r="D54" s="374" t="str">
        <f>IF(OR(B54="TC",B54="MT"),'CARGA DOCENTE'!$B946," ")</f>
        <v xml:space="preserve"> </v>
      </c>
      <c r="E54" s="374" t="str">
        <f>IF(OR(B54="TC",B54="MT"),'CARGA DOCENTE'!$C946," ")</f>
        <v xml:space="preserve"> </v>
      </c>
      <c r="F54" s="374" t="str">
        <f>IF(OR(B54="TC",B54="MT"),'CARGA DOCENTE'!$G946," ")</f>
        <v xml:space="preserve"> </v>
      </c>
      <c r="G54" s="372">
        <f>'CARGA DOCENTE'!$H947</f>
        <v>0</v>
      </c>
      <c r="H54" s="373" t="str">
        <f>IF(OR(G54="TC",G54="MT"),'CARGA DOCENTE'!$A947," ")</f>
        <v xml:space="preserve"> </v>
      </c>
      <c r="I54" s="374" t="str">
        <f>IF(OR(G54="TC",G54="MT"),'CARGA DOCENTE'!$B947," ")</f>
        <v xml:space="preserve"> </v>
      </c>
      <c r="J54" s="374" t="str">
        <f>IF(OR(G54="TC",G54="MT"),'CARGA DOCENTE'!$C947," ")</f>
        <v xml:space="preserve"> </v>
      </c>
      <c r="K54" s="374" t="str">
        <f>IF(OR(G54="TC",G54="MT"),'CARGA DOCENTE'!$G947," ")</f>
        <v xml:space="preserve"> </v>
      </c>
      <c r="L54" s="372">
        <f>'CARGA DOCENTE'!$H948</f>
        <v>0</v>
      </c>
      <c r="M54" s="373" t="str">
        <f>IF(OR(L54="TC",L54="MT"),'CARGA DOCENTE'!$A948," ")</f>
        <v xml:space="preserve"> </v>
      </c>
      <c r="N54" s="374" t="str">
        <f>IF(OR(L54="TC",L54="MT"),'CARGA DOCENTE'!$B948," ")</f>
        <v xml:space="preserve"> </v>
      </c>
      <c r="O54" s="374" t="str">
        <f>IF(OR(L54="TC",L54="MT"),'CARGA DOCENTE'!$C948," ")</f>
        <v xml:space="preserve"> </v>
      </c>
      <c r="P54" s="374" t="str">
        <f>IF(OR(L54="TC",L54="MT"),'CARGA DOCENTE'!$G948," ")</f>
        <v xml:space="preserve"> </v>
      </c>
      <c r="Q54" s="372">
        <f>'CARGA DOCENTE'!$H949</f>
        <v>0</v>
      </c>
      <c r="R54" s="373" t="str">
        <f>IF(OR(Q54="TC",Q54="MT"),'CARGA DOCENTE'!$A949," ")</f>
        <v xml:space="preserve"> </v>
      </c>
      <c r="S54" s="374" t="str">
        <f>IF(OR(Q54="TC",Q54="MT"),'CARGA DOCENTE'!$B949," ")</f>
        <v xml:space="preserve"> </v>
      </c>
      <c r="T54" s="374" t="str">
        <f>IF(OR(Q54="TC",Q54="MT"),'CARGA DOCENTE'!$C949," ")</f>
        <v xml:space="preserve"> </v>
      </c>
      <c r="U54" s="374" t="str">
        <f>IF(OR(Q54="TC",Q54="MT"),'CARGA DOCENTE'!$G949," ")</f>
        <v xml:space="preserve"> </v>
      </c>
      <c r="V54" s="372">
        <f>'CARGA DOCENTE'!$H950</f>
        <v>0</v>
      </c>
      <c r="W54" s="373" t="str">
        <f>IF(OR(V54="TC",V54="MT"),'CARGA DOCENTE'!$A950," ")</f>
        <v xml:space="preserve"> </v>
      </c>
      <c r="X54" s="374" t="str">
        <f>IF(OR(V54="TC",V54="MT"),'CARGA DOCENTE'!$B950," ")</f>
        <v xml:space="preserve"> </v>
      </c>
      <c r="Y54" s="374" t="str">
        <f>IF(OR(V54="TC",V54="MT"),'CARGA DOCENTE'!$C950," ")</f>
        <v xml:space="preserve"> </v>
      </c>
      <c r="Z54" s="374" t="str">
        <f>IF(OR(V54="TC",V54="MT"),'CARGA DOCENTE'!$G950," ")</f>
        <v xml:space="preserve"> </v>
      </c>
      <c r="AA54" s="372">
        <f>'CARGA DOCENTE'!$H951</f>
        <v>0</v>
      </c>
      <c r="AB54" s="373" t="str">
        <f>IF(OR(AA54="TC",AA54="MT"),'CARGA DOCENTE'!$A951," ")</f>
        <v xml:space="preserve"> </v>
      </c>
      <c r="AC54" s="374" t="str">
        <f>IF(OR(AA54="TC",AA54="MT"),'CARGA DOCENTE'!$B951," ")</f>
        <v xml:space="preserve"> </v>
      </c>
      <c r="AD54" s="374" t="str">
        <f>IF(OR(AA54="TC",AA54="MT"),'CARGA DOCENTE'!$C951," ")</f>
        <v xml:space="preserve"> </v>
      </c>
      <c r="AE54" s="374" t="str">
        <f>IF(OR(AA54="TC",AA54="MT"),'CARGA DOCENTE'!$G951," ")</f>
        <v xml:space="preserve"> </v>
      </c>
      <c r="AF54" s="372">
        <f>'CARGA DOCENTE'!$H952</f>
        <v>0</v>
      </c>
      <c r="AG54" s="373" t="str">
        <f>IF(OR(AF54="TC",AF54="MT"),'CARGA DOCENTE'!$A952," ")</f>
        <v xml:space="preserve"> </v>
      </c>
      <c r="AH54" s="374" t="str">
        <f>IF(OR(AF54="TC",AF54="MT"),'CARGA DOCENTE'!$B952," ")</f>
        <v xml:space="preserve"> </v>
      </c>
      <c r="AI54" s="374" t="str">
        <f>IF(OR(AF54="TC",AF54="MT"),'CARGA DOCENTE'!$C952," ")</f>
        <v xml:space="preserve"> </v>
      </c>
      <c r="AJ54" s="374" t="str">
        <f>IF(OR(AF54="TC",AF54="MT"),'CARGA DOCENTE'!$G952," ")</f>
        <v xml:space="preserve"> </v>
      </c>
      <c r="AK54" s="372">
        <f>'CARGA DOCENTE'!$H953</f>
        <v>0</v>
      </c>
      <c r="AL54" s="373" t="str">
        <f>IF(OR(AK54="TC",AK54="MT"),'CARGA DOCENTE'!$A953," ")</f>
        <v xml:space="preserve"> </v>
      </c>
      <c r="AM54" s="374" t="str">
        <f>IF(OR(AK54="TC",AK54="MT"),'CARGA DOCENTE'!$B953," ")</f>
        <v xml:space="preserve"> </v>
      </c>
      <c r="AN54" s="374" t="str">
        <f>IF(OR(AK54="TC",AK54="MT"),'CARGA DOCENTE'!$C953," ")</f>
        <v xml:space="preserve"> </v>
      </c>
      <c r="AO54" s="374" t="str">
        <f>IF(OR(AK54="TC",AK54="MT"),'CARGA DOCENTE'!$G953," ")</f>
        <v xml:space="preserve"> </v>
      </c>
      <c r="AP54" s="372">
        <f>'CARGA DOCENTE'!$H954</f>
        <v>0</v>
      </c>
      <c r="AQ54" s="379" t="str">
        <f>IF(OR(AP54="TC",AP54="MT"),'CARGA DOCENTE'!$A954," ")</f>
        <v xml:space="preserve"> </v>
      </c>
      <c r="AR54" s="380" t="str">
        <f>IF(OR(AP54="TC",AP54="MT"),'CARGA DOCENTE'!$B954," ")</f>
        <v xml:space="preserve"> </v>
      </c>
      <c r="AS54" s="380" t="str">
        <f>IF(OR(AP54="TC",AP54="MT"),'CARGA DOCENTE'!$C954," ")</f>
        <v xml:space="preserve"> </v>
      </c>
      <c r="AT54" s="380" t="str">
        <f>IF(OR(AP54="TC",AP54="MT"),'CARGA DOCENTE'!$G954," ")</f>
        <v xml:space="preserve"> </v>
      </c>
      <c r="AU54" s="372">
        <f>'CARGA DOCENTE'!$H955</f>
        <v>0</v>
      </c>
      <c r="AV54" s="373" t="str">
        <f>IF(OR(AU54="TC",AU54="MT"),'CARGA DOCENTE'!$A955," ")</f>
        <v xml:space="preserve"> </v>
      </c>
      <c r="AW54" s="374" t="str">
        <f>IF(OR(AU54="TC",AU54="MT"),'CARGA DOCENTE'!$B955," ")</f>
        <v xml:space="preserve"> </v>
      </c>
      <c r="AX54" s="374" t="str">
        <f>IF(OR(AU54="TC",AU54="MT"),'CARGA DOCENTE'!$C955," ")</f>
        <v xml:space="preserve"> </v>
      </c>
      <c r="AY54" s="374" t="str">
        <f>IF(OR(AU54="TC",AU54="MT"),'CARGA DOCENTE'!$G955," ")</f>
        <v xml:space="preserve"> </v>
      </c>
      <c r="AZ54" s="372">
        <f>'CARGA DOCENTE'!$H956</f>
        <v>0</v>
      </c>
      <c r="BA54" s="373" t="str">
        <f>IF(OR(AZ54="TC",AZ54="MT"),'CARGA DOCENTE'!$A956," ")</f>
        <v xml:space="preserve"> </v>
      </c>
      <c r="BB54" s="374" t="str">
        <f>IF(OR(AZ54="TC",AZ54="MT"),'CARGA DOCENTE'!$B956," ")</f>
        <v xml:space="preserve"> </v>
      </c>
      <c r="BC54" s="374" t="str">
        <f>IF(OR(AZ54="TC",AZ54="MT"),'CARGA DOCENTE'!$C956," ")</f>
        <v xml:space="preserve"> </v>
      </c>
      <c r="BD54" s="374" t="str">
        <f>IF(OR(AZ54="TC",AZ54="MT"),'CARGA DOCENTE'!$G956," ")</f>
        <v xml:space="preserve"> </v>
      </c>
      <c r="BE54" s="372">
        <f>'CARGA DOCENTE'!$H957</f>
        <v>0</v>
      </c>
      <c r="BF54" s="373" t="str">
        <f>IF(OR(BE54="TC",BE54="MT"),'CARGA DOCENTE'!$A957," ")</f>
        <v xml:space="preserve"> </v>
      </c>
      <c r="BG54" s="374" t="str">
        <f>IF(OR(BE54="TC",BE54="MT"),'CARGA DOCENTE'!$B957," ")</f>
        <v xml:space="preserve"> </v>
      </c>
      <c r="BH54" s="374" t="str">
        <f>IF(OR(BE54="TC",BE54="MT"),'CARGA DOCENTE'!$C957," ")</f>
        <v xml:space="preserve"> </v>
      </c>
      <c r="BI54" s="374" t="str">
        <f>IF(OR(BE54="TC",BE54="MT"),'CARGA DOCENTE'!$G957," ")</f>
        <v xml:space="preserve"> </v>
      </c>
      <c r="BJ54" s="372">
        <f>'CARGA DOCENTE'!$H958</f>
        <v>0</v>
      </c>
      <c r="BK54" s="373" t="str">
        <f>IF(OR(BJ54="TC",BJ54="MT"),'CARGA DOCENTE'!$A958," ")</f>
        <v xml:space="preserve"> </v>
      </c>
      <c r="BL54" s="374" t="str">
        <f>IF(OR(BJ54="TC",BJ54="MT"),'CARGA DOCENTE'!$B958," ")</f>
        <v xml:space="preserve"> </v>
      </c>
      <c r="BM54" s="374" t="str">
        <f>IF(OR(BJ54="TC",BJ54="MT"),'CARGA DOCENTE'!$C958," ")</f>
        <v xml:space="preserve"> </v>
      </c>
      <c r="BN54" s="374" t="str">
        <f>IF(OR(BJ54="TC",BJ54="MT"),'CARGA DOCENTE'!$G958," ")</f>
        <v xml:space="preserve"> </v>
      </c>
      <c r="BO54" s="372">
        <f>'CARGA DOCENTE'!$H959</f>
        <v>0</v>
      </c>
      <c r="BP54" s="373" t="str">
        <f>IF(OR(BO54="TC",BO54="MT"),'CARGA DOCENTE'!$A959," ")</f>
        <v xml:space="preserve"> </v>
      </c>
      <c r="BQ54" s="374" t="str">
        <f>IF(OR(BO54="TC",BO54="MT"),'CARGA DOCENTE'!$B959," ")</f>
        <v xml:space="preserve"> </v>
      </c>
      <c r="BR54" s="374" t="str">
        <f>IF(OR(BO54="TC",BO54="MT"),'CARGA DOCENTE'!$C959," ")</f>
        <v xml:space="preserve"> </v>
      </c>
      <c r="BS54" s="374" t="str">
        <f>IF(OR(BO54="TC",BO54="MT"),'CARGA DOCENTE'!$G959," ")</f>
        <v xml:space="preserve"> </v>
      </c>
      <c r="BT54" s="372">
        <f>'CARGA DOCENTE'!$H960</f>
        <v>0</v>
      </c>
      <c r="BU54" s="373" t="str">
        <f>IF(OR(BT54="TC",BT54="MT"),'CARGA DOCENTE'!$A960," ")</f>
        <v xml:space="preserve"> </v>
      </c>
      <c r="BV54" s="374" t="str">
        <f>IF(OR(BT54="TC",BT54="MT"),'CARGA DOCENTE'!$B960," ")</f>
        <v xml:space="preserve"> </v>
      </c>
      <c r="BW54" s="374" t="str">
        <f>IF(OR(BT54="TC",BT54="MT"),'CARGA DOCENTE'!$C960," ")</f>
        <v xml:space="preserve"> </v>
      </c>
      <c r="BX54" s="374" t="str">
        <f>IF(OR(BT54="TC",BT54="MT"),'CARGA DOCENTE'!$G960," ")</f>
        <v xml:space="preserve"> </v>
      </c>
    </row>
    <row r="55" spans="1:76" x14ac:dyDescent="0.2">
      <c r="A55" s="378">
        <f>'CARGA DOCENTE'!J964</f>
        <v>0</v>
      </c>
      <c r="B55" s="372">
        <f>'CARGA DOCENTE'!$H964</f>
        <v>0</v>
      </c>
      <c r="C55" s="373" t="str">
        <f>IF(OR(B55="TC",B55="MT"),'CARGA DOCENTE'!$A964," ")</f>
        <v xml:space="preserve"> </v>
      </c>
      <c r="D55" s="374" t="str">
        <f>IF(OR(B55="TC",B55="MT"),'CARGA DOCENTE'!$B964," ")</f>
        <v xml:space="preserve"> </v>
      </c>
      <c r="E55" s="374" t="str">
        <f>IF(OR(B55="TC",B55="MT"),'CARGA DOCENTE'!$C964," ")</f>
        <v xml:space="preserve"> </v>
      </c>
      <c r="F55" s="374" t="str">
        <f>IF(OR(B55="TC",B55="MT"),'CARGA DOCENTE'!$G964," ")</f>
        <v xml:space="preserve"> </v>
      </c>
      <c r="G55" s="372">
        <f>'CARGA DOCENTE'!$H965</f>
        <v>0</v>
      </c>
      <c r="H55" s="373" t="str">
        <f>IF(OR(G55="TC",G55="MT"),'CARGA DOCENTE'!$A965," ")</f>
        <v xml:space="preserve"> </v>
      </c>
      <c r="I55" s="374" t="str">
        <f>IF(OR(G55="TC",G55="MT"),'CARGA DOCENTE'!$B965," ")</f>
        <v xml:space="preserve"> </v>
      </c>
      <c r="J55" s="374" t="str">
        <f>IF(OR(G55="TC",G55="MT"),'CARGA DOCENTE'!$C965," ")</f>
        <v xml:space="preserve"> </v>
      </c>
      <c r="K55" s="374" t="str">
        <f>IF(OR(G55="TC",G55="MT"),'CARGA DOCENTE'!$G965," ")</f>
        <v xml:space="preserve"> </v>
      </c>
      <c r="L55" s="372">
        <f>'CARGA DOCENTE'!$H966</f>
        <v>0</v>
      </c>
      <c r="M55" s="373" t="str">
        <f>IF(OR(L55="TC",L55="MT"),'CARGA DOCENTE'!$A966," ")</f>
        <v xml:space="preserve"> </v>
      </c>
      <c r="N55" s="374" t="str">
        <f>IF(OR(L55="TC",L55="MT"),'CARGA DOCENTE'!$B966," ")</f>
        <v xml:space="preserve"> </v>
      </c>
      <c r="O55" s="374" t="str">
        <f>IF(OR(L55="TC",L55="MT"),'CARGA DOCENTE'!$C966," ")</f>
        <v xml:space="preserve"> </v>
      </c>
      <c r="P55" s="374" t="str">
        <f>IF(OR(L55="TC",L55="MT"),'CARGA DOCENTE'!$G966," ")</f>
        <v xml:space="preserve"> </v>
      </c>
      <c r="Q55" s="372">
        <f>'CARGA DOCENTE'!$H967</f>
        <v>0</v>
      </c>
      <c r="R55" s="373" t="str">
        <f>IF(OR(Q55="TC",Q55="MT"),'CARGA DOCENTE'!$A967," ")</f>
        <v xml:space="preserve"> </v>
      </c>
      <c r="S55" s="374" t="str">
        <f>IF(OR(Q55="TC",Q55="MT"),'CARGA DOCENTE'!$B967," ")</f>
        <v xml:space="preserve"> </v>
      </c>
      <c r="T55" s="374" t="str">
        <f>IF(OR(Q55="TC",Q55="MT"),'CARGA DOCENTE'!$C967," ")</f>
        <v xml:space="preserve"> </v>
      </c>
      <c r="U55" s="374" t="str">
        <f>IF(OR(Q55="TC",Q55="MT"),'CARGA DOCENTE'!$G967," ")</f>
        <v xml:space="preserve"> </v>
      </c>
      <c r="V55" s="372">
        <f>'CARGA DOCENTE'!$H968</f>
        <v>0</v>
      </c>
      <c r="W55" s="373" t="str">
        <f>IF(OR(V55="TC",V55="MT"),'CARGA DOCENTE'!$A968," ")</f>
        <v xml:space="preserve"> </v>
      </c>
      <c r="X55" s="374" t="str">
        <f>IF(OR(V55="TC",V55="MT"),'CARGA DOCENTE'!$B968," ")</f>
        <v xml:space="preserve"> </v>
      </c>
      <c r="Y55" s="374" t="str">
        <f>IF(OR(V55="TC",V55="MT"),'CARGA DOCENTE'!$C968," ")</f>
        <v xml:space="preserve"> </v>
      </c>
      <c r="Z55" s="374" t="str">
        <f>IF(OR(V55="TC",V55="MT"),'CARGA DOCENTE'!$G968," ")</f>
        <v xml:space="preserve"> </v>
      </c>
      <c r="AA55" s="372">
        <f>'CARGA DOCENTE'!$H969</f>
        <v>0</v>
      </c>
      <c r="AB55" s="373" t="str">
        <f>IF(OR(AA55="TC",AA55="MT"),'CARGA DOCENTE'!$A969," ")</f>
        <v xml:space="preserve"> </v>
      </c>
      <c r="AC55" s="374" t="str">
        <f>IF(OR(AA55="TC",AA55="MT"),'CARGA DOCENTE'!$B969," ")</f>
        <v xml:space="preserve"> </v>
      </c>
      <c r="AD55" s="374" t="str">
        <f>IF(OR(AA55="TC",AA55="MT"),'CARGA DOCENTE'!$C969," ")</f>
        <v xml:space="preserve"> </v>
      </c>
      <c r="AE55" s="374" t="str">
        <f>IF(OR(AA55="TC",AA55="MT"),'CARGA DOCENTE'!$G969," ")</f>
        <v xml:space="preserve"> </v>
      </c>
      <c r="AF55" s="372">
        <f>'CARGA DOCENTE'!$H970</f>
        <v>0</v>
      </c>
      <c r="AG55" s="373" t="str">
        <f>IF(OR(AF55="TC",AF55="MT"),'CARGA DOCENTE'!$A970," ")</f>
        <v xml:space="preserve"> </v>
      </c>
      <c r="AH55" s="374" t="str">
        <f>IF(OR(AF55="TC",AF55="MT"),'CARGA DOCENTE'!$B970," ")</f>
        <v xml:space="preserve"> </v>
      </c>
      <c r="AI55" s="374" t="str">
        <f>IF(OR(AF55="TC",AF55="MT"),'CARGA DOCENTE'!$C970," ")</f>
        <v xml:space="preserve"> </v>
      </c>
      <c r="AJ55" s="374" t="str">
        <f>IF(OR(AF55="TC",AF55="MT"),'CARGA DOCENTE'!$G970," ")</f>
        <v xml:space="preserve"> </v>
      </c>
      <c r="AK55" s="372">
        <f>'CARGA DOCENTE'!$H971</f>
        <v>0</v>
      </c>
      <c r="AL55" s="373" t="str">
        <f>IF(OR(AK55="TC",AK55="MT"),'CARGA DOCENTE'!$A971," ")</f>
        <v xml:space="preserve"> </v>
      </c>
      <c r="AM55" s="374" t="str">
        <f>IF(OR(AK55="TC",AK55="MT"),'CARGA DOCENTE'!$B971," ")</f>
        <v xml:space="preserve"> </v>
      </c>
      <c r="AN55" s="374" t="str">
        <f>IF(OR(AK55="TC",AK55="MT"),'CARGA DOCENTE'!$C971," ")</f>
        <v xml:space="preserve"> </v>
      </c>
      <c r="AO55" s="374" t="str">
        <f>IF(OR(AK55="TC",AK55="MT"),'CARGA DOCENTE'!$G971," ")</f>
        <v xml:space="preserve"> </v>
      </c>
      <c r="AP55" s="372">
        <f>'CARGA DOCENTE'!$H972</f>
        <v>0</v>
      </c>
      <c r="AQ55" s="379" t="str">
        <f>IF(OR(AP55="TC",AP55="MT"),'CARGA DOCENTE'!$A972," ")</f>
        <v xml:space="preserve"> </v>
      </c>
      <c r="AR55" s="380" t="str">
        <f>IF(OR(AP55="TC",AP55="MT"),'CARGA DOCENTE'!$B972," ")</f>
        <v xml:space="preserve"> </v>
      </c>
      <c r="AS55" s="380" t="str">
        <f>IF(OR(AP55="TC",AP55="MT"),'CARGA DOCENTE'!$C972," ")</f>
        <v xml:space="preserve"> </v>
      </c>
      <c r="AT55" s="380" t="str">
        <f>IF(OR(AP55="TC",AP55="MT"),'CARGA DOCENTE'!$G972," ")</f>
        <v xml:space="preserve"> </v>
      </c>
      <c r="AU55" s="372">
        <f>'CARGA DOCENTE'!$H973</f>
        <v>0</v>
      </c>
      <c r="AV55" s="373" t="str">
        <f>IF(OR(AU55="TC",AU55="MT"),'CARGA DOCENTE'!$A973," ")</f>
        <v xml:space="preserve"> </v>
      </c>
      <c r="AW55" s="374" t="str">
        <f>IF(OR(AU55="TC",AU55="MT"),'CARGA DOCENTE'!$B973," ")</f>
        <v xml:space="preserve"> </v>
      </c>
      <c r="AX55" s="374" t="str">
        <f>IF(OR(AU55="TC",AU55="MT"),'CARGA DOCENTE'!$C973," ")</f>
        <v xml:space="preserve"> </v>
      </c>
      <c r="AY55" s="374" t="str">
        <f>IF(OR(AU55="TC",AU55="MT"),'CARGA DOCENTE'!$G973," ")</f>
        <v xml:space="preserve"> </v>
      </c>
      <c r="AZ55" s="372">
        <f>'CARGA DOCENTE'!$H974</f>
        <v>0</v>
      </c>
      <c r="BA55" s="373" t="str">
        <f>IF(OR(AZ55="TC",AZ55="MT"),'CARGA DOCENTE'!$A974," ")</f>
        <v xml:space="preserve"> </v>
      </c>
      <c r="BB55" s="374" t="str">
        <f>IF(OR(AZ55="TC",AZ55="MT"),'CARGA DOCENTE'!$B974," ")</f>
        <v xml:space="preserve"> </v>
      </c>
      <c r="BC55" s="374" t="str">
        <f>IF(OR(AZ55="TC",AZ55="MT"),'CARGA DOCENTE'!$C974," ")</f>
        <v xml:space="preserve"> </v>
      </c>
      <c r="BD55" s="374" t="str">
        <f>IF(OR(AZ55="TC",AZ55="MT"),'CARGA DOCENTE'!$G974," ")</f>
        <v xml:space="preserve"> </v>
      </c>
      <c r="BE55" s="372">
        <f>'CARGA DOCENTE'!$H975</f>
        <v>0</v>
      </c>
      <c r="BF55" s="373" t="str">
        <f>IF(OR(BE55="TC",BE55="MT"),'CARGA DOCENTE'!$A975," ")</f>
        <v xml:space="preserve"> </v>
      </c>
      <c r="BG55" s="374" t="str">
        <f>IF(OR(BE55="TC",BE55="MT"),'CARGA DOCENTE'!$B975," ")</f>
        <v xml:space="preserve"> </v>
      </c>
      <c r="BH55" s="374" t="str">
        <f>IF(OR(BE55="TC",BE55="MT"),'CARGA DOCENTE'!$C975," ")</f>
        <v xml:space="preserve"> </v>
      </c>
      <c r="BI55" s="374" t="str">
        <f>IF(OR(BE55="TC",BE55="MT"),'CARGA DOCENTE'!$G975," ")</f>
        <v xml:space="preserve"> </v>
      </c>
      <c r="BJ55" s="372">
        <f>'CARGA DOCENTE'!$H976</f>
        <v>0</v>
      </c>
      <c r="BK55" s="373" t="str">
        <f>IF(OR(BJ55="TC",BJ55="MT"),'CARGA DOCENTE'!$A976," ")</f>
        <v xml:space="preserve"> </v>
      </c>
      <c r="BL55" s="374" t="str">
        <f>IF(OR(BJ55="TC",BJ55="MT"),'CARGA DOCENTE'!$B976," ")</f>
        <v xml:space="preserve"> </v>
      </c>
      <c r="BM55" s="374" t="str">
        <f>IF(OR(BJ55="TC",BJ55="MT"),'CARGA DOCENTE'!$C976," ")</f>
        <v xml:space="preserve"> </v>
      </c>
      <c r="BN55" s="374" t="str">
        <f>IF(OR(BJ55="TC",BJ55="MT"),'CARGA DOCENTE'!$G976," ")</f>
        <v xml:space="preserve"> </v>
      </c>
      <c r="BO55" s="372">
        <f>'CARGA DOCENTE'!$H977</f>
        <v>0</v>
      </c>
      <c r="BP55" s="373" t="str">
        <f>IF(OR(BO55="TC",BO55="MT"),'CARGA DOCENTE'!$A977," ")</f>
        <v xml:space="preserve"> </v>
      </c>
      <c r="BQ55" s="374" t="str">
        <f>IF(OR(BO55="TC",BO55="MT"),'CARGA DOCENTE'!$B977," ")</f>
        <v xml:space="preserve"> </v>
      </c>
      <c r="BR55" s="374" t="str">
        <f>IF(OR(BO55="TC",BO55="MT"),'CARGA DOCENTE'!$C977," ")</f>
        <v xml:space="preserve"> </v>
      </c>
      <c r="BS55" s="374" t="str">
        <f>IF(OR(BO55="TC",BO55="MT"),'CARGA DOCENTE'!$G977," ")</f>
        <v xml:space="preserve"> </v>
      </c>
      <c r="BT55" s="372">
        <f>'CARGA DOCENTE'!$H978</f>
        <v>0</v>
      </c>
      <c r="BU55" s="373" t="str">
        <f>IF(OR(BT55="TC",BT55="MT"),'CARGA DOCENTE'!$A978," ")</f>
        <v xml:space="preserve"> </v>
      </c>
      <c r="BV55" s="374" t="str">
        <f>IF(OR(BT55="TC",BT55="MT"),'CARGA DOCENTE'!$B978," ")</f>
        <v xml:space="preserve"> </v>
      </c>
      <c r="BW55" s="374" t="str">
        <f>IF(OR(BT55="TC",BT55="MT"),'CARGA DOCENTE'!$C978," ")</f>
        <v xml:space="preserve"> </v>
      </c>
      <c r="BX55" s="374" t="str">
        <f>IF(OR(BT55="TC",BT55="MT"),'CARGA DOCENTE'!$G978," ")</f>
        <v xml:space="preserve"> </v>
      </c>
    </row>
    <row r="56" spans="1:76" x14ac:dyDescent="0.2">
      <c r="A56" s="378">
        <f>'CARGA DOCENTE'!J982</f>
        <v>0</v>
      </c>
      <c r="B56" s="372">
        <f>'CARGA DOCENTE'!$H982</f>
        <v>0</v>
      </c>
      <c r="C56" s="373" t="str">
        <f>IF(OR(B56="TC",B56="MT"),'CARGA DOCENTE'!$A982," ")</f>
        <v xml:space="preserve"> </v>
      </c>
      <c r="D56" s="374" t="str">
        <f>IF(OR(B56="TC",B56="MT"),'CARGA DOCENTE'!$B982," ")</f>
        <v xml:space="preserve"> </v>
      </c>
      <c r="E56" s="374" t="str">
        <f>IF(OR(B56="TC",B56="MT"),'CARGA DOCENTE'!$C982," ")</f>
        <v xml:space="preserve"> </v>
      </c>
      <c r="F56" s="374" t="str">
        <f>IF(OR(B56="TC",B56="MT"),'CARGA DOCENTE'!$G982," ")</f>
        <v xml:space="preserve"> </v>
      </c>
      <c r="G56" s="372">
        <f>'CARGA DOCENTE'!$H983</f>
        <v>0</v>
      </c>
      <c r="H56" s="373" t="str">
        <f>IF(OR(G56="TC",G56="MT"),'CARGA DOCENTE'!$A983," ")</f>
        <v xml:space="preserve"> </v>
      </c>
      <c r="I56" s="374" t="str">
        <f>IF(OR(G56="TC",G56="MT"),'CARGA DOCENTE'!$B983," ")</f>
        <v xml:space="preserve"> </v>
      </c>
      <c r="J56" s="374" t="str">
        <f>IF(OR(G56="TC",G56="MT"),'CARGA DOCENTE'!$C983," ")</f>
        <v xml:space="preserve"> </v>
      </c>
      <c r="K56" s="374" t="str">
        <f>IF(OR(G56="TC",G56="MT"),'CARGA DOCENTE'!$G983," ")</f>
        <v xml:space="preserve"> </v>
      </c>
      <c r="L56" s="372">
        <f>'CARGA DOCENTE'!$H984</f>
        <v>0</v>
      </c>
      <c r="M56" s="373" t="str">
        <f>IF(OR(L56="TC",L56="MT"),'CARGA DOCENTE'!$A984," ")</f>
        <v xml:space="preserve"> </v>
      </c>
      <c r="N56" s="374" t="str">
        <f>IF(OR(L56="TC",L56="MT"),'CARGA DOCENTE'!$B984," ")</f>
        <v xml:space="preserve"> </v>
      </c>
      <c r="O56" s="374" t="str">
        <f>IF(OR(L56="TC",L56="MT"),'CARGA DOCENTE'!$C984," ")</f>
        <v xml:space="preserve"> </v>
      </c>
      <c r="P56" s="374" t="str">
        <f>IF(OR(L56="TC",L56="MT"),'CARGA DOCENTE'!$G984," ")</f>
        <v xml:space="preserve"> </v>
      </c>
      <c r="Q56" s="372">
        <f>'CARGA DOCENTE'!$H985</f>
        <v>0</v>
      </c>
      <c r="R56" s="373" t="str">
        <f>IF(OR(Q56="TC",Q56="MT"),'CARGA DOCENTE'!$A985," ")</f>
        <v xml:space="preserve"> </v>
      </c>
      <c r="S56" s="374" t="str">
        <f>IF(OR(Q56="TC",Q56="MT"),'CARGA DOCENTE'!$B985," ")</f>
        <v xml:space="preserve"> </v>
      </c>
      <c r="T56" s="374" t="str">
        <f>IF(OR(Q56="TC",Q56="MT"),'CARGA DOCENTE'!$C985," ")</f>
        <v xml:space="preserve"> </v>
      </c>
      <c r="U56" s="374" t="str">
        <f>IF(OR(Q56="TC",Q56="MT"),'CARGA DOCENTE'!$G985," ")</f>
        <v xml:space="preserve"> </v>
      </c>
      <c r="V56" s="372">
        <f>'CARGA DOCENTE'!$H986</f>
        <v>0</v>
      </c>
      <c r="W56" s="373" t="str">
        <f>IF(OR(V56="TC",V56="MT"),'CARGA DOCENTE'!$A986," ")</f>
        <v xml:space="preserve"> </v>
      </c>
      <c r="X56" s="374" t="str">
        <f>IF(OR(V56="TC",V56="MT"),'CARGA DOCENTE'!$B986," ")</f>
        <v xml:space="preserve"> </v>
      </c>
      <c r="Y56" s="374" t="str">
        <f>IF(OR(V56="TC",V56="MT"),'CARGA DOCENTE'!$C986," ")</f>
        <v xml:space="preserve"> </v>
      </c>
      <c r="Z56" s="374" t="str">
        <f>IF(OR(V56="TC",V56="MT"),'CARGA DOCENTE'!$G986," ")</f>
        <v xml:space="preserve"> </v>
      </c>
      <c r="AA56" s="372">
        <f>'CARGA DOCENTE'!$H987</f>
        <v>0</v>
      </c>
      <c r="AB56" s="373" t="str">
        <f>IF(OR(AA56="TC",AA56="MT"),'CARGA DOCENTE'!$A987," ")</f>
        <v xml:space="preserve"> </v>
      </c>
      <c r="AC56" s="374" t="str">
        <f>IF(OR(AA56="TC",AA56="MT"),'CARGA DOCENTE'!$B987," ")</f>
        <v xml:space="preserve"> </v>
      </c>
      <c r="AD56" s="374" t="str">
        <f>IF(OR(AA56="TC",AA56="MT"),'CARGA DOCENTE'!$C987," ")</f>
        <v xml:space="preserve"> </v>
      </c>
      <c r="AE56" s="374" t="str">
        <f>IF(OR(AA56="TC",AA56="MT"),'CARGA DOCENTE'!$G987," ")</f>
        <v xml:space="preserve"> </v>
      </c>
      <c r="AF56" s="372">
        <f>'CARGA DOCENTE'!$H988</f>
        <v>0</v>
      </c>
      <c r="AG56" s="373" t="str">
        <f>IF(OR(AF56="TC",AF56="MT"),'CARGA DOCENTE'!$A988," ")</f>
        <v xml:space="preserve"> </v>
      </c>
      <c r="AH56" s="374" t="str">
        <f>IF(OR(AF56="TC",AF56="MT"),'CARGA DOCENTE'!$B988," ")</f>
        <v xml:space="preserve"> </v>
      </c>
      <c r="AI56" s="374" t="str">
        <f>IF(OR(AF56="TC",AF56="MT"),'CARGA DOCENTE'!$C988," ")</f>
        <v xml:space="preserve"> </v>
      </c>
      <c r="AJ56" s="374" t="str">
        <f>IF(OR(AF56="TC",AF56="MT"),'CARGA DOCENTE'!$G988," ")</f>
        <v xml:space="preserve"> </v>
      </c>
      <c r="AK56" s="372">
        <f>'CARGA DOCENTE'!$H989</f>
        <v>0</v>
      </c>
      <c r="AL56" s="373" t="str">
        <f>IF(OR(AK56="TC",AK56="MT"),'CARGA DOCENTE'!$A989," ")</f>
        <v xml:space="preserve"> </v>
      </c>
      <c r="AM56" s="374" t="str">
        <f>IF(OR(AK56="TC",AK56="MT"),'CARGA DOCENTE'!$B989," ")</f>
        <v xml:space="preserve"> </v>
      </c>
      <c r="AN56" s="374" t="str">
        <f>IF(OR(AK56="TC",AK56="MT"),'CARGA DOCENTE'!$C989," ")</f>
        <v xml:space="preserve"> </v>
      </c>
      <c r="AO56" s="374" t="str">
        <f>IF(OR(AK56="TC",AK56="MT"),'CARGA DOCENTE'!$G989," ")</f>
        <v xml:space="preserve"> </v>
      </c>
      <c r="AP56" s="372">
        <f>'CARGA DOCENTE'!$H990</f>
        <v>0</v>
      </c>
      <c r="AQ56" s="379" t="str">
        <f>IF(OR(AP56="TC",AP56="MT"),'CARGA DOCENTE'!$A990," ")</f>
        <v xml:space="preserve"> </v>
      </c>
      <c r="AR56" s="380" t="str">
        <f>IF(OR(AP56="TC",AP56="MT"),'CARGA DOCENTE'!$B990," ")</f>
        <v xml:space="preserve"> </v>
      </c>
      <c r="AS56" s="380" t="str">
        <f>IF(OR(AP56="TC",AP56="MT"),'CARGA DOCENTE'!$C990," ")</f>
        <v xml:space="preserve"> </v>
      </c>
      <c r="AT56" s="380" t="str">
        <f>IF(OR(AP56="TC",AP56="MT"),'CARGA DOCENTE'!$G990," ")</f>
        <v xml:space="preserve"> </v>
      </c>
      <c r="AU56" s="372">
        <f>'CARGA DOCENTE'!$H991</f>
        <v>0</v>
      </c>
      <c r="AV56" s="373" t="str">
        <f>IF(OR(AU56="TC",AU56="MT"),'CARGA DOCENTE'!$A991," ")</f>
        <v xml:space="preserve"> </v>
      </c>
      <c r="AW56" s="374" t="str">
        <f>IF(OR(AU56="TC",AU56="MT"),'CARGA DOCENTE'!$B991," ")</f>
        <v xml:space="preserve"> </v>
      </c>
      <c r="AX56" s="374" t="str">
        <f>IF(OR(AU56="TC",AU56="MT"),'CARGA DOCENTE'!$C991," ")</f>
        <v xml:space="preserve"> </v>
      </c>
      <c r="AY56" s="374" t="str">
        <f>IF(OR(AU56="TC",AU56="MT"),'CARGA DOCENTE'!$G991," ")</f>
        <v xml:space="preserve"> </v>
      </c>
      <c r="AZ56" s="372">
        <f>'CARGA DOCENTE'!$H992</f>
        <v>0</v>
      </c>
      <c r="BA56" s="373" t="str">
        <f>IF(OR(AZ56="TC",AZ56="MT"),'CARGA DOCENTE'!$A992," ")</f>
        <v xml:space="preserve"> </v>
      </c>
      <c r="BB56" s="374" t="str">
        <f>IF(OR(AZ56="TC",AZ56="MT"),'CARGA DOCENTE'!$B992," ")</f>
        <v xml:space="preserve"> </v>
      </c>
      <c r="BC56" s="374" t="str">
        <f>IF(OR(AZ56="TC",AZ56="MT"),'CARGA DOCENTE'!$C992," ")</f>
        <v xml:space="preserve"> </v>
      </c>
      <c r="BD56" s="374" t="str">
        <f>IF(OR(AZ56="TC",AZ56="MT"),'CARGA DOCENTE'!$G992," ")</f>
        <v xml:space="preserve"> </v>
      </c>
      <c r="BE56" s="372">
        <f>'CARGA DOCENTE'!$H993</f>
        <v>0</v>
      </c>
      <c r="BF56" s="373" t="str">
        <f>IF(OR(BE56="TC",BE56="MT"),'CARGA DOCENTE'!$A993," ")</f>
        <v xml:space="preserve"> </v>
      </c>
      <c r="BG56" s="374" t="str">
        <f>IF(OR(BE56="TC",BE56="MT"),'CARGA DOCENTE'!$B993," ")</f>
        <v xml:space="preserve"> </v>
      </c>
      <c r="BH56" s="374" t="str">
        <f>IF(OR(BE56="TC",BE56="MT"),'CARGA DOCENTE'!$C993," ")</f>
        <v xml:space="preserve"> </v>
      </c>
      <c r="BI56" s="374" t="str">
        <f>IF(OR(BE56="TC",BE56="MT"),'CARGA DOCENTE'!$G993," ")</f>
        <v xml:space="preserve"> </v>
      </c>
      <c r="BJ56" s="372">
        <f>'CARGA DOCENTE'!$H994</f>
        <v>0</v>
      </c>
      <c r="BK56" s="373" t="str">
        <f>IF(OR(BJ56="TC",BJ56="MT"),'CARGA DOCENTE'!$A994," ")</f>
        <v xml:space="preserve"> </v>
      </c>
      <c r="BL56" s="374" t="str">
        <f>IF(OR(BJ56="TC",BJ56="MT"),'CARGA DOCENTE'!$B994," ")</f>
        <v xml:space="preserve"> </v>
      </c>
      <c r="BM56" s="374" t="str">
        <f>IF(OR(BJ56="TC",BJ56="MT"),'CARGA DOCENTE'!$C994," ")</f>
        <v xml:space="preserve"> </v>
      </c>
      <c r="BN56" s="374" t="str">
        <f>IF(OR(BJ56="TC",BJ56="MT"),'CARGA DOCENTE'!$G994," ")</f>
        <v xml:space="preserve"> </v>
      </c>
      <c r="BO56" s="372">
        <f>'CARGA DOCENTE'!$H995</f>
        <v>0</v>
      </c>
      <c r="BP56" s="373" t="str">
        <f>IF(OR(BO56="TC",BO56="MT"),'CARGA DOCENTE'!$A995," ")</f>
        <v xml:space="preserve"> </v>
      </c>
      <c r="BQ56" s="374" t="str">
        <f>IF(OR(BO56="TC",BO56="MT"),'CARGA DOCENTE'!$B995," ")</f>
        <v xml:space="preserve"> </v>
      </c>
      <c r="BR56" s="374" t="str">
        <f>IF(OR(BO56="TC",BO56="MT"),'CARGA DOCENTE'!$C995," ")</f>
        <v xml:space="preserve"> </v>
      </c>
      <c r="BS56" s="374" t="str">
        <f>IF(OR(BO56="TC",BO56="MT"),'CARGA DOCENTE'!$G995," ")</f>
        <v xml:space="preserve"> </v>
      </c>
      <c r="BT56" s="372">
        <f>'CARGA DOCENTE'!$H996</f>
        <v>0</v>
      </c>
      <c r="BU56" s="373" t="str">
        <f>IF(OR(BT56="TC",BT56="MT"),'CARGA DOCENTE'!$A996," ")</f>
        <v xml:space="preserve"> </v>
      </c>
      <c r="BV56" s="374" t="str">
        <f>IF(OR(BT56="TC",BT56="MT"),'CARGA DOCENTE'!$B996," ")</f>
        <v xml:space="preserve"> </v>
      </c>
      <c r="BW56" s="374" t="str">
        <f>IF(OR(BT56="TC",BT56="MT"),'CARGA DOCENTE'!$C996," ")</f>
        <v xml:space="preserve"> </v>
      </c>
      <c r="BX56" s="374" t="str">
        <f>IF(OR(BT56="TC",BT56="MT"),'CARGA DOCENTE'!$G996," ")</f>
        <v xml:space="preserve"> </v>
      </c>
    </row>
    <row r="57" spans="1:76" x14ac:dyDescent="0.2">
      <c r="A57" s="378">
        <f>'CARGA DOCENTE'!J1000</f>
        <v>0</v>
      </c>
      <c r="B57" s="372">
        <f>'CARGA DOCENTE'!$H1000</f>
        <v>0</v>
      </c>
      <c r="C57" s="373" t="str">
        <f>IF(OR(B57="TC",B57="MT"),'CARGA DOCENTE'!$A1000," ")</f>
        <v xml:space="preserve"> </v>
      </c>
      <c r="D57" s="374" t="str">
        <f>IF(OR(B57="TC",B57="MT"),'CARGA DOCENTE'!$B1000," ")</f>
        <v xml:space="preserve"> </v>
      </c>
      <c r="E57" s="374" t="str">
        <f>IF(OR(B57="TC",B57="MT"),'CARGA DOCENTE'!$C1000," ")</f>
        <v xml:space="preserve"> </v>
      </c>
      <c r="F57" s="374" t="str">
        <f>IF(OR(B57="TC",B57="MT"),'CARGA DOCENTE'!$G1000," ")</f>
        <v xml:space="preserve"> </v>
      </c>
      <c r="G57" s="372">
        <f>'CARGA DOCENTE'!$H1001</f>
        <v>0</v>
      </c>
      <c r="H57" s="373" t="str">
        <f>IF(OR(G57="TC",G57="MT"),'CARGA DOCENTE'!$A1001," ")</f>
        <v xml:space="preserve"> </v>
      </c>
      <c r="I57" s="374" t="str">
        <f>IF(OR(G57="TC",G57="MT"),'CARGA DOCENTE'!$B1001," ")</f>
        <v xml:space="preserve"> </v>
      </c>
      <c r="J57" s="374" t="str">
        <f>IF(OR(G57="TC",G57="MT"),'CARGA DOCENTE'!$C1001," ")</f>
        <v xml:space="preserve"> </v>
      </c>
      <c r="K57" s="374" t="str">
        <f>IF(OR(G57="TC",G57="MT"),'CARGA DOCENTE'!$G1001," ")</f>
        <v xml:space="preserve"> </v>
      </c>
      <c r="L57" s="372">
        <f>'CARGA DOCENTE'!$H1002</f>
        <v>0</v>
      </c>
      <c r="M57" s="373" t="str">
        <f>IF(OR(L57="TC",L57="MT"),'CARGA DOCENTE'!$A1002," ")</f>
        <v xml:space="preserve"> </v>
      </c>
      <c r="N57" s="374" t="str">
        <f>IF(OR(L57="TC",L57="MT"),'CARGA DOCENTE'!$B1002," ")</f>
        <v xml:space="preserve"> </v>
      </c>
      <c r="O57" s="374" t="str">
        <f>IF(OR(L57="TC",L57="MT"),'CARGA DOCENTE'!$C1002," ")</f>
        <v xml:space="preserve"> </v>
      </c>
      <c r="P57" s="374" t="str">
        <f>IF(OR(L57="TC",L57="MT"),'CARGA DOCENTE'!$G1002," ")</f>
        <v xml:space="preserve"> </v>
      </c>
      <c r="Q57" s="372">
        <f>'CARGA DOCENTE'!$H1003</f>
        <v>0</v>
      </c>
      <c r="R57" s="373" t="str">
        <f>IF(OR(Q57="TC",Q57="MT"),'CARGA DOCENTE'!$A1003," ")</f>
        <v xml:space="preserve"> </v>
      </c>
      <c r="S57" s="374" t="str">
        <f>IF(OR(Q57="TC",Q57="MT"),'CARGA DOCENTE'!$B1003," ")</f>
        <v xml:space="preserve"> </v>
      </c>
      <c r="T57" s="374" t="str">
        <f>IF(OR(Q57="TC",Q57="MT"),'CARGA DOCENTE'!$C1003," ")</f>
        <v xml:space="preserve"> </v>
      </c>
      <c r="U57" s="374" t="str">
        <f>IF(OR(Q57="TC",Q57="MT"),'CARGA DOCENTE'!$G1003," ")</f>
        <v xml:space="preserve"> </v>
      </c>
      <c r="V57" s="372">
        <f>'CARGA DOCENTE'!$H1004</f>
        <v>0</v>
      </c>
      <c r="W57" s="373" t="str">
        <f>IF(OR(V57="TC",V57="MT"),'CARGA DOCENTE'!$A1004," ")</f>
        <v xml:space="preserve"> </v>
      </c>
      <c r="X57" s="374" t="str">
        <f>IF(OR(V57="TC",V57="MT"),'CARGA DOCENTE'!$B1004," ")</f>
        <v xml:space="preserve"> </v>
      </c>
      <c r="Y57" s="374" t="str">
        <f>IF(OR(V57="TC",V57="MT"),'CARGA DOCENTE'!$C1004," ")</f>
        <v xml:space="preserve"> </v>
      </c>
      <c r="Z57" s="374" t="str">
        <f>IF(OR(V57="TC",V57="MT"),'CARGA DOCENTE'!$G1004," ")</f>
        <v xml:space="preserve"> </v>
      </c>
      <c r="AA57" s="372">
        <f>'CARGA DOCENTE'!$H1005</f>
        <v>0</v>
      </c>
      <c r="AB57" s="373" t="str">
        <f>IF(OR(AA57="TC",AA57="MT"),'CARGA DOCENTE'!$A1005," ")</f>
        <v xml:space="preserve"> </v>
      </c>
      <c r="AC57" s="374" t="str">
        <f>IF(OR(AA57="TC",AA57="MT"),'CARGA DOCENTE'!$B1005," ")</f>
        <v xml:space="preserve"> </v>
      </c>
      <c r="AD57" s="374" t="str">
        <f>IF(OR(AA57="TC",AA57="MT"),'CARGA DOCENTE'!$C1005," ")</f>
        <v xml:space="preserve"> </v>
      </c>
      <c r="AE57" s="374" t="str">
        <f>IF(OR(AA57="TC",AA57="MT"),'CARGA DOCENTE'!$G1005," ")</f>
        <v xml:space="preserve"> </v>
      </c>
      <c r="AF57" s="372">
        <f>'CARGA DOCENTE'!$H1006</f>
        <v>0</v>
      </c>
      <c r="AG57" s="373" t="str">
        <f>IF(OR(AF57="TC",AF57="MT"),'CARGA DOCENTE'!$A1006," ")</f>
        <v xml:space="preserve"> </v>
      </c>
      <c r="AH57" s="374" t="str">
        <f>IF(OR(AF57="TC",AF57="MT"),'CARGA DOCENTE'!$B1006," ")</f>
        <v xml:space="preserve"> </v>
      </c>
      <c r="AI57" s="374" t="str">
        <f>IF(OR(AF57="TC",AF57="MT"),'CARGA DOCENTE'!$C1006," ")</f>
        <v xml:space="preserve"> </v>
      </c>
      <c r="AJ57" s="374" t="str">
        <f>IF(OR(AF57="TC",AF57="MT"),'CARGA DOCENTE'!$G1006," ")</f>
        <v xml:space="preserve"> </v>
      </c>
      <c r="AK57" s="372">
        <f>'CARGA DOCENTE'!$H1007</f>
        <v>0</v>
      </c>
      <c r="AL57" s="373" t="str">
        <f>IF(OR(AK57="TC",AK57="MT"),'CARGA DOCENTE'!$A1007," ")</f>
        <v xml:space="preserve"> </v>
      </c>
      <c r="AM57" s="374" t="str">
        <f>IF(OR(AK57="TC",AK57="MT"),'CARGA DOCENTE'!$B1007," ")</f>
        <v xml:space="preserve"> </v>
      </c>
      <c r="AN57" s="374" t="str">
        <f>IF(OR(AK57="TC",AK57="MT"),'CARGA DOCENTE'!$C1007," ")</f>
        <v xml:space="preserve"> </v>
      </c>
      <c r="AO57" s="374" t="str">
        <f>IF(OR(AK57="TC",AK57="MT"),'CARGA DOCENTE'!$G1007," ")</f>
        <v xml:space="preserve"> </v>
      </c>
      <c r="AP57" s="372">
        <f>'CARGA DOCENTE'!$H1008</f>
        <v>0</v>
      </c>
      <c r="AQ57" s="379" t="str">
        <f>IF(OR(AP57="TC",AP57="MT"),'CARGA DOCENTE'!$A1008," ")</f>
        <v xml:space="preserve"> </v>
      </c>
      <c r="AR57" s="380" t="str">
        <f>IF(OR(AP57="TC",AP57="MT"),'CARGA DOCENTE'!$B1008," ")</f>
        <v xml:space="preserve"> </v>
      </c>
      <c r="AS57" s="380" t="str">
        <f>IF(OR(AP57="TC",AP57="MT"),'CARGA DOCENTE'!$C1008," ")</f>
        <v xml:space="preserve"> </v>
      </c>
      <c r="AT57" s="380" t="str">
        <f>IF(OR(AP57="TC",AP57="MT"),'CARGA DOCENTE'!$G1008," ")</f>
        <v xml:space="preserve"> </v>
      </c>
      <c r="AU57" s="372">
        <f>'CARGA DOCENTE'!$H1009</f>
        <v>0</v>
      </c>
      <c r="AV57" s="373" t="str">
        <f>IF(OR(AU57="TC",AU57="MT"),'CARGA DOCENTE'!$A1009," ")</f>
        <v xml:space="preserve"> </v>
      </c>
      <c r="AW57" s="374" t="str">
        <f>IF(OR(AU57="TC",AU57="MT"),'CARGA DOCENTE'!$B1009," ")</f>
        <v xml:space="preserve"> </v>
      </c>
      <c r="AX57" s="374" t="str">
        <f>IF(OR(AU57="TC",AU57="MT"),'CARGA DOCENTE'!$C1009," ")</f>
        <v xml:space="preserve"> </v>
      </c>
      <c r="AY57" s="374" t="str">
        <f>IF(OR(AU57="TC",AU57="MT"),'CARGA DOCENTE'!$G1009," ")</f>
        <v xml:space="preserve"> </v>
      </c>
      <c r="AZ57" s="372">
        <f>'CARGA DOCENTE'!$H1010</f>
        <v>0</v>
      </c>
      <c r="BA57" s="373" t="str">
        <f>IF(OR(AZ57="TC",AZ57="MT"),'CARGA DOCENTE'!$A1010," ")</f>
        <v xml:space="preserve"> </v>
      </c>
      <c r="BB57" s="374" t="str">
        <f>IF(OR(AZ57="TC",AZ57="MT"),'CARGA DOCENTE'!$B1010," ")</f>
        <v xml:space="preserve"> </v>
      </c>
      <c r="BC57" s="374" t="str">
        <f>IF(OR(AZ57="TC",AZ57="MT"),'CARGA DOCENTE'!$C1010," ")</f>
        <v xml:space="preserve"> </v>
      </c>
      <c r="BD57" s="374" t="str">
        <f>IF(OR(AZ57="TC",AZ57="MT"),'CARGA DOCENTE'!$G1010," ")</f>
        <v xml:space="preserve"> </v>
      </c>
      <c r="BE57" s="372">
        <f>'CARGA DOCENTE'!$H1011</f>
        <v>0</v>
      </c>
      <c r="BF57" s="373" t="str">
        <f>IF(OR(BE57="TC",BE57="MT"),'CARGA DOCENTE'!$A1011," ")</f>
        <v xml:space="preserve"> </v>
      </c>
      <c r="BG57" s="374" t="str">
        <f>IF(OR(BE57="TC",BE57="MT"),'CARGA DOCENTE'!$B1011," ")</f>
        <v xml:space="preserve"> </v>
      </c>
      <c r="BH57" s="374" t="str">
        <f>IF(OR(BE57="TC",BE57="MT"),'CARGA DOCENTE'!$C1011," ")</f>
        <v xml:space="preserve"> </v>
      </c>
      <c r="BI57" s="374" t="str">
        <f>IF(OR(BE57="TC",BE57="MT"),'CARGA DOCENTE'!$G1011," ")</f>
        <v xml:space="preserve"> </v>
      </c>
      <c r="BJ57" s="372">
        <f>'CARGA DOCENTE'!$H1012</f>
        <v>0</v>
      </c>
      <c r="BK57" s="373" t="str">
        <f>IF(OR(BJ57="TC",BJ57="MT"),'CARGA DOCENTE'!$A1012," ")</f>
        <v xml:space="preserve"> </v>
      </c>
      <c r="BL57" s="374" t="str">
        <f>IF(OR(BJ57="TC",BJ57="MT"),'CARGA DOCENTE'!$B1012," ")</f>
        <v xml:space="preserve"> </v>
      </c>
      <c r="BM57" s="374" t="str">
        <f>IF(OR(BJ57="TC",BJ57="MT"),'CARGA DOCENTE'!$C1012," ")</f>
        <v xml:space="preserve"> </v>
      </c>
      <c r="BN57" s="374" t="str">
        <f>IF(OR(BJ57="TC",BJ57="MT"),'CARGA DOCENTE'!$G1012," ")</f>
        <v xml:space="preserve"> </v>
      </c>
      <c r="BO57" s="372">
        <f>'CARGA DOCENTE'!$H1013</f>
        <v>0</v>
      </c>
      <c r="BP57" s="373" t="str">
        <f>IF(OR(BO57="TC",BO57="MT"),'CARGA DOCENTE'!$A1013," ")</f>
        <v xml:space="preserve"> </v>
      </c>
      <c r="BQ57" s="374" t="str">
        <f>IF(OR(BO57="TC",BO57="MT"),'CARGA DOCENTE'!$B1013," ")</f>
        <v xml:space="preserve"> </v>
      </c>
      <c r="BR57" s="374" t="str">
        <f>IF(OR(BO57="TC",BO57="MT"),'CARGA DOCENTE'!$C1013," ")</f>
        <v xml:space="preserve"> </v>
      </c>
      <c r="BS57" s="374" t="str">
        <f>IF(OR(BO57="TC",BO57="MT"),'CARGA DOCENTE'!$G1013," ")</f>
        <v xml:space="preserve"> </v>
      </c>
      <c r="BT57" s="372">
        <f>'CARGA DOCENTE'!$H1014</f>
        <v>0</v>
      </c>
      <c r="BU57" s="373" t="str">
        <f>IF(OR(BT57="TC",BT57="MT"),'CARGA DOCENTE'!$A1014," ")</f>
        <v xml:space="preserve"> </v>
      </c>
      <c r="BV57" s="374" t="str">
        <f>IF(OR(BT57="TC",BT57="MT"),'CARGA DOCENTE'!$B1014," ")</f>
        <v xml:space="preserve"> </v>
      </c>
      <c r="BW57" s="374" t="str">
        <f>IF(OR(BT57="TC",BT57="MT"),'CARGA DOCENTE'!$C1014," ")</f>
        <v xml:space="preserve"> </v>
      </c>
      <c r="BX57" s="374" t="str">
        <f>IF(OR(BT57="TC",BT57="MT"),'CARGA DOCENTE'!$G1014," ")</f>
        <v xml:space="preserve"> </v>
      </c>
    </row>
    <row r="58" spans="1:76" x14ac:dyDescent="0.2">
      <c r="A58" s="378">
        <f>'CARGA DOCENTE'!J1018</f>
        <v>0</v>
      </c>
      <c r="B58" s="372">
        <f>'CARGA DOCENTE'!$H1018</f>
        <v>0</v>
      </c>
      <c r="C58" s="373" t="str">
        <f>IF(OR(B58="TC",B58="MT"),'CARGA DOCENTE'!$A1018," ")</f>
        <v xml:space="preserve"> </v>
      </c>
      <c r="D58" s="374" t="str">
        <f>IF(OR(B58="TC",B58="MT"),'CARGA DOCENTE'!$B1018," ")</f>
        <v xml:space="preserve"> </v>
      </c>
      <c r="E58" s="374" t="str">
        <f>IF(OR(B58="TC",B58="MT"),'CARGA DOCENTE'!$C1018," ")</f>
        <v xml:space="preserve"> </v>
      </c>
      <c r="F58" s="374" t="str">
        <f>IF(OR(B58="TC",B58="MT"),'CARGA DOCENTE'!$G1018," ")</f>
        <v xml:space="preserve"> </v>
      </c>
      <c r="G58" s="372">
        <f>'CARGA DOCENTE'!$H1019</f>
        <v>0</v>
      </c>
      <c r="H58" s="373" t="str">
        <f>IF(OR(G58="TC",G58="MT"),'CARGA DOCENTE'!$A1019," ")</f>
        <v xml:space="preserve"> </v>
      </c>
      <c r="I58" s="374" t="str">
        <f>IF(OR(G58="TC",G58="MT"),'CARGA DOCENTE'!$B1019," ")</f>
        <v xml:space="preserve"> </v>
      </c>
      <c r="J58" s="374" t="str">
        <f>IF(OR(G58="TC",G58="MT"),'CARGA DOCENTE'!$C1019," ")</f>
        <v xml:space="preserve"> </v>
      </c>
      <c r="K58" s="374" t="str">
        <f>IF(OR(G58="TC",G58="MT"),'CARGA DOCENTE'!$G1019," ")</f>
        <v xml:space="preserve"> </v>
      </c>
      <c r="L58" s="372">
        <f>'CARGA DOCENTE'!$H1020</f>
        <v>0</v>
      </c>
      <c r="M58" s="373" t="str">
        <f>IF(OR(L58="TC",L58="MT"),'CARGA DOCENTE'!$A1020," ")</f>
        <v xml:space="preserve"> </v>
      </c>
      <c r="N58" s="374" t="str">
        <f>IF(OR(L58="TC",L58="MT"),'CARGA DOCENTE'!$B1020," ")</f>
        <v xml:space="preserve"> </v>
      </c>
      <c r="O58" s="374" t="str">
        <f>IF(OR(L58="TC",L58="MT"),'CARGA DOCENTE'!$C1020," ")</f>
        <v xml:space="preserve"> </v>
      </c>
      <c r="P58" s="374" t="str">
        <f>IF(OR(L58="TC",L58="MT"),'CARGA DOCENTE'!$G1020," ")</f>
        <v xml:space="preserve"> </v>
      </c>
      <c r="Q58" s="372">
        <f>'CARGA DOCENTE'!$H1021</f>
        <v>0</v>
      </c>
      <c r="R58" s="373" t="str">
        <f>IF(OR(Q58="TC",Q58="MT"),'CARGA DOCENTE'!$A1021," ")</f>
        <v xml:space="preserve"> </v>
      </c>
      <c r="S58" s="374" t="str">
        <f>IF(OR(Q58="TC",Q58="MT"),'CARGA DOCENTE'!$B1021," ")</f>
        <v xml:space="preserve"> </v>
      </c>
      <c r="T58" s="374" t="str">
        <f>IF(OR(Q58="TC",Q58="MT"),'CARGA DOCENTE'!$C1021," ")</f>
        <v xml:space="preserve"> </v>
      </c>
      <c r="U58" s="374" t="str">
        <f>IF(OR(Q58="TC",Q58="MT"),'CARGA DOCENTE'!$G1021," ")</f>
        <v xml:space="preserve"> </v>
      </c>
      <c r="V58" s="372">
        <f>'CARGA DOCENTE'!$H1022</f>
        <v>0</v>
      </c>
      <c r="W58" s="373" t="str">
        <f>IF(OR(V58="TC",V58="MT"),'CARGA DOCENTE'!$A1022," ")</f>
        <v xml:space="preserve"> </v>
      </c>
      <c r="X58" s="374" t="str">
        <f>IF(OR(V58="TC",V58="MT"),'CARGA DOCENTE'!$B1022," ")</f>
        <v xml:space="preserve"> </v>
      </c>
      <c r="Y58" s="374" t="str">
        <f>IF(OR(V58="TC",V58="MT"),'CARGA DOCENTE'!$C1022," ")</f>
        <v xml:space="preserve"> </v>
      </c>
      <c r="Z58" s="374" t="str">
        <f>IF(OR(V58="TC",V58="MT"),'CARGA DOCENTE'!$G1022," ")</f>
        <v xml:space="preserve"> </v>
      </c>
      <c r="AA58" s="372">
        <f>'CARGA DOCENTE'!$H1023</f>
        <v>0</v>
      </c>
      <c r="AB58" s="373" t="str">
        <f>IF(OR(AA58="TC",AA58="MT"),'CARGA DOCENTE'!$A1023," ")</f>
        <v xml:space="preserve"> </v>
      </c>
      <c r="AC58" s="374" t="str">
        <f>IF(OR(AA58="TC",AA58="MT"),'CARGA DOCENTE'!$B1023," ")</f>
        <v xml:space="preserve"> </v>
      </c>
      <c r="AD58" s="374" t="str">
        <f>IF(OR(AA58="TC",AA58="MT"),'CARGA DOCENTE'!$C1023," ")</f>
        <v xml:space="preserve"> </v>
      </c>
      <c r="AE58" s="374" t="str">
        <f>IF(OR(AA58="TC",AA58="MT"),'CARGA DOCENTE'!$G1023," ")</f>
        <v xml:space="preserve"> </v>
      </c>
      <c r="AF58" s="372">
        <f>'CARGA DOCENTE'!$H1024</f>
        <v>0</v>
      </c>
      <c r="AG58" s="373" t="str">
        <f>IF(OR(AF58="TC",AF58="MT"),'CARGA DOCENTE'!$A1024," ")</f>
        <v xml:space="preserve"> </v>
      </c>
      <c r="AH58" s="374" t="str">
        <f>IF(OR(AF58="TC",AF58="MT"),'CARGA DOCENTE'!$B1024," ")</f>
        <v xml:space="preserve"> </v>
      </c>
      <c r="AI58" s="374" t="str">
        <f>IF(OR(AF58="TC",AF58="MT"),'CARGA DOCENTE'!$C1024," ")</f>
        <v xml:space="preserve"> </v>
      </c>
      <c r="AJ58" s="374" t="str">
        <f>IF(OR(AF58="TC",AF58="MT"),'CARGA DOCENTE'!$G1024," ")</f>
        <v xml:space="preserve"> </v>
      </c>
      <c r="AK58" s="372">
        <f>'CARGA DOCENTE'!$H1025</f>
        <v>0</v>
      </c>
      <c r="AL58" s="373" t="str">
        <f>IF(OR(AK58="TC",AK58="MT"),'CARGA DOCENTE'!$A1025," ")</f>
        <v xml:space="preserve"> </v>
      </c>
      <c r="AM58" s="374" t="str">
        <f>IF(OR(AK58="TC",AK58="MT"),'CARGA DOCENTE'!$B1025," ")</f>
        <v xml:space="preserve"> </v>
      </c>
      <c r="AN58" s="374" t="str">
        <f>IF(OR(AK58="TC",AK58="MT"),'CARGA DOCENTE'!$C1025," ")</f>
        <v xml:space="preserve"> </v>
      </c>
      <c r="AO58" s="374" t="str">
        <f>IF(OR(AK58="TC",AK58="MT"),'CARGA DOCENTE'!$G1025," ")</f>
        <v xml:space="preserve"> </v>
      </c>
      <c r="AP58" s="372">
        <f>'CARGA DOCENTE'!$H1026</f>
        <v>0</v>
      </c>
      <c r="AQ58" s="379" t="str">
        <f>IF(OR(AP58="TC",AP58="MT"),'CARGA DOCENTE'!$A1026," ")</f>
        <v xml:space="preserve"> </v>
      </c>
      <c r="AR58" s="380" t="str">
        <f>IF(OR(AP58="TC",AP58="MT"),'CARGA DOCENTE'!$B1026," ")</f>
        <v xml:space="preserve"> </v>
      </c>
      <c r="AS58" s="380" t="str">
        <f>IF(OR(AP58="TC",AP58="MT"),'CARGA DOCENTE'!$C1026," ")</f>
        <v xml:space="preserve"> </v>
      </c>
      <c r="AT58" s="380" t="str">
        <f>IF(OR(AP58="TC",AP58="MT"),'CARGA DOCENTE'!$G1026," ")</f>
        <v xml:space="preserve"> </v>
      </c>
      <c r="AU58" s="372">
        <f>'CARGA DOCENTE'!$H1027</f>
        <v>0</v>
      </c>
      <c r="AV58" s="373" t="str">
        <f>IF(OR(AU58="TC",AU58="MT"),'CARGA DOCENTE'!$A1027," ")</f>
        <v xml:space="preserve"> </v>
      </c>
      <c r="AW58" s="374" t="str">
        <f>IF(OR(AU58="TC",AU58="MT"),'CARGA DOCENTE'!$B1027," ")</f>
        <v xml:space="preserve"> </v>
      </c>
      <c r="AX58" s="374" t="str">
        <f>IF(OR(AU58="TC",AU58="MT"),'CARGA DOCENTE'!$C1027," ")</f>
        <v xml:space="preserve"> </v>
      </c>
      <c r="AY58" s="374" t="str">
        <f>IF(OR(AU58="TC",AU58="MT"),'CARGA DOCENTE'!$G1027," ")</f>
        <v xml:space="preserve"> </v>
      </c>
      <c r="AZ58" s="372">
        <f>'CARGA DOCENTE'!$H1028</f>
        <v>0</v>
      </c>
      <c r="BA58" s="373" t="str">
        <f>IF(OR(AZ58="TC",AZ58="MT"),'CARGA DOCENTE'!$A1028," ")</f>
        <v xml:space="preserve"> </v>
      </c>
      <c r="BB58" s="374" t="str">
        <f>IF(OR(AZ58="TC",AZ58="MT"),'CARGA DOCENTE'!$B1028," ")</f>
        <v xml:space="preserve"> </v>
      </c>
      <c r="BC58" s="374" t="str">
        <f>IF(OR(AZ58="TC",AZ58="MT"),'CARGA DOCENTE'!$C1028," ")</f>
        <v xml:space="preserve"> </v>
      </c>
      <c r="BD58" s="374" t="str">
        <f>IF(OR(AZ58="TC",AZ58="MT"),'CARGA DOCENTE'!$G1028," ")</f>
        <v xml:space="preserve"> </v>
      </c>
      <c r="BE58" s="372">
        <f>'CARGA DOCENTE'!$H1029</f>
        <v>0</v>
      </c>
      <c r="BF58" s="373" t="str">
        <f>IF(OR(BE58="TC",BE58="MT"),'CARGA DOCENTE'!$A1029," ")</f>
        <v xml:space="preserve"> </v>
      </c>
      <c r="BG58" s="374" t="str">
        <f>IF(OR(BE58="TC",BE58="MT"),'CARGA DOCENTE'!$B1029," ")</f>
        <v xml:space="preserve"> </v>
      </c>
      <c r="BH58" s="374" t="str">
        <f>IF(OR(BE58="TC",BE58="MT"),'CARGA DOCENTE'!$C1029," ")</f>
        <v xml:space="preserve"> </v>
      </c>
      <c r="BI58" s="374" t="str">
        <f>IF(OR(BE58="TC",BE58="MT"),'CARGA DOCENTE'!$G1029," ")</f>
        <v xml:space="preserve"> </v>
      </c>
      <c r="BJ58" s="372">
        <f>'CARGA DOCENTE'!$H1030</f>
        <v>0</v>
      </c>
      <c r="BK58" s="373" t="str">
        <f>IF(OR(BJ58="TC",BJ58="MT"),'CARGA DOCENTE'!$A1030," ")</f>
        <v xml:space="preserve"> </v>
      </c>
      <c r="BL58" s="374" t="str">
        <f>IF(OR(BJ58="TC",BJ58="MT"),'CARGA DOCENTE'!$B1030," ")</f>
        <v xml:space="preserve"> </v>
      </c>
      <c r="BM58" s="374" t="str">
        <f>IF(OR(BJ58="TC",BJ58="MT"),'CARGA DOCENTE'!$C1030," ")</f>
        <v xml:space="preserve"> </v>
      </c>
      <c r="BN58" s="374" t="str">
        <f>IF(OR(BJ58="TC",BJ58="MT"),'CARGA DOCENTE'!$G1030," ")</f>
        <v xml:space="preserve"> </v>
      </c>
      <c r="BO58" s="372">
        <f>'CARGA DOCENTE'!$H1031</f>
        <v>0</v>
      </c>
      <c r="BP58" s="373" t="str">
        <f>IF(OR(BO58="TC",BO58="MT"),'CARGA DOCENTE'!$A1031," ")</f>
        <v xml:space="preserve"> </v>
      </c>
      <c r="BQ58" s="374" t="str">
        <f>IF(OR(BO58="TC",BO58="MT"),'CARGA DOCENTE'!$B1031," ")</f>
        <v xml:space="preserve"> </v>
      </c>
      <c r="BR58" s="374" t="str">
        <f>IF(OR(BO58="TC",BO58="MT"),'CARGA DOCENTE'!$C1031," ")</f>
        <v xml:space="preserve"> </v>
      </c>
      <c r="BS58" s="374" t="str">
        <f>IF(OR(BO58="TC",BO58="MT"),'CARGA DOCENTE'!$G1031," ")</f>
        <v xml:space="preserve"> </v>
      </c>
      <c r="BT58" s="372">
        <f>'CARGA DOCENTE'!$H1032</f>
        <v>0</v>
      </c>
      <c r="BU58" s="373" t="str">
        <f>IF(OR(BT58="TC",BT58="MT"),'CARGA DOCENTE'!$A1032," ")</f>
        <v xml:space="preserve"> </v>
      </c>
      <c r="BV58" s="374" t="str">
        <f>IF(OR(BT58="TC",BT58="MT"),'CARGA DOCENTE'!$B1032," ")</f>
        <v xml:space="preserve"> </v>
      </c>
      <c r="BW58" s="374" t="str">
        <f>IF(OR(BT58="TC",BT58="MT"),'CARGA DOCENTE'!$C1032," ")</f>
        <v xml:space="preserve"> </v>
      </c>
      <c r="BX58" s="374" t="str">
        <f>IF(OR(BT58="TC",BT58="MT"),'CARGA DOCENTE'!$G1032," ")</f>
        <v xml:space="preserve"> </v>
      </c>
    </row>
    <row r="59" spans="1:76" x14ac:dyDescent="0.2">
      <c r="A59" s="378">
        <f>'CARGA DOCENTE'!J1036</f>
        <v>0</v>
      </c>
      <c r="B59" s="372">
        <f>'CARGA DOCENTE'!$H1036</f>
        <v>0</v>
      </c>
      <c r="C59" s="373" t="str">
        <f>IF(OR(B59="TC",B59="MT"),'CARGA DOCENTE'!$A1036," ")</f>
        <v xml:space="preserve"> </v>
      </c>
      <c r="D59" s="374" t="str">
        <f>IF(OR(B59="TC",B59="MT"),'CARGA DOCENTE'!$B1036," ")</f>
        <v xml:space="preserve"> </v>
      </c>
      <c r="E59" s="374" t="str">
        <f>IF(OR(B59="TC",B59="MT"),'CARGA DOCENTE'!$C1036," ")</f>
        <v xml:space="preserve"> </v>
      </c>
      <c r="F59" s="374" t="str">
        <f>IF(OR(B59="TC",B59="MT"),'CARGA DOCENTE'!$G1036," ")</f>
        <v xml:space="preserve"> </v>
      </c>
      <c r="G59" s="372">
        <f>'CARGA DOCENTE'!$H1037</f>
        <v>0</v>
      </c>
      <c r="H59" s="373" t="str">
        <f>IF(OR(G59="TC",G59="MT"),'CARGA DOCENTE'!$A1037," ")</f>
        <v xml:space="preserve"> </v>
      </c>
      <c r="I59" s="374" t="str">
        <f>IF(OR(G59="TC",G59="MT"),'CARGA DOCENTE'!$B1037," ")</f>
        <v xml:space="preserve"> </v>
      </c>
      <c r="J59" s="374" t="str">
        <f>IF(OR(G59="TC",G59="MT"),'CARGA DOCENTE'!$C1037," ")</f>
        <v xml:space="preserve"> </v>
      </c>
      <c r="K59" s="374" t="str">
        <f>IF(OR(G59="TC",G59="MT"),'CARGA DOCENTE'!$G1037," ")</f>
        <v xml:space="preserve"> </v>
      </c>
      <c r="L59" s="372">
        <f>'CARGA DOCENTE'!$H1038</f>
        <v>0</v>
      </c>
      <c r="M59" s="373" t="str">
        <f>IF(OR(L59="TC",L59="MT"),'CARGA DOCENTE'!$A1038," ")</f>
        <v xml:space="preserve"> </v>
      </c>
      <c r="N59" s="374" t="str">
        <f>IF(OR(L59="TC",L59="MT"),'CARGA DOCENTE'!$B1038," ")</f>
        <v xml:space="preserve"> </v>
      </c>
      <c r="O59" s="374" t="str">
        <f>IF(OR(L59="TC",L59="MT"),'CARGA DOCENTE'!$C1038," ")</f>
        <v xml:space="preserve"> </v>
      </c>
      <c r="P59" s="374" t="str">
        <f>IF(OR(L59="TC",L59="MT"),'CARGA DOCENTE'!$G1038," ")</f>
        <v xml:space="preserve"> </v>
      </c>
      <c r="Q59" s="372">
        <f>'CARGA DOCENTE'!$H1039</f>
        <v>0</v>
      </c>
      <c r="R59" s="373" t="str">
        <f>IF(OR(Q59="TC",Q59="MT"),'CARGA DOCENTE'!$A1039," ")</f>
        <v xml:space="preserve"> </v>
      </c>
      <c r="S59" s="374" t="str">
        <f>IF(OR(Q59="TC",Q59="MT"),'CARGA DOCENTE'!$B1039," ")</f>
        <v xml:space="preserve"> </v>
      </c>
      <c r="T59" s="374" t="str">
        <f>IF(OR(Q59="TC",Q59="MT"),'CARGA DOCENTE'!$C1039," ")</f>
        <v xml:space="preserve"> </v>
      </c>
      <c r="U59" s="374" t="str">
        <f>IF(OR(Q59="TC",Q59="MT"),'CARGA DOCENTE'!$G1039," ")</f>
        <v xml:space="preserve"> </v>
      </c>
      <c r="V59" s="372">
        <f>'CARGA DOCENTE'!$H1040</f>
        <v>0</v>
      </c>
      <c r="W59" s="373" t="str">
        <f>IF(OR(V59="TC",V59="MT"),'CARGA DOCENTE'!$A1040," ")</f>
        <v xml:space="preserve"> </v>
      </c>
      <c r="X59" s="374" t="str">
        <f>IF(OR(V59="TC",V59="MT"),'CARGA DOCENTE'!$B1040," ")</f>
        <v xml:space="preserve"> </v>
      </c>
      <c r="Y59" s="374" t="str">
        <f>IF(OR(V59="TC",V59="MT"),'CARGA DOCENTE'!$C1040," ")</f>
        <v xml:space="preserve"> </v>
      </c>
      <c r="Z59" s="374" t="str">
        <f>IF(OR(V59="TC",V59="MT"),'CARGA DOCENTE'!$G1040," ")</f>
        <v xml:space="preserve"> </v>
      </c>
      <c r="AA59" s="372">
        <f>'CARGA DOCENTE'!$H1041</f>
        <v>0</v>
      </c>
      <c r="AB59" s="373" t="str">
        <f>IF(OR(AA59="TC",AA59="MT"),'CARGA DOCENTE'!$A1041," ")</f>
        <v xml:space="preserve"> </v>
      </c>
      <c r="AC59" s="374" t="str">
        <f>IF(OR(AA59="TC",AA59="MT"),'CARGA DOCENTE'!$B1041," ")</f>
        <v xml:space="preserve"> </v>
      </c>
      <c r="AD59" s="374" t="str">
        <f>IF(OR(AA59="TC",AA59="MT"),'CARGA DOCENTE'!$C1041," ")</f>
        <v xml:space="preserve"> </v>
      </c>
      <c r="AE59" s="374" t="str">
        <f>IF(OR(AA59="TC",AA59="MT"),'CARGA DOCENTE'!$G1041," ")</f>
        <v xml:space="preserve"> </v>
      </c>
      <c r="AF59" s="372">
        <f>'CARGA DOCENTE'!$H1042</f>
        <v>0</v>
      </c>
      <c r="AG59" s="373" t="str">
        <f>IF(OR(AF59="TC",AF59="MT"),'CARGA DOCENTE'!$A1042," ")</f>
        <v xml:space="preserve"> </v>
      </c>
      <c r="AH59" s="374" t="str">
        <f>IF(OR(AF59="TC",AF59="MT"),'CARGA DOCENTE'!$B1042," ")</f>
        <v xml:space="preserve"> </v>
      </c>
      <c r="AI59" s="374" t="str">
        <f>IF(OR(AF59="TC",AF59="MT"),'CARGA DOCENTE'!$C1042," ")</f>
        <v xml:space="preserve"> </v>
      </c>
      <c r="AJ59" s="374" t="str">
        <f>IF(OR(AF59="TC",AF59="MT"),'CARGA DOCENTE'!$G1042," ")</f>
        <v xml:space="preserve"> </v>
      </c>
      <c r="AK59" s="372">
        <f>'CARGA DOCENTE'!$H1043</f>
        <v>0</v>
      </c>
      <c r="AL59" s="373" t="str">
        <f>IF(OR(AK59="TC",AK59="MT"),'CARGA DOCENTE'!$A1043," ")</f>
        <v xml:space="preserve"> </v>
      </c>
      <c r="AM59" s="374" t="str">
        <f>IF(OR(AK59="TC",AK59="MT"),'CARGA DOCENTE'!$B1043," ")</f>
        <v xml:space="preserve"> </v>
      </c>
      <c r="AN59" s="374" t="str">
        <f>IF(OR(AK59="TC",AK59="MT"),'CARGA DOCENTE'!$C1043," ")</f>
        <v xml:space="preserve"> </v>
      </c>
      <c r="AO59" s="374" t="str">
        <f>IF(OR(AK59="TC",AK59="MT"),'CARGA DOCENTE'!$G1043," ")</f>
        <v xml:space="preserve"> </v>
      </c>
      <c r="AP59" s="372">
        <f>'CARGA DOCENTE'!$H1044</f>
        <v>0</v>
      </c>
      <c r="AQ59" s="379" t="str">
        <f>IF(OR(AP59="TC",AP59="MT"),'CARGA DOCENTE'!$A1044," ")</f>
        <v xml:space="preserve"> </v>
      </c>
      <c r="AR59" s="380" t="str">
        <f>IF(OR(AP59="TC",AP59="MT"),'CARGA DOCENTE'!$B1044," ")</f>
        <v xml:space="preserve"> </v>
      </c>
      <c r="AS59" s="380" t="str">
        <f>IF(OR(AP59="TC",AP59="MT"),'CARGA DOCENTE'!$C1044," ")</f>
        <v xml:space="preserve"> </v>
      </c>
      <c r="AT59" s="380" t="str">
        <f>IF(OR(AP59="TC",AP59="MT"),'CARGA DOCENTE'!$G1044," ")</f>
        <v xml:space="preserve"> </v>
      </c>
      <c r="AU59" s="372">
        <f>'CARGA DOCENTE'!$H1045</f>
        <v>0</v>
      </c>
      <c r="AV59" s="373" t="str">
        <f>IF(OR(AU59="TC",AU59="MT"),'CARGA DOCENTE'!$A1045," ")</f>
        <v xml:space="preserve"> </v>
      </c>
      <c r="AW59" s="374" t="str">
        <f>IF(OR(AU59="TC",AU59="MT"),'CARGA DOCENTE'!$B1045," ")</f>
        <v xml:space="preserve"> </v>
      </c>
      <c r="AX59" s="374" t="str">
        <f>IF(OR(AU59="TC",AU59="MT"),'CARGA DOCENTE'!$C1045," ")</f>
        <v xml:space="preserve"> </v>
      </c>
      <c r="AY59" s="374" t="str">
        <f>IF(OR(AU59="TC",AU59="MT"),'CARGA DOCENTE'!$G1045," ")</f>
        <v xml:space="preserve"> </v>
      </c>
      <c r="AZ59" s="372">
        <f>'CARGA DOCENTE'!$H1046</f>
        <v>0</v>
      </c>
      <c r="BA59" s="373" t="str">
        <f>IF(OR(AZ59="TC",AZ59="MT"),'CARGA DOCENTE'!$A1046," ")</f>
        <v xml:space="preserve"> </v>
      </c>
      <c r="BB59" s="374" t="str">
        <f>IF(OR(AZ59="TC",AZ59="MT"),'CARGA DOCENTE'!$B1046," ")</f>
        <v xml:space="preserve"> </v>
      </c>
      <c r="BC59" s="374" t="str">
        <f>IF(OR(AZ59="TC",AZ59="MT"),'CARGA DOCENTE'!$C1046," ")</f>
        <v xml:space="preserve"> </v>
      </c>
      <c r="BD59" s="374" t="str">
        <f>IF(OR(AZ59="TC",AZ59="MT"),'CARGA DOCENTE'!$G1046," ")</f>
        <v xml:space="preserve"> </v>
      </c>
      <c r="BE59" s="372">
        <f>'CARGA DOCENTE'!$H1047</f>
        <v>0</v>
      </c>
      <c r="BF59" s="373" t="str">
        <f>IF(OR(BE59="TC",BE59="MT"),'CARGA DOCENTE'!$A1047," ")</f>
        <v xml:space="preserve"> </v>
      </c>
      <c r="BG59" s="374" t="str">
        <f>IF(OR(BE59="TC",BE59="MT"),'CARGA DOCENTE'!$B1047," ")</f>
        <v xml:space="preserve"> </v>
      </c>
      <c r="BH59" s="374" t="str">
        <f>IF(OR(BE59="TC",BE59="MT"),'CARGA DOCENTE'!$C1047," ")</f>
        <v xml:space="preserve"> </v>
      </c>
      <c r="BI59" s="374" t="str">
        <f>IF(OR(BE59="TC",BE59="MT"),'CARGA DOCENTE'!$G1047," ")</f>
        <v xml:space="preserve"> </v>
      </c>
      <c r="BJ59" s="372">
        <f>'CARGA DOCENTE'!$H1048</f>
        <v>0</v>
      </c>
      <c r="BK59" s="373" t="str">
        <f>IF(OR(BJ59="TC",BJ59="MT"),'CARGA DOCENTE'!$A1048," ")</f>
        <v xml:space="preserve"> </v>
      </c>
      <c r="BL59" s="374" t="str">
        <f>IF(OR(BJ59="TC",BJ59="MT"),'CARGA DOCENTE'!$B1048," ")</f>
        <v xml:space="preserve"> </v>
      </c>
      <c r="BM59" s="374" t="str">
        <f>IF(OR(BJ59="TC",BJ59="MT"),'CARGA DOCENTE'!$C1048," ")</f>
        <v xml:space="preserve"> </v>
      </c>
      <c r="BN59" s="374" t="str">
        <f>IF(OR(BJ59="TC",BJ59="MT"),'CARGA DOCENTE'!$G1048," ")</f>
        <v xml:space="preserve"> </v>
      </c>
      <c r="BO59" s="372">
        <f>'CARGA DOCENTE'!$H1049</f>
        <v>0</v>
      </c>
      <c r="BP59" s="373" t="str">
        <f>IF(OR(BO59="TC",BO59="MT"),'CARGA DOCENTE'!$A1049," ")</f>
        <v xml:space="preserve"> </v>
      </c>
      <c r="BQ59" s="374" t="str">
        <f>IF(OR(BO59="TC",BO59="MT"),'CARGA DOCENTE'!$B1049," ")</f>
        <v xml:space="preserve"> </v>
      </c>
      <c r="BR59" s="374" t="str">
        <f>IF(OR(BO59="TC",BO59="MT"),'CARGA DOCENTE'!$C1049," ")</f>
        <v xml:space="preserve"> </v>
      </c>
      <c r="BS59" s="374" t="str">
        <f>IF(OR(BO59="TC",BO59="MT"),'CARGA DOCENTE'!$G1049," ")</f>
        <v xml:space="preserve"> </v>
      </c>
      <c r="BT59" s="372">
        <f>'CARGA DOCENTE'!$H1050</f>
        <v>0</v>
      </c>
      <c r="BU59" s="373" t="str">
        <f>IF(OR(BT59="TC",BT59="MT"),'CARGA DOCENTE'!$A1050," ")</f>
        <v xml:space="preserve"> </v>
      </c>
      <c r="BV59" s="374" t="str">
        <f>IF(OR(BT59="TC",BT59="MT"),'CARGA DOCENTE'!$B1050," ")</f>
        <v xml:space="preserve"> </v>
      </c>
      <c r="BW59" s="374" t="str">
        <f>IF(OR(BT59="TC",BT59="MT"),'CARGA DOCENTE'!$C1050," ")</f>
        <v xml:space="preserve"> </v>
      </c>
      <c r="BX59" s="374" t="str">
        <f>IF(OR(BT59="TC",BT59="MT"),'CARGA DOCENTE'!$G1050," ")</f>
        <v xml:space="preserve"> </v>
      </c>
    </row>
    <row r="60" spans="1:76" x14ac:dyDescent="0.2">
      <c r="A60" s="378">
        <f>'CARGA DOCENTE'!J1054</f>
        <v>0</v>
      </c>
      <c r="B60" s="372">
        <f>'CARGA DOCENTE'!$H1054</f>
        <v>0</v>
      </c>
      <c r="C60" s="373" t="str">
        <f>IF(OR(B60="TC",B60="MT"),'CARGA DOCENTE'!$A1054," ")</f>
        <v xml:space="preserve"> </v>
      </c>
      <c r="D60" s="374" t="str">
        <f>IF(OR(B60="TC",B60="MT"),'CARGA DOCENTE'!$B1054," ")</f>
        <v xml:space="preserve"> </v>
      </c>
      <c r="E60" s="374" t="str">
        <f>IF(OR(B60="TC",B60="MT"),'CARGA DOCENTE'!$C1054," ")</f>
        <v xml:space="preserve"> </v>
      </c>
      <c r="F60" s="374" t="str">
        <f>IF(OR(B60="TC",B60="MT"),'CARGA DOCENTE'!$G1054," ")</f>
        <v xml:space="preserve"> </v>
      </c>
      <c r="G60" s="372">
        <f>'CARGA DOCENTE'!$H1055</f>
        <v>0</v>
      </c>
      <c r="H60" s="373" t="str">
        <f>IF(OR(G60="TC",G60="MT"),'CARGA DOCENTE'!$A1055," ")</f>
        <v xml:space="preserve"> </v>
      </c>
      <c r="I60" s="374" t="str">
        <f>IF(OR(G60="TC",G60="MT"),'CARGA DOCENTE'!$B1055," ")</f>
        <v xml:space="preserve"> </v>
      </c>
      <c r="J60" s="374" t="str">
        <f>IF(OR(G60="TC",G60="MT"),'CARGA DOCENTE'!$C1055," ")</f>
        <v xml:space="preserve"> </v>
      </c>
      <c r="K60" s="374" t="str">
        <f>IF(OR(G60="TC",G60="MT"),'CARGA DOCENTE'!$G1055," ")</f>
        <v xml:space="preserve"> </v>
      </c>
      <c r="L60" s="372">
        <f>'CARGA DOCENTE'!$H1056</f>
        <v>0</v>
      </c>
      <c r="M60" s="373" t="str">
        <f>IF(OR(L60="TC",L60="MT"),'CARGA DOCENTE'!$A1056," ")</f>
        <v xml:space="preserve"> </v>
      </c>
      <c r="N60" s="374" t="str">
        <f>IF(OR(L60="TC",L60="MT"),'CARGA DOCENTE'!$B1056," ")</f>
        <v xml:space="preserve"> </v>
      </c>
      <c r="O60" s="374" t="str">
        <f>IF(OR(L60="TC",L60="MT"),'CARGA DOCENTE'!$C1056," ")</f>
        <v xml:space="preserve"> </v>
      </c>
      <c r="P60" s="374" t="str">
        <f>IF(OR(L60="TC",L60="MT"),'CARGA DOCENTE'!$G1056," ")</f>
        <v xml:space="preserve"> </v>
      </c>
      <c r="Q60" s="372">
        <f>'CARGA DOCENTE'!$H1057</f>
        <v>0</v>
      </c>
      <c r="R60" s="373" t="str">
        <f>IF(OR(Q60="TC",Q60="MT"),'CARGA DOCENTE'!$A1057," ")</f>
        <v xml:space="preserve"> </v>
      </c>
      <c r="S60" s="374" t="str">
        <f>IF(OR(Q60="TC",Q60="MT"),'CARGA DOCENTE'!$B1057," ")</f>
        <v xml:space="preserve"> </v>
      </c>
      <c r="T60" s="374" t="str">
        <f>IF(OR(Q60="TC",Q60="MT"),'CARGA DOCENTE'!$C1057," ")</f>
        <v xml:space="preserve"> </v>
      </c>
      <c r="U60" s="374" t="str">
        <f>IF(OR(Q60="TC",Q60="MT"),'CARGA DOCENTE'!$G1057," ")</f>
        <v xml:space="preserve"> </v>
      </c>
      <c r="V60" s="372">
        <f>'CARGA DOCENTE'!$H1058</f>
        <v>0</v>
      </c>
      <c r="W60" s="373" t="str">
        <f>IF(OR(V60="TC",V60="MT"),'CARGA DOCENTE'!$A1058," ")</f>
        <v xml:space="preserve"> </v>
      </c>
      <c r="X60" s="374" t="str">
        <f>IF(OR(V60="TC",V60="MT"),'CARGA DOCENTE'!$B1058," ")</f>
        <v xml:space="preserve"> </v>
      </c>
      <c r="Y60" s="374" t="str">
        <f>IF(OR(V60="TC",V60="MT"),'CARGA DOCENTE'!$C1058," ")</f>
        <v xml:space="preserve"> </v>
      </c>
      <c r="Z60" s="374" t="str">
        <f>IF(OR(V60="TC",V60="MT"),'CARGA DOCENTE'!$G1058," ")</f>
        <v xml:space="preserve"> </v>
      </c>
      <c r="AA60" s="372">
        <f>'CARGA DOCENTE'!$H1059</f>
        <v>0</v>
      </c>
      <c r="AB60" s="373" t="str">
        <f>IF(OR(AA60="TC",AA60="MT"),'CARGA DOCENTE'!$A1059," ")</f>
        <v xml:space="preserve"> </v>
      </c>
      <c r="AC60" s="374" t="str">
        <f>IF(OR(AA60="TC",AA60="MT"),'CARGA DOCENTE'!$B1059," ")</f>
        <v xml:space="preserve"> </v>
      </c>
      <c r="AD60" s="374" t="str">
        <f>IF(OR(AA60="TC",AA60="MT"),'CARGA DOCENTE'!$C1059," ")</f>
        <v xml:space="preserve"> </v>
      </c>
      <c r="AE60" s="374" t="str">
        <f>IF(OR(AA60="TC",AA60="MT"),'CARGA DOCENTE'!$G1059," ")</f>
        <v xml:space="preserve"> </v>
      </c>
      <c r="AF60" s="372">
        <f>'CARGA DOCENTE'!$H1060</f>
        <v>0</v>
      </c>
      <c r="AG60" s="373" t="str">
        <f>IF(OR(AF60="TC",AF60="MT"),'CARGA DOCENTE'!$A1060," ")</f>
        <v xml:space="preserve"> </v>
      </c>
      <c r="AH60" s="374" t="str">
        <f>IF(OR(AF60="TC",AF60="MT"),'CARGA DOCENTE'!$B1060," ")</f>
        <v xml:space="preserve"> </v>
      </c>
      <c r="AI60" s="374" t="str">
        <f>IF(OR(AF60="TC",AF60="MT"),'CARGA DOCENTE'!$C1060," ")</f>
        <v xml:space="preserve"> </v>
      </c>
      <c r="AJ60" s="374" t="str">
        <f>IF(OR(AF60="TC",AF60="MT"),'CARGA DOCENTE'!$G1060," ")</f>
        <v xml:space="preserve"> </v>
      </c>
      <c r="AK60" s="372">
        <f>'CARGA DOCENTE'!$H1061</f>
        <v>0</v>
      </c>
      <c r="AL60" s="373" t="str">
        <f>IF(OR(AK60="TC",AK60="MT"),'CARGA DOCENTE'!$A1061," ")</f>
        <v xml:space="preserve"> </v>
      </c>
      <c r="AM60" s="374" t="str">
        <f>IF(OR(AK60="TC",AK60="MT"),'CARGA DOCENTE'!$B1061," ")</f>
        <v xml:space="preserve"> </v>
      </c>
      <c r="AN60" s="374" t="str">
        <f>IF(OR(AK60="TC",AK60="MT"),'CARGA DOCENTE'!$C1061," ")</f>
        <v xml:space="preserve"> </v>
      </c>
      <c r="AO60" s="374" t="str">
        <f>IF(OR(AK60="TC",AK60="MT"),'CARGA DOCENTE'!$G1061," ")</f>
        <v xml:space="preserve"> </v>
      </c>
      <c r="AP60" s="372">
        <f>'CARGA DOCENTE'!$H1062</f>
        <v>0</v>
      </c>
      <c r="AQ60" s="379" t="str">
        <f>IF(OR(AP60="TC",AP60="MT"),'CARGA DOCENTE'!$A1062," ")</f>
        <v xml:space="preserve"> </v>
      </c>
      <c r="AR60" s="380" t="str">
        <f>IF(OR(AP60="TC",AP60="MT"),'CARGA DOCENTE'!$B1062," ")</f>
        <v xml:space="preserve"> </v>
      </c>
      <c r="AS60" s="380" t="str">
        <f>IF(OR(AP60="TC",AP60="MT"),'CARGA DOCENTE'!$C1062," ")</f>
        <v xml:space="preserve"> </v>
      </c>
      <c r="AT60" s="380" t="str">
        <f>IF(OR(AP60="TC",AP60="MT"),'CARGA DOCENTE'!$G1062," ")</f>
        <v xml:space="preserve"> </v>
      </c>
      <c r="AU60" s="372">
        <f>'CARGA DOCENTE'!$H1063</f>
        <v>0</v>
      </c>
      <c r="AV60" s="373" t="str">
        <f>IF(OR(AU60="TC",AU60="MT"),'CARGA DOCENTE'!$A1063," ")</f>
        <v xml:space="preserve"> </v>
      </c>
      <c r="AW60" s="374" t="str">
        <f>IF(OR(AU60="TC",AU60="MT"),'CARGA DOCENTE'!$B1063," ")</f>
        <v xml:space="preserve"> </v>
      </c>
      <c r="AX60" s="374" t="str">
        <f>IF(OR(AU60="TC",AU60="MT"),'CARGA DOCENTE'!$C1063," ")</f>
        <v xml:space="preserve"> </v>
      </c>
      <c r="AY60" s="374" t="str">
        <f>IF(OR(AU60="TC",AU60="MT"),'CARGA DOCENTE'!$G1063," ")</f>
        <v xml:space="preserve"> </v>
      </c>
      <c r="AZ60" s="372">
        <f>'CARGA DOCENTE'!$H1064</f>
        <v>0</v>
      </c>
      <c r="BA60" s="373" t="str">
        <f>IF(OR(AZ60="TC",AZ60="MT"),'CARGA DOCENTE'!$A1064," ")</f>
        <v xml:space="preserve"> </v>
      </c>
      <c r="BB60" s="374" t="str">
        <f>IF(OR(AZ60="TC",AZ60="MT"),'CARGA DOCENTE'!$B1064," ")</f>
        <v xml:space="preserve"> </v>
      </c>
      <c r="BC60" s="374" t="str">
        <f>IF(OR(AZ60="TC",AZ60="MT"),'CARGA DOCENTE'!$C1064," ")</f>
        <v xml:space="preserve"> </v>
      </c>
      <c r="BD60" s="374" t="str">
        <f>IF(OR(AZ60="TC",AZ60="MT"),'CARGA DOCENTE'!$G1064," ")</f>
        <v xml:space="preserve"> </v>
      </c>
      <c r="BE60" s="372">
        <f>'CARGA DOCENTE'!$H1065</f>
        <v>0</v>
      </c>
      <c r="BF60" s="373" t="str">
        <f>IF(OR(BE60="TC",BE60="MT"),'CARGA DOCENTE'!$A1065," ")</f>
        <v xml:space="preserve"> </v>
      </c>
      <c r="BG60" s="374" t="str">
        <f>IF(OR(BE60="TC",BE60="MT"),'CARGA DOCENTE'!$B1065," ")</f>
        <v xml:space="preserve"> </v>
      </c>
      <c r="BH60" s="374" t="str">
        <f>IF(OR(BE60="TC",BE60="MT"),'CARGA DOCENTE'!$C1065," ")</f>
        <v xml:space="preserve"> </v>
      </c>
      <c r="BI60" s="374" t="str">
        <f>IF(OR(BE60="TC",BE60="MT"),'CARGA DOCENTE'!$G1065," ")</f>
        <v xml:space="preserve"> </v>
      </c>
      <c r="BJ60" s="372">
        <f>'CARGA DOCENTE'!$H1066</f>
        <v>0</v>
      </c>
      <c r="BK60" s="373" t="str">
        <f>IF(OR(BJ60="TC",BJ60="MT"),'CARGA DOCENTE'!$A1066," ")</f>
        <v xml:space="preserve"> </v>
      </c>
      <c r="BL60" s="374" t="str">
        <f>IF(OR(BJ60="TC",BJ60="MT"),'CARGA DOCENTE'!$B1066," ")</f>
        <v xml:space="preserve"> </v>
      </c>
      <c r="BM60" s="374" t="str">
        <f>IF(OR(BJ60="TC",BJ60="MT"),'CARGA DOCENTE'!$C1066," ")</f>
        <v xml:space="preserve"> </v>
      </c>
      <c r="BN60" s="374" t="str">
        <f>IF(OR(BJ60="TC",BJ60="MT"),'CARGA DOCENTE'!$G1066," ")</f>
        <v xml:space="preserve"> </v>
      </c>
      <c r="BO60" s="372">
        <f>'CARGA DOCENTE'!$H1067</f>
        <v>0</v>
      </c>
      <c r="BP60" s="373" t="str">
        <f>IF(OR(BO60="TC",BO60="MT"),'CARGA DOCENTE'!$A1067," ")</f>
        <v xml:space="preserve"> </v>
      </c>
      <c r="BQ60" s="374" t="str">
        <f>IF(OR(BO60="TC",BO60="MT"),'CARGA DOCENTE'!$B1067," ")</f>
        <v xml:space="preserve"> </v>
      </c>
      <c r="BR60" s="374" t="str">
        <f>IF(OR(BO60="TC",BO60="MT"),'CARGA DOCENTE'!$C1067," ")</f>
        <v xml:space="preserve"> </v>
      </c>
      <c r="BS60" s="374" t="str">
        <f>IF(OR(BO60="TC",BO60="MT"),'CARGA DOCENTE'!$G1067," ")</f>
        <v xml:space="preserve"> </v>
      </c>
      <c r="BT60" s="372">
        <f>'CARGA DOCENTE'!$H1068</f>
        <v>0</v>
      </c>
      <c r="BU60" s="373" t="str">
        <f>IF(OR(BT60="TC",BT60="MT"),'CARGA DOCENTE'!$A1068," ")</f>
        <v xml:space="preserve"> </v>
      </c>
      <c r="BV60" s="374" t="str">
        <f>IF(OR(BT60="TC",BT60="MT"),'CARGA DOCENTE'!$B1068," ")</f>
        <v xml:space="preserve"> </v>
      </c>
      <c r="BW60" s="374" t="str">
        <f>IF(OR(BT60="TC",BT60="MT"),'CARGA DOCENTE'!$C1068," ")</f>
        <v xml:space="preserve"> </v>
      </c>
      <c r="BX60" s="374" t="str">
        <f>IF(OR(BT60="TC",BT60="MT"),'CARGA DOCENTE'!$G1068," ")</f>
        <v xml:space="preserve"> </v>
      </c>
    </row>
    <row r="61" spans="1:76" x14ac:dyDescent="0.2">
      <c r="A61" s="378">
        <f>'CARGA DOCENTE'!J1072</f>
        <v>0</v>
      </c>
      <c r="B61" s="372">
        <f>'CARGA DOCENTE'!$H1072</f>
        <v>0</v>
      </c>
      <c r="C61" s="373" t="str">
        <f>IF(OR(B61="TC",B61="MT"),'CARGA DOCENTE'!$A1072," ")</f>
        <v xml:space="preserve"> </v>
      </c>
      <c r="D61" s="374" t="str">
        <f>IF(OR(B61="TC",B61="MT"),'CARGA DOCENTE'!$B1072," ")</f>
        <v xml:space="preserve"> </v>
      </c>
      <c r="E61" s="374" t="str">
        <f>IF(OR(B61="TC",B61="MT"),'CARGA DOCENTE'!$C1072," ")</f>
        <v xml:space="preserve"> </v>
      </c>
      <c r="F61" s="374" t="str">
        <f>IF(OR(B61="TC",B61="MT"),'CARGA DOCENTE'!$G1072," ")</f>
        <v xml:space="preserve"> </v>
      </c>
      <c r="G61" s="372">
        <f>'CARGA DOCENTE'!$H1073</f>
        <v>0</v>
      </c>
      <c r="H61" s="373" t="str">
        <f>IF(OR(G61="TC",G61="MT"),'CARGA DOCENTE'!$A1073," ")</f>
        <v xml:space="preserve"> </v>
      </c>
      <c r="I61" s="374" t="str">
        <f>IF(OR(G61="TC",G61="MT"),'CARGA DOCENTE'!$B1073," ")</f>
        <v xml:space="preserve"> </v>
      </c>
      <c r="J61" s="374" t="str">
        <f>IF(OR(G61="TC",G61="MT"),'CARGA DOCENTE'!$C1073," ")</f>
        <v xml:space="preserve"> </v>
      </c>
      <c r="K61" s="374" t="str">
        <f>IF(OR(G61="TC",G61="MT"),'CARGA DOCENTE'!$G1073," ")</f>
        <v xml:space="preserve"> </v>
      </c>
      <c r="L61" s="372">
        <f>'CARGA DOCENTE'!$H1074</f>
        <v>0</v>
      </c>
      <c r="M61" s="373" t="str">
        <f>IF(OR(L61="TC",L61="MT"),'CARGA DOCENTE'!$A1074," ")</f>
        <v xml:space="preserve"> </v>
      </c>
      <c r="N61" s="374" t="str">
        <f>IF(OR(L61="TC",L61="MT"),'CARGA DOCENTE'!$B1074," ")</f>
        <v xml:space="preserve"> </v>
      </c>
      <c r="O61" s="374" t="str">
        <f>IF(OR(L61="TC",L61="MT"),'CARGA DOCENTE'!$C1074," ")</f>
        <v xml:space="preserve"> </v>
      </c>
      <c r="P61" s="374" t="str">
        <f>IF(OR(L61="TC",L61="MT"),'CARGA DOCENTE'!$G1074," ")</f>
        <v xml:space="preserve"> </v>
      </c>
      <c r="Q61" s="372">
        <f>'CARGA DOCENTE'!$H1075</f>
        <v>0</v>
      </c>
      <c r="R61" s="373" t="str">
        <f>IF(OR(Q61="TC",Q61="MT"),'CARGA DOCENTE'!$A1075," ")</f>
        <v xml:space="preserve"> </v>
      </c>
      <c r="S61" s="374" t="str">
        <f>IF(OR(Q61="TC",Q61="MT"),'CARGA DOCENTE'!$B1075," ")</f>
        <v xml:space="preserve"> </v>
      </c>
      <c r="T61" s="374" t="str">
        <f>IF(OR(Q61="TC",Q61="MT"),'CARGA DOCENTE'!$C1075," ")</f>
        <v xml:space="preserve"> </v>
      </c>
      <c r="U61" s="374" t="str">
        <f>IF(OR(Q61="TC",Q61="MT"),'CARGA DOCENTE'!$G1075," ")</f>
        <v xml:space="preserve"> </v>
      </c>
      <c r="V61" s="372">
        <f>'CARGA DOCENTE'!$H1076</f>
        <v>0</v>
      </c>
      <c r="W61" s="373" t="str">
        <f>IF(OR(V61="TC",V61="MT"),'CARGA DOCENTE'!$A1076," ")</f>
        <v xml:space="preserve"> </v>
      </c>
      <c r="X61" s="374" t="str">
        <f>IF(OR(V61="TC",V61="MT"),'CARGA DOCENTE'!$B1076," ")</f>
        <v xml:space="preserve"> </v>
      </c>
      <c r="Y61" s="374" t="str">
        <f>IF(OR(V61="TC",V61="MT"),'CARGA DOCENTE'!$C1076," ")</f>
        <v xml:space="preserve"> </v>
      </c>
      <c r="Z61" s="374" t="str">
        <f>IF(OR(V61="TC",V61="MT"),'CARGA DOCENTE'!$G1076," ")</f>
        <v xml:space="preserve"> </v>
      </c>
      <c r="AA61" s="372">
        <f>'CARGA DOCENTE'!$H1077</f>
        <v>0</v>
      </c>
      <c r="AB61" s="373" t="str">
        <f>IF(OR(AA61="TC",AA61="MT"),'CARGA DOCENTE'!$A1077," ")</f>
        <v xml:space="preserve"> </v>
      </c>
      <c r="AC61" s="374" t="str">
        <f>IF(OR(AA61="TC",AA61="MT"),'CARGA DOCENTE'!$B1077," ")</f>
        <v xml:space="preserve"> </v>
      </c>
      <c r="AD61" s="374" t="str">
        <f>IF(OR(AA61="TC",AA61="MT"),'CARGA DOCENTE'!$C1077," ")</f>
        <v xml:space="preserve"> </v>
      </c>
      <c r="AE61" s="374" t="str">
        <f>IF(OR(AA61="TC",AA61="MT"),'CARGA DOCENTE'!$G1077," ")</f>
        <v xml:space="preserve"> </v>
      </c>
      <c r="AF61" s="372">
        <f>'CARGA DOCENTE'!$H1078</f>
        <v>0</v>
      </c>
      <c r="AG61" s="373" t="str">
        <f>IF(OR(AF61="TC",AF61="MT"),'CARGA DOCENTE'!$A1078," ")</f>
        <v xml:space="preserve"> </v>
      </c>
      <c r="AH61" s="374" t="str">
        <f>IF(OR(AF61="TC",AF61="MT"),'CARGA DOCENTE'!$B1078," ")</f>
        <v xml:space="preserve"> </v>
      </c>
      <c r="AI61" s="374" t="str">
        <f>IF(OR(AF61="TC",AF61="MT"),'CARGA DOCENTE'!$C1078," ")</f>
        <v xml:space="preserve"> </v>
      </c>
      <c r="AJ61" s="374" t="str">
        <f>IF(OR(AF61="TC",AF61="MT"),'CARGA DOCENTE'!$G1078," ")</f>
        <v xml:space="preserve"> </v>
      </c>
      <c r="AK61" s="372">
        <f>'CARGA DOCENTE'!$H1079</f>
        <v>0</v>
      </c>
      <c r="AL61" s="373" t="str">
        <f>IF(OR(AK61="TC",AK61="MT"),'CARGA DOCENTE'!$A1079," ")</f>
        <v xml:space="preserve"> </v>
      </c>
      <c r="AM61" s="374" t="str">
        <f>IF(OR(AK61="TC",AK61="MT"),'CARGA DOCENTE'!$B1079," ")</f>
        <v xml:space="preserve"> </v>
      </c>
      <c r="AN61" s="374" t="str">
        <f>IF(OR(AK61="TC",AK61="MT"),'CARGA DOCENTE'!$C1079," ")</f>
        <v xml:space="preserve"> </v>
      </c>
      <c r="AO61" s="374" t="str">
        <f>IF(OR(AK61="TC",AK61="MT"),'CARGA DOCENTE'!$G1079," ")</f>
        <v xml:space="preserve"> </v>
      </c>
      <c r="AP61" s="372">
        <f>'CARGA DOCENTE'!$H1080</f>
        <v>0</v>
      </c>
      <c r="AQ61" s="379" t="str">
        <f>IF(OR(AP61="TC",AP61="MT"),'CARGA DOCENTE'!$A1080," ")</f>
        <v xml:space="preserve"> </v>
      </c>
      <c r="AR61" s="380" t="str">
        <f>IF(OR(AP61="TC",AP61="MT"),'CARGA DOCENTE'!$B1080," ")</f>
        <v xml:space="preserve"> </v>
      </c>
      <c r="AS61" s="380" t="str">
        <f>IF(OR(AP61="TC",AP61="MT"),'CARGA DOCENTE'!$C1080," ")</f>
        <v xml:space="preserve"> </v>
      </c>
      <c r="AT61" s="380" t="str">
        <f>IF(OR(AP61="TC",AP61="MT"),'CARGA DOCENTE'!$G1080," ")</f>
        <v xml:space="preserve"> </v>
      </c>
      <c r="AU61" s="372">
        <f>'CARGA DOCENTE'!$H1081</f>
        <v>0</v>
      </c>
      <c r="AV61" s="373" t="str">
        <f>IF(OR(AU61="TC",AU61="MT"),'CARGA DOCENTE'!$A1081," ")</f>
        <v xml:space="preserve"> </v>
      </c>
      <c r="AW61" s="374" t="str">
        <f>IF(OR(AU61="TC",AU61="MT"),'CARGA DOCENTE'!$B1081," ")</f>
        <v xml:space="preserve"> </v>
      </c>
      <c r="AX61" s="374" t="str">
        <f>IF(OR(AU61="TC",AU61="MT"),'CARGA DOCENTE'!$C1081," ")</f>
        <v xml:space="preserve"> </v>
      </c>
      <c r="AY61" s="374" t="str">
        <f>IF(OR(AU61="TC",AU61="MT"),'CARGA DOCENTE'!$G1081," ")</f>
        <v xml:space="preserve"> </v>
      </c>
      <c r="AZ61" s="372">
        <f>'CARGA DOCENTE'!$H1082</f>
        <v>0</v>
      </c>
      <c r="BA61" s="373" t="str">
        <f>IF(OR(AZ61="TC",AZ61="MT"),'CARGA DOCENTE'!$A1082," ")</f>
        <v xml:space="preserve"> </v>
      </c>
      <c r="BB61" s="374" t="str">
        <f>IF(OR(AZ61="TC",AZ61="MT"),'CARGA DOCENTE'!$B1082," ")</f>
        <v xml:space="preserve"> </v>
      </c>
      <c r="BC61" s="374" t="str">
        <f>IF(OR(AZ61="TC",AZ61="MT"),'CARGA DOCENTE'!$C1082," ")</f>
        <v xml:space="preserve"> </v>
      </c>
      <c r="BD61" s="374" t="str">
        <f>IF(OR(AZ61="TC",AZ61="MT"),'CARGA DOCENTE'!$G1082," ")</f>
        <v xml:space="preserve"> </v>
      </c>
      <c r="BE61" s="372">
        <f>'CARGA DOCENTE'!$H1083</f>
        <v>0</v>
      </c>
      <c r="BF61" s="373" t="str">
        <f>IF(OR(BE61="TC",BE61="MT"),'CARGA DOCENTE'!$A1083," ")</f>
        <v xml:space="preserve"> </v>
      </c>
      <c r="BG61" s="374" t="str">
        <f>IF(OR(BE61="TC",BE61="MT"),'CARGA DOCENTE'!$B1083," ")</f>
        <v xml:space="preserve"> </v>
      </c>
      <c r="BH61" s="374" t="str">
        <f>IF(OR(BE61="TC",BE61="MT"),'CARGA DOCENTE'!$C1083," ")</f>
        <v xml:space="preserve"> </v>
      </c>
      <c r="BI61" s="374" t="str">
        <f>IF(OR(BE61="TC",BE61="MT"),'CARGA DOCENTE'!$G1083," ")</f>
        <v xml:space="preserve"> </v>
      </c>
      <c r="BJ61" s="372">
        <f>'CARGA DOCENTE'!$H1084</f>
        <v>0</v>
      </c>
      <c r="BK61" s="373" t="str">
        <f>IF(OR(BJ61="TC",BJ61="MT"),'CARGA DOCENTE'!$A1084," ")</f>
        <v xml:space="preserve"> </v>
      </c>
      <c r="BL61" s="374" t="str">
        <f>IF(OR(BJ61="TC",BJ61="MT"),'CARGA DOCENTE'!$B1084," ")</f>
        <v xml:space="preserve"> </v>
      </c>
      <c r="BM61" s="374" t="str">
        <f>IF(OR(BJ61="TC",BJ61="MT"),'CARGA DOCENTE'!$C1084," ")</f>
        <v xml:space="preserve"> </v>
      </c>
      <c r="BN61" s="374" t="str">
        <f>IF(OR(BJ61="TC",BJ61="MT"),'CARGA DOCENTE'!$G1084," ")</f>
        <v xml:space="preserve"> </v>
      </c>
      <c r="BO61" s="372">
        <f>'CARGA DOCENTE'!$H1085</f>
        <v>0</v>
      </c>
      <c r="BP61" s="373" t="str">
        <f>IF(OR(BO61="TC",BO61="MT"),'CARGA DOCENTE'!$A1085," ")</f>
        <v xml:space="preserve"> </v>
      </c>
      <c r="BQ61" s="374" t="str">
        <f>IF(OR(BO61="TC",BO61="MT"),'CARGA DOCENTE'!$B1085," ")</f>
        <v xml:space="preserve"> </v>
      </c>
      <c r="BR61" s="374" t="str">
        <f>IF(OR(BO61="TC",BO61="MT"),'CARGA DOCENTE'!$C1085," ")</f>
        <v xml:space="preserve"> </v>
      </c>
      <c r="BS61" s="374" t="str">
        <f>IF(OR(BO61="TC",BO61="MT"),'CARGA DOCENTE'!$G1085," ")</f>
        <v xml:space="preserve"> </v>
      </c>
      <c r="BT61" s="372">
        <f>'CARGA DOCENTE'!$H1086</f>
        <v>0</v>
      </c>
      <c r="BU61" s="373" t="str">
        <f>IF(OR(BT61="TC",BT61="MT"),'CARGA DOCENTE'!$A1086," ")</f>
        <v xml:space="preserve"> </v>
      </c>
      <c r="BV61" s="374" t="str">
        <f>IF(OR(BT61="TC",BT61="MT"),'CARGA DOCENTE'!$B1086," ")</f>
        <v xml:space="preserve"> </v>
      </c>
      <c r="BW61" s="374" t="str">
        <f>IF(OR(BT61="TC",BT61="MT"),'CARGA DOCENTE'!$C1086," ")</f>
        <v xml:space="preserve"> </v>
      </c>
      <c r="BX61" s="374" t="str">
        <f>IF(OR(BT61="TC",BT61="MT"),'CARGA DOCENTE'!$G1086," ")</f>
        <v xml:space="preserve"> </v>
      </c>
    </row>
    <row r="62" spans="1:76" x14ac:dyDescent="0.2">
      <c r="A62" s="378">
        <f>'CARGA DOCENTE'!J1090</f>
        <v>0</v>
      </c>
      <c r="B62" s="372">
        <f>'CARGA DOCENTE'!$H1090</f>
        <v>0</v>
      </c>
      <c r="C62" s="373" t="str">
        <f>IF(OR(B62="TC",B62="MT"),'CARGA DOCENTE'!$A1090," ")</f>
        <v xml:space="preserve"> </v>
      </c>
      <c r="D62" s="374" t="str">
        <f>IF(OR(B62="TC",B62="MT"),'CARGA DOCENTE'!$B1090," ")</f>
        <v xml:space="preserve"> </v>
      </c>
      <c r="E62" s="374" t="str">
        <f>IF(OR(B62="TC",B62="MT"),'CARGA DOCENTE'!$C1090," ")</f>
        <v xml:space="preserve"> </v>
      </c>
      <c r="F62" s="374" t="str">
        <f>IF(OR(B62="TC",B62="MT"),'CARGA DOCENTE'!$G1090," ")</f>
        <v xml:space="preserve"> </v>
      </c>
      <c r="G62" s="372">
        <f>'CARGA DOCENTE'!$H1091</f>
        <v>0</v>
      </c>
      <c r="H62" s="373" t="str">
        <f>IF(OR(G62="TC",G62="MT"),'CARGA DOCENTE'!$A1091," ")</f>
        <v xml:space="preserve"> </v>
      </c>
      <c r="I62" s="374" t="str">
        <f>IF(OR(G62="TC",G62="MT"),'CARGA DOCENTE'!$B1091," ")</f>
        <v xml:space="preserve"> </v>
      </c>
      <c r="J62" s="374" t="str">
        <f>IF(OR(G62="TC",G62="MT"),'CARGA DOCENTE'!$C1091," ")</f>
        <v xml:space="preserve"> </v>
      </c>
      <c r="K62" s="374" t="str">
        <f>IF(OR(G62="TC",G62="MT"),'CARGA DOCENTE'!$G1091," ")</f>
        <v xml:space="preserve"> </v>
      </c>
      <c r="L62" s="372">
        <f>'CARGA DOCENTE'!$H1092</f>
        <v>0</v>
      </c>
      <c r="M62" s="373" t="str">
        <f>IF(OR(L62="TC",L62="MT"),'CARGA DOCENTE'!$A1092," ")</f>
        <v xml:space="preserve"> </v>
      </c>
      <c r="N62" s="374" t="str">
        <f>IF(OR(L62="TC",L62="MT"),'CARGA DOCENTE'!$B1092," ")</f>
        <v xml:space="preserve"> </v>
      </c>
      <c r="O62" s="374" t="str">
        <f>IF(OR(L62="TC",L62="MT"),'CARGA DOCENTE'!$C1092," ")</f>
        <v xml:space="preserve"> </v>
      </c>
      <c r="P62" s="374" t="str">
        <f>IF(OR(L62="TC",L62="MT"),'CARGA DOCENTE'!$G1092," ")</f>
        <v xml:space="preserve"> </v>
      </c>
      <c r="Q62" s="372">
        <f>'CARGA DOCENTE'!$H1093</f>
        <v>0</v>
      </c>
      <c r="R62" s="373" t="str">
        <f>IF(OR(Q62="TC",Q62="MT"),'CARGA DOCENTE'!$A1093," ")</f>
        <v xml:space="preserve"> </v>
      </c>
      <c r="S62" s="374" t="str">
        <f>IF(OR(Q62="TC",Q62="MT"),'CARGA DOCENTE'!$B1093," ")</f>
        <v xml:space="preserve"> </v>
      </c>
      <c r="T62" s="374" t="str">
        <f>IF(OR(Q62="TC",Q62="MT"),'CARGA DOCENTE'!$C1093," ")</f>
        <v xml:space="preserve"> </v>
      </c>
      <c r="U62" s="374" t="str">
        <f>IF(OR(Q62="TC",Q62="MT"),'CARGA DOCENTE'!$G1093," ")</f>
        <v xml:space="preserve"> </v>
      </c>
      <c r="V62" s="372">
        <f>'CARGA DOCENTE'!$H1094</f>
        <v>0</v>
      </c>
      <c r="W62" s="373" t="str">
        <f>IF(OR(V62="TC",V62="MT"),'CARGA DOCENTE'!$A1094," ")</f>
        <v xml:space="preserve"> </v>
      </c>
      <c r="X62" s="374" t="str">
        <f>IF(OR(V62="TC",V62="MT"),'CARGA DOCENTE'!$B1094," ")</f>
        <v xml:space="preserve"> </v>
      </c>
      <c r="Y62" s="374" t="str">
        <f>IF(OR(V62="TC",V62="MT"),'CARGA DOCENTE'!$C1094," ")</f>
        <v xml:space="preserve"> </v>
      </c>
      <c r="Z62" s="374" t="str">
        <f>IF(OR(V62="TC",V62="MT"),'CARGA DOCENTE'!$G1094," ")</f>
        <v xml:space="preserve"> </v>
      </c>
      <c r="AA62" s="372">
        <f>'CARGA DOCENTE'!$H1095</f>
        <v>0</v>
      </c>
      <c r="AB62" s="373" t="str">
        <f>IF(OR(AA62="TC",AA62="MT"),'CARGA DOCENTE'!$A1095," ")</f>
        <v xml:space="preserve"> </v>
      </c>
      <c r="AC62" s="374" t="str">
        <f>IF(OR(AA62="TC",AA62="MT"),'CARGA DOCENTE'!$B1095," ")</f>
        <v xml:space="preserve"> </v>
      </c>
      <c r="AD62" s="374" t="str">
        <f>IF(OR(AA62="TC",AA62="MT"),'CARGA DOCENTE'!$C1095," ")</f>
        <v xml:space="preserve"> </v>
      </c>
      <c r="AE62" s="374" t="str">
        <f>IF(OR(AA62="TC",AA62="MT"),'CARGA DOCENTE'!$G1095," ")</f>
        <v xml:space="preserve"> </v>
      </c>
      <c r="AF62" s="372">
        <f>'CARGA DOCENTE'!$H1096</f>
        <v>0</v>
      </c>
      <c r="AG62" s="373" t="str">
        <f>IF(OR(AF62="TC",AF62="MT"),'CARGA DOCENTE'!$A1096," ")</f>
        <v xml:space="preserve"> </v>
      </c>
      <c r="AH62" s="374" t="str">
        <f>IF(OR(AF62="TC",AF62="MT"),'CARGA DOCENTE'!$B1096," ")</f>
        <v xml:space="preserve"> </v>
      </c>
      <c r="AI62" s="374" t="str">
        <f>IF(OR(AF62="TC",AF62="MT"),'CARGA DOCENTE'!$C1096," ")</f>
        <v xml:space="preserve"> </v>
      </c>
      <c r="AJ62" s="374" t="str">
        <f>IF(OR(AF62="TC",AF62="MT"),'CARGA DOCENTE'!$G1096," ")</f>
        <v xml:space="preserve"> </v>
      </c>
      <c r="AK62" s="372">
        <f>'CARGA DOCENTE'!$H1097</f>
        <v>0</v>
      </c>
      <c r="AL62" s="373" t="str">
        <f>IF(OR(AK62="TC",AK62="MT"),'CARGA DOCENTE'!$A1097," ")</f>
        <v xml:space="preserve"> </v>
      </c>
      <c r="AM62" s="374" t="str">
        <f>IF(OR(AK62="TC",AK62="MT"),'CARGA DOCENTE'!$B1097," ")</f>
        <v xml:space="preserve"> </v>
      </c>
      <c r="AN62" s="374" t="str">
        <f>IF(OR(AK62="TC",AK62="MT"),'CARGA DOCENTE'!$C1097," ")</f>
        <v xml:space="preserve"> </v>
      </c>
      <c r="AO62" s="374" t="str">
        <f>IF(OR(AK62="TC",AK62="MT"),'CARGA DOCENTE'!$G1097," ")</f>
        <v xml:space="preserve"> </v>
      </c>
      <c r="AP62" s="372">
        <f>'CARGA DOCENTE'!$H1098</f>
        <v>0</v>
      </c>
      <c r="AQ62" s="379" t="str">
        <f>IF(OR(AP62="TC",AP62="MT"),'CARGA DOCENTE'!$A1098," ")</f>
        <v xml:space="preserve"> </v>
      </c>
      <c r="AR62" s="380" t="str">
        <f>IF(OR(AP62="TC",AP62="MT"),'CARGA DOCENTE'!$B1098," ")</f>
        <v xml:space="preserve"> </v>
      </c>
      <c r="AS62" s="380" t="str">
        <f>IF(OR(AP62="TC",AP62="MT"),'CARGA DOCENTE'!$C1098," ")</f>
        <v xml:space="preserve"> </v>
      </c>
      <c r="AT62" s="380" t="str">
        <f>IF(OR(AP62="TC",AP62="MT"),'CARGA DOCENTE'!$G1098," ")</f>
        <v xml:space="preserve"> </v>
      </c>
      <c r="AU62" s="372">
        <f>'CARGA DOCENTE'!$H1099</f>
        <v>0</v>
      </c>
      <c r="AV62" s="373" t="str">
        <f>IF(OR(AU62="TC",AU62="MT"),'CARGA DOCENTE'!$A1099," ")</f>
        <v xml:space="preserve"> </v>
      </c>
      <c r="AW62" s="374" t="str">
        <f>IF(OR(AU62="TC",AU62="MT"),'CARGA DOCENTE'!$B1099," ")</f>
        <v xml:space="preserve"> </v>
      </c>
      <c r="AX62" s="374" t="str">
        <f>IF(OR(AU62="TC",AU62="MT"),'CARGA DOCENTE'!$C1099," ")</f>
        <v xml:space="preserve"> </v>
      </c>
      <c r="AY62" s="374" t="str">
        <f>IF(OR(AU62="TC",AU62="MT"),'CARGA DOCENTE'!$G1099," ")</f>
        <v xml:space="preserve"> </v>
      </c>
      <c r="AZ62" s="372">
        <f>'CARGA DOCENTE'!$H1100</f>
        <v>0</v>
      </c>
      <c r="BA62" s="373" t="str">
        <f>IF(OR(AZ62="TC",AZ62="MT"),'CARGA DOCENTE'!$A1100," ")</f>
        <v xml:space="preserve"> </v>
      </c>
      <c r="BB62" s="374" t="str">
        <f>IF(OR(AZ62="TC",AZ62="MT"),'CARGA DOCENTE'!$B1100," ")</f>
        <v xml:space="preserve"> </v>
      </c>
      <c r="BC62" s="374" t="str">
        <f>IF(OR(AZ62="TC",AZ62="MT"),'CARGA DOCENTE'!$C1100," ")</f>
        <v xml:space="preserve"> </v>
      </c>
      <c r="BD62" s="374" t="str">
        <f>IF(OR(AZ62="TC",AZ62="MT"),'CARGA DOCENTE'!$G1100," ")</f>
        <v xml:space="preserve"> </v>
      </c>
      <c r="BE62" s="372">
        <f>'CARGA DOCENTE'!$H1101</f>
        <v>0</v>
      </c>
      <c r="BF62" s="373" t="str">
        <f>IF(OR(BE62="TC",BE62="MT"),'CARGA DOCENTE'!$A1101," ")</f>
        <v xml:space="preserve"> </v>
      </c>
      <c r="BG62" s="374" t="str">
        <f>IF(OR(BE62="TC",BE62="MT"),'CARGA DOCENTE'!$B1101," ")</f>
        <v xml:space="preserve"> </v>
      </c>
      <c r="BH62" s="374" t="str">
        <f>IF(OR(BE62="TC",BE62="MT"),'CARGA DOCENTE'!$C1101," ")</f>
        <v xml:space="preserve"> </v>
      </c>
      <c r="BI62" s="374" t="str">
        <f>IF(OR(BE62="TC",BE62="MT"),'CARGA DOCENTE'!$G1101," ")</f>
        <v xml:space="preserve"> </v>
      </c>
      <c r="BJ62" s="372">
        <f>'CARGA DOCENTE'!$H1102</f>
        <v>0</v>
      </c>
      <c r="BK62" s="373" t="str">
        <f>IF(OR(BJ62="TC",BJ62="MT"),'CARGA DOCENTE'!$A1102," ")</f>
        <v xml:space="preserve"> </v>
      </c>
      <c r="BL62" s="374" t="str">
        <f>IF(OR(BJ62="TC",BJ62="MT"),'CARGA DOCENTE'!$B1102," ")</f>
        <v xml:space="preserve"> </v>
      </c>
      <c r="BM62" s="374" t="str">
        <f>IF(OR(BJ62="TC",BJ62="MT"),'CARGA DOCENTE'!$C1102," ")</f>
        <v xml:space="preserve"> </v>
      </c>
      <c r="BN62" s="374" t="str">
        <f>IF(OR(BJ62="TC",BJ62="MT"),'CARGA DOCENTE'!$G1102," ")</f>
        <v xml:space="preserve"> </v>
      </c>
      <c r="BO62" s="372">
        <f>'CARGA DOCENTE'!$H1103</f>
        <v>0</v>
      </c>
      <c r="BP62" s="373" t="str">
        <f>IF(OR(BO62="TC",BO62="MT"),'CARGA DOCENTE'!$A1103," ")</f>
        <v xml:space="preserve"> </v>
      </c>
      <c r="BQ62" s="374" t="str">
        <f>IF(OR(BO62="TC",BO62="MT"),'CARGA DOCENTE'!$B1103," ")</f>
        <v xml:space="preserve"> </v>
      </c>
      <c r="BR62" s="374" t="str">
        <f>IF(OR(BO62="TC",BO62="MT"),'CARGA DOCENTE'!$C1103," ")</f>
        <v xml:space="preserve"> </v>
      </c>
      <c r="BS62" s="374" t="str">
        <f>IF(OR(BO62="TC",BO62="MT"),'CARGA DOCENTE'!$G1103," ")</f>
        <v xml:space="preserve"> </v>
      </c>
      <c r="BT62" s="372">
        <f>'CARGA DOCENTE'!$H1104</f>
        <v>0</v>
      </c>
      <c r="BU62" s="373" t="str">
        <f>IF(OR(BT62="TC",BT62="MT"),'CARGA DOCENTE'!$A1104," ")</f>
        <v xml:space="preserve"> </v>
      </c>
      <c r="BV62" s="374" t="str">
        <f>IF(OR(BT62="TC",BT62="MT"),'CARGA DOCENTE'!$B1104," ")</f>
        <v xml:space="preserve"> </v>
      </c>
      <c r="BW62" s="374" t="str">
        <f>IF(OR(BT62="TC",BT62="MT"),'CARGA DOCENTE'!$C1104," ")</f>
        <v xml:space="preserve"> </v>
      </c>
      <c r="BX62" s="374" t="str">
        <f>IF(OR(BT62="TC",BT62="MT"),'CARGA DOCENTE'!$G1104," ")</f>
        <v xml:space="preserve"> </v>
      </c>
    </row>
    <row r="63" spans="1:76" x14ac:dyDescent="0.2">
      <c r="A63" s="378">
        <f>'CARGA DOCENTE'!J1108</f>
        <v>0</v>
      </c>
      <c r="B63" s="372">
        <f>'CARGA DOCENTE'!$H1108</f>
        <v>0</v>
      </c>
      <c r="C63" s="373" t="str">
        <f>IF(OR(B63="TC",B63="MT"),'CARGA DOCENTE'!$A1108," ")</f>
        <v xml:space="preserve"> </v>
      </c>
      <c r="D63" s="374" t="str">
        <f>IF(OR(B63="TC",B63="MT"),'CARGA DOCENTE'!$B1108," ")</f>
        <v xml:space="preserve"> </v>
      </c>
      <c r="E63" s="374" t="str">
        <f>IF(OR(B63="TC",B63="MT"),'CARGA DOCENTE'!$C1108," ")</f>
        <v xml:space="preserve"> </v>
      </c>
      <c r="F63" s="374" t="str">
        <f>IF(OR(B63="TC",B63="MT"),'CARGA DOCENTE'!$G1108," ")</f>
        <v xml:space="preserve"> </v>
      </c>
      <c r="G63" s="372">
        <f>'CARGA DOCENTE'!$H1109</f>
        <v>0</v>
      </c>
      <c r="H63" s="373" t="str">
        <f>IF(OR(G63="TC",G63="MT"),'CARGA DOCENTE'!$A1109," ")</f>
        <v xml:space="preserve"> </v>
      </c>
      <c r="I63" s="374" t="str">
        <f>IF(OR(G63="TC",G63="MT"),'CARGA DOCENTE'!$B1109," ")</f>
        <v xml:space="preserve"> </v>
      </c>
      <c r="J63" s="374" t="str">
        <f>IF(OR(G63="TC",G63="MT"),'CARGA DOCENTE'!$C1109," ")</f>
        <v xml:space="preserve"> </v>
      </c>
      <c r="K63" s="374" t="str">
        <f>IF(OR(G63="TC",G63="MT"),'CARGA DOCENTE'!$G1109," ")</f>
        <v xml:space="preserve"> </v>
      </c>
      <c r="L63" s="372">
        <f>'CARGA DOCENTE'!$H1110</f>
        <v>0</v>
      </c>
      <c r="M63" s="373" t="str">
        <f>IF(OR(L63="TC",L63="MT"),'CARGA DOCENTE'!$A1110," ")</f>
        <v xml:space="preserve"> </v>
      </c>
      <c r="N63" s="374" t="str">
        <f>IF(OR(L63="TC",L63="MT"),'CARGA DOCENTE'!$B1110," ")</f>
        <v xml:space="preserve"> </v>
      </c>
      <c r="O63" s="374" t="str">
        <f>IF(OR(L63="TC",L63="MT"),'CARGA DOCENTE'!$C1110," ")</f>
        <v xml:space="preserve"> </v>
      </c>
      <c r="P63" s="374" t="str">
        <f>IF(OR(L63="TC",L63="MT"),'CARGA DOCENTE'!$G1110," ")</f>
        <v xml:space="preserve"> </v>
      </c>
      <c r="Q63" s="372">
        <f>'CARGA DOCENTE'!$H1111</f>
        <v>0</v>
      </c>
      <c r="R63" s="373" t="str">
        <f>IF(OR(Q63="TC",Q63="MT"),'CARGA DOCENTE'!$A1111," ")</f>
        <v xml:space="preserve"> </v>
      </c>
      <c r="S63" s="374" t="str">
        <f>IF(OR(Q63="TC",Q63="MT"),'CARGA DOCENTE'!$B1111," ")</f>
        <v xml:space="preserve"> </v>
      </c>
      <c r="T63" s="374" t="str">
        <f>IF(OR(Q63="TC",Q63="MT"),'CARGA DOCENTE'!$C1111," ")</f>
        <v xml:space="preserve"> </v>
      </c>
      <c r="U63" s="374" t="str">
        <f>IF(OR(Q63="TC",Q63="MT"),'CARGA DOCENTE'!$G1111," ")</f>
        <v xml:space="preserve"> </v>
      </c>
      <c r="V63" s="372">
        <f>'CARGA DOCENTE'!$H1112</f>
        <v>0</v>
      </c>
      <c r="W63" s="373" t="str">
        <f>IF(OR(V63="TC",V63="MT"),'CARGA DOCENTE'!$A1112," ")</f>
        <v xml:space="preserve"> </v>
      </c>
      <c r="X63" s="374" t="str">
        <f>IF(OR(V63="TC",V63="MT"),'CARGA DOCENTE'!$B1112," ")</f>
        <v xml:space="preserve"> </v>
      </c>
      <c r="Y63" s="374" t="str">
        <f>IF(OR(V63="TC",V63="MT"),'CARGA DOCENTE'!$C1112," ")</f>
        <v xml:space="preserve"> </v>
      </c>
      <c r="Z63" s="374" t="str">
        <f>IF(OR(V63="TC",V63="MT"),'CARGA DOCENTE'!$G1112," ")</f>
        <v xml:space="preserve"> </v>
      </c>
      <c r="AA63" s="372">
        <f>'CARGA DOCENTE'!$H1113</f>
        <v>0</v>
      </c>
      <c r="AB63" s="373" t="str">
        <f>IF(OR(AA63="TC",AA63="MT"),'CARGA DOCENTE'!$A1113," ")</f>
        <v xml:space="preserve"> </v>
      </c>
      <c r="AC63" s="374" t="str">
        <f>IF(OR(AA63="TC",AA63="MT"),'CARGA DOCENTE'!$B1113," ")</f>
        <v xml:space="preserve"> </v>
      </c>
      <c r="AD63" s="374" t="str">
        <f>IF(OR(AA63="TC",AA63="MT"),'CARGA DOCENTE'!$C1113," ")</f>
        <v xml:space="preserve"> </v>
      </c>
      <c r="AE63" s="374" t="str">
        <f>IF(OR(AA63="TC",AA63="MT"),'CARGA DOCENTE'!$G1113," ")</f>
        <v xml:space="preserve"> </v>
      </c>
      <c r="AF63" s="372">
        <f>'CARGA DOCENTE'!$H1114</f>
        <v>0</v>
      </c>
      <c r="AG63" s="373" t="str">
        <f>IF(OR(AF63="TC",AF63="MT"),'CARGA DOCENTE'!$A1114," ")</f>
        <v xml:space="preserve"> </v>
      </c>
      <c r="AH63" s="374" t="str">
        <f>IF(OR(AF63="TC",AF63="MT"),'CARGA DOCENTE'!$B1114," ")</f>
        <v xml:space="preserve"> </v>
      </c>
      <c r="AI63" s="374" t="str">
        <f>IF(OR(AF63="TC",AF63="MT"),'CARGA DOCENTE'!$C1114," ")</f>
        <v xml:space="preserve"> </v>
      </c>
      <c r="AJ63" s="374" t="str">
        <f>IF(OR(AF63="TC",AF63="MT"),'CARGA DOCENTE'!$G1114," ")</f>
        <v xml:space="preserve"> </v>
      </c>
      <c r="AK63" s="372">
        <f>'CARGA DOCENTE'!$H1115</f>
        <v>0</v>
      </c>
      <c r="AL63" s="373" t="str">
        <f>IF(OR(AK63="TC",AK63="MT"),'CARGA DOCENTE'!$A1115," ")</f>
        <v xml:space="preserve"> </v>
      </c>
      <c r="AM63" s="374" t="str">
        <f>IF(OR(AK63="TC",AK63="MT"),'CARGA DOCENTE'!$B1115," ")</f>
        <v xml:space="preserve"> </v>
      </c>
      <c r="AN63" s="374" t="str">
        <f>IF(OR(AK63="TC",AK63="MT"),'CARGA DOCENTE'!$C1115," ")</f>
        <v xml:space="preserve"> </v>
      </c>
      <c r="AO63" s="374" t="str">
        <f>IF(OR(AK63="TC",AK63="MT"),'CARGA DOCENTE'!$G1115," ")</f>
        <v xml:space="preserve"> </v>
      </c>
      <c r="AP63" s="372">
        <f>'CARGA DOCENTE'!$H1116</f>
        <v>0</v>
      </c>
      <c r="AQ63" s="379" t="str">
        <f>IF(OR(AP63="TC",AP63="MT"),'CARGA DOCENTE'!$A1116," ")</f>
        <v xml:space="preserve"> </v>
      </c>
      <c r="AR63" s="380" t="str">
        <f>IF(OR(AP63="TC",AP63="MT"),'CARGA DOCENTE'!$B1116," ")</f>
        <v xml:space="preserve"> </v>
      </c>
      <c r="AS63" s="380" t="str">
        <f>IF(OR(AP63="TC",AP63="MT"),'CARGA DOCENTE'!$C1116," ")</f>
        <v xml:space="preserve"> </v>
      </c>
      <c r="AT63" s="380" t="str">
        <f>IF(OR(AP63="TC",AP63="MT"),'CARGA DOCENTE'!$G1116," ")</f>
        <v xml:space="preserve"> </v>
      </c>
      <c r="AU63" s="372">
        <f>'CARGA DOCENTE'!$H1117</f>
        <v>0</v>
      </c>
      <c r="AV63" s="373" t="str">
        <f>IF(OR(AU63="TC",AU63="MT"),'CARGA DOCENTE'!$A1117," ")</f>
        <v xml:space="preserve"> </v>
      </c>
      <c r="AW63" s="374" t="str">
        <f>IF(OR(AU63="TC",AU63="MT"),'CARGA DOCENTE'!$B1117," ")</f>
        <v xml:space="preserve"> </v>
      </c>
      <c r="AX63" s="374" t="str">
        <f>IF(OR(AU63="TC",AU63="MT"),'CARGA DOCENTE'!$C1117," ")</f>
        <v xml:space="preserve"> </v>
      </c>
      <c r="AY63" s="374" t="str">
        <f>IF(OR(AU63="TC",AU63="MT"),'CARGA DOCENTE'!$G1117," ")</f>
        <v xml:space="preserve"> </v>
      </c>
      <c r="AZ63" s="372">
        <f>'CARGA DOCENTE'!$H1118</f>
        <v>0</v>
      </c>
      <c r="BA63" s="373" t="str">
        <f>IF(OR(AZ63="TC",AZ63="MT"),'CARGA DOCENTE'!$A1118," ")</f>
        <v xml:space="preserve"> </v>
      </c>
      <c r="BB63" s="374" t="str">
        <f>IF(OR(AZ63="TC",AZ63="MT"),'CARGA DOCENTE'!$B1118," ")</f>
        <v xml:space="preserve"> </v>
      </c>
      <c r="BC63" s="374" t="str">
        <f>IF(OR(AZ63="TC",AZ63="MT"),'CARGA DOCENTE'!$C1118," ")</f>
        <v xml:space="preserve"> </v>
      </c>
      <c r="BD63" s="374" t="str">
        <f>IF(OR(AZ63="TC",AZ63="MT"),'CARGA DOCENTE'!$G1118," ")</f>
        <v xml:space="preserve"> </v>
      </c>
      <c r="BE63" s="372">
        <f>'CARGA DOCENTE'!$H1119</f>
        <v>0</v>
      </c>
      <c r="BF63" s="373" t="str">
        <f>IF(OR(BE63="TC",BE63="MT"),'CARGA DOCENTE'!$A1119," ")</f>
        <v xml:space="preserve"> </v>
      </c>
      <c r="BG63" s="374" t="str">
        <f>IF(OR(BE63="TC",BE63="MT"),'CARGA DOCENTE'!$B1119," ")</f>
        <v xml:space="preserve"> </v>
      </c>
      <c r="BH63" s="374" t="str">
        <f>IF(OR(BE63="TC",BE63="MT"),'CARGA DOCENTE'!$C1119," ")</f>
        <v xml:space="preserve"> </v>
      </c>
      <c r="BI63" s="374" t="str">
        <f>IF(OR(BE63="TC",BE63="MT"),'CARGA DOCENTE'!$G1119," ")</f>
        <v xml:space="preserve"> </v>
      </c>
      <c r="BJ63" s="372">
        <f>'CARGA DOCENTE'!$H1120</f>
        <v>0</v>
      </c>
      <c r="BK63" s="373" t="str">
        <f>IF(OR(BJ63="TC",BJ63="MT"),'CARGA DOCENTE'!$A1120," ")</f>
        <v xml:space="preserve"> </v>
      </c>
      <c r="BL63" s="374" t="str">
        <f>IF(OR(BJ63="TC",BJ63="MT"),'CARGA DOCENTE'!$B1120," ")</f>
        <v xml:space="preserve"> </v>
      </c>
      <c r="BM63" s="374" t="str">
        <f>IF(OR(BJ63="TC",BJ63="MT"),'CARGA DOCENTE'!$C1120," ")</f>
        <v xml:space="preserve"> </v>
      </c>
      <c r="BN63" s="374" t="str">
        <f>IF(OR(BJ63="TC",BJ63="MT"),'CARGA DOCENTE'!$G1120," ")</f>
        <v xml:space="preserve"> </v>
      </c>
      <c r="BO63" s="372">
        <f>'CARGA DOCENTE'!$H1121</f>
        <v>0</v>
      </c>
      <c r="BP63" s="373" t="str">
        <f>IF(OR(BO63="TC",BO63="MT"),'CARGA DOCENTE'!$A1121," ")</f>
        <v xml:space="preserve"> </v>
      </c>
      <c r="BQ63" s="374" t="str">
        <f>IF(OR(BO63="TC",BO63="MT"),'CARGA DOCENTE'!$B1121," ")</f>
        <v xml:space="preserve"> </v>
      </c>
      <c r="BR63" s="374" t="str">
        <f>IF(OR(BO63="TC",BO63="MT"),'CARGA DOCENTE'!$C1121," ")</f>
        <v xml:space="preserve"> </v>
      </c>
      <c r="BS63" s="374" t="str">
        <f>IF(OR(BO63="TC",BO63="MT"),'CARGA DOCENTE'!$G1121," ")</f>
        <v xml:space="preserve"> </v>
      </c>
      <c r="BT63" s="372">
        <f>'CARGA DOCENTE'!$H1122</f>
        <v>0</v>
      </c>
      <c r="BU63" s="373" t="str">
        <f>IF(OR(BT63="TC",BT63="MT"),'CARGA DOCENTE'!$A1122," ")</f>
        <v xml:space="preserve"> </v>
      </c>
      <c r="BV63" s="374" t="str">
        <f>IF(OR(BT63="TC",BT63="MT"),'CARGA DOCENTE'!$B1122," ")</f>
        <v xml:space="preserve"> </v>
      </c>
      <c r="BW63" s="374" t="str">
        <f>IF(OR(BT63="TC",BT63="MT"),'CARGA DOCENTE'!$C1122," ")</f>
        <v xml:space="preserve"> </v>
      </c>
      <c r="BX63" s="374" t="str">
        <f>IF(OR(BT63="TC",BT63="MT"),'CARGA DOCENTE'!$G1122," ")</f>
        <v xml:space="preserve"> </v>
      </c>
    </row>
    <row r="64" spans="1:76" x14ac:dyDescent="0.2">
      <c r="A64" s="378">
        <f>'CARGA DOCENTE'!J1126</f>
        <v>0</v>
      </c>
      <c r="B64" s="372">
        <f>'CARGA DOCENTE'!$H1126</f>
        <v>0</v>
      </c>
      <c r="C64" s="373" t="str">
        <f>IF(OR(B64="TC",B64="MT"),'CARGA DOCENTE'!$A1126," ")</f>
        <v xml:space="preserve"> </v>
      </c>
      <c r="D64" s="374" t="str">
        <f>IF(OR(B64="TC",B64="MT"),'CARGA DOCENTE'!$B1126," ")</f>
        <v xml:space="preserve"> </v>
      </c>
      <c r="E64" s="374" t="str">
        <f>IF(OR(B64="TC",B64="MT"),'CARGA DOCENTE'!$C1126," ")</f>
        <v xml:space="preserve"> </v>
      </c>
      <c r="F64" s="374" t="str">
        <f>IF(OR(B64="TC",B64="MT"),'CARGA DOCENTE'!$G1126," ")</f>
        <v xml:space="preserve"> </v>
      </c>
      <c r="G64" s="372">
        <f>'CARGA DOCENTE'!$H1127</f>
        <v>0</v>
      </c>
      <c r="H64" s="373" t="str">
        <f>IF(OR(G64="TC",G64="MT"),'CARGA DOCENTE'!$A1127," ")</f>
        <v xml:space="preserve"> </v>
      </c>
      <c r="I64" s="374" t="str">
        <f>IF(OR(G64="TC",G64="MT"),'CARGA DOCENTE'!$B1127," ")</f>
        <v xml:space="preserve"> </v>
      </c>
      <c r="J64" s="374" t="str">
        <f>IF(OR(G64="TC",G64="MT"),'CARGA DOCENTE'!$C1127," ")</f>
        <v xml:space="preserve"> </v>
      </c>
      <c r="K64" s="374" t="str">
        <f>IF(OR(G64="TC",G64="MT"),'CARGA DOCENTE'!$G1127," ")</f>
        <v xml:space="preserve"> </v>
      </c>
      <c r="L64" s="372">
        <f>'CARGA DOCENTE'!$H1128</f>
        <v>0</v>
      </c>
      <c r="M64" s="373" t="str">
        <f>IF(OR(L64="TC",L64="MT"),'CARGA DOCENTE'!$A1128," ")</f>
        <v xml:space="preserve"> </v>
      </c>
      <c r="N64" s="374" t="str">
        <f>IF(OR(L64="TC",L64="MT"),'CARGA DOCENTE'!$B1128," ")</f>
        <v xml:space="preserve"> </v>
      </c>
      <c r="O64" s="374" t="str">
        <f>IF(OR(L64="TC",L64="MT"),'CARGA DOCENTE'!$C1128," ")</f>
        <v xml:space="preserve"> </v>
      </c>
      <c r="P64" s="374" t="str">
        <f>IF(OR(L64="TC",L64="MT"),'CARGA DOCENTE'!$G1128," ")</f>
        <v xml:space="preserve"> </v>
      </c>
      <c r="Q64" s="372">
        <f>'CARGA DOCENTE'!$H1129</f>
        <v>0</v>
      </c>
      <c r="R64" s="373" t="str">
        <f>IF(OR(Q64="TC",Q64="MT"),'CARGA DOCENTE'!$A1129," ")</f>
        <v xml:space="preserve"> </v>
      </c>
      <c r="S64" s="374" t="str">
        <f>IF(OR(Q64="TC",Q64="MT"),'CARGA DOCENTE'!$B1129," ")</f>
        <v xml:space="preserve"> </v>
      </c>
      <c r="T64" s="374" t="str">
        <f>IF(OR(Q64="TC",Q64="MT"),'CARGA DOCENTE'!$C1129," ")</f>
        <v xml:space="preserve"> </v>
      </c>
      <c r="U64" s="374" t="str">
        <f>IF(OR(Q64="TC",Q64="MT"),'CARGA DOCENTE'!$G1129," ")</f>
        <v xml:space="preserve"> </v>
      </c>
      <c r="V64" s="372">
        <f>'CARGA DOCENTE'!$H1130</f>
        <v>0</v>
      </c>
      <c r="W64" s="373" t="str">
        <f>IF(OR(V64="TC",V64="MT"),'CARGA DOCENTE'!$A1130," ")</f>
        <v xml:space="preserve"> </v>
      </c>
      <c r="X64" s="374" t="str">
        <f>IF(OR(V64="TC",V64="MT"),'CARGA DOCENTE'!$B1130," ")</f>
        <v xml:space="preserve"> </v>
      </c>
      <c r="Y64" s="374" t="str">
        <f>IF(OR(V64="TC",V64="MT"),'CARGA DOCENTE'!$C1130," ")</f>
        <v xml:space="preserve"> </v>
      </c>
      <c r="Z64" s="374" t="str">
        <f>IF(OR(V64="TC",V64="MT"),'CARGA DOCENTE'!$G1130," ")</f>
        <v xml:space="preserve"> </v>
      </c>
      <c r="AA64" s="372">
        <f>'CARGA DOCENTE'!$H1131</f>
        <v>0</v>
      </c>
      <c r="AB64" s="373" t="str">
        <f>IF(OR(AA64="TC",AA64="MT"),'CARGA DOCENTE'!$A1131," ")</f>
        <v xml:space="preserve"> </v>
      </c>
      <c r="AC64" s="374" t="str">
        <f>IF(OR(AA64="TC",AA64="MT"),'CARGA DOCENTE'!$B1131," ")</f>
        <v xml:space="preserve"> </v>
      </c>
      <c r="AD64" s="374" t="str">
        <f>IF(OR(AA64="TC",AA64="MT"),'CARGA DOCENTE'!$C1131," ")</f>
        <v xml:space="preserve"> </v>
      </c>
      <c r="AE64" s="374" t="str">
        <f>IF(OR(AA64="TC",AA64="MT"),'CARGA DOCENTE'!$G1131," ")</f>
        <v xml:space="preserve"> </v>
      </c>
      <c r="AF64" s="372">
        <f>'CARGA DOCENTE'!$H1132</f>
        <v>0</v>
      </c>
      <c r="AG64" s="373" t="str">
        <f>IF(OR(AF64="TC",AF64="MT"),'CARGA DOCENTE'!$A1132," ")</f>
        <v xml:space="preserve"> </v>
      </c>
      <c r="AH64" s="374" t="str">
        <f>IF(OR(AF64="TC",AF64="MT"),'CARGA DOCENTE'!$B1132," ")</f>
        <v xml:space="preserve"> </v>
      </c>
      <c r="AI64" s="374" t="str">
        <f>IF(OR(AF64="TC",AF64="MT"),'CARGA DOCENTE'!$C1132," ")</f>
        <v xml:space="preserve"> </v>
      </c>
      <c r="AJ64" s="374" t="str">
        <f>IF(OR(AF64="TC",AF64="MT"),'CARGA DOCENTE'!$G1132," ")</f>
        <v xml:space="preserve"> </v>
      </c>
      <c r="AK64" s="372">
        <f>'CARGA DOCENTE'!$H1133</f>
        <v>0</v>
      </c>
      <c r="AL64" s="373" t="str">
        <f>IF(OR(AK64="TC",AK64="MT"),'CARGA DOCENTE'!$A1133," ")</f>
        <v xml:space="preserve"> </v>
      </c>
      <c r="AM64" s="374" t="str">
        <f>IF(OR(AK64="TC",AK64="MT"),'CARGA DOCENTE'!$B1133," ")</f>
        <v xml:space="preserve"> </v>
      </c>
      <c r="AN64" s="374" t="str">
        <f>IF(OR(AK64="TC",AK64="MT"),'CARGA DOCENTE'!$C1133," ")</f>
        <v xml:space="preserve"> </v>
      </c>
      <c r="AO64" s="374" t="str">
        <f>IF(OR(AK64="TC",AK64="MT"),'CARGA DOCENTE'!$G1133," ")</f>
        <v xml:space="preserve"> </v>
      </c>
      <c r="AP64" s="372">
        <f>'CARGA DOCENTE'!$H1134</f>
        <v>0</v>
      </c>
      <c r="AQ64" s="379" t="str">
        <f>IF(OR(AP64="TC",AP64="MT"),'CARGA DOCENTE'!$A1134," ")</f>
        <v xml:space="preserve"> </v>
      </c>
      <c r="AR64" s="380" t="str">
        <f>IF(OR(AP64="TC",AP64="MT"),'CARGA DOCENTE'!$B1134," ")</f>
        <v xml:space="preserve"> </v>
      </c>
      <c r="AS64" s="380" t="str">
        <f>IF(OR(AP64="TC",AP64="MT"),'CARGA DOCENTE'!$C1134," ")</f>
        <v xml:space="preserve"> </v>
      </c>
      <c r="AT64" s="380" t="str">
        <f>IF(OR(AP64="TC",AP64="MT"),'CARGA DOCENTE'!$G1134," ")</f>
        <v xml:space="preserve"> </v>
      </c>
      <c r="AU64" s="372">
        <f>'CARGA DOCENTE'!$H1135</f>
        <v>0</v>
      </c>
      <c r="AV64" s="373" t="str">
        <f>IF(OR(AU64="TC",AU64="MT"),'CARGA DOCENTE'!$A1135," ")</f>
        <v xml:space="preserve"> </v>
      </c>
      <c r="AW64" s="374" t="str">
        <f>IF(OR(AU64="TC",AU64="MT"),'CARGA DOCENTE'!$B1135," ")</f>
        <v xml:space="preserve"> </v>
      </c>
      <c r="AX64" s="374" t="str">
        <f>IF(OR(AU64="TC",AU64="MT"),'CARGA DOCENTE'!$C1135," ")</f>
        <v xml:space="preserve"> </v>
      </c>
      <c r="AY64" s="374" t="str">
        <f>IF(OR(AU64="TC",AU64="MT"),'CARGA DOCENTE'!$G1135," ")</f>
        <v xml:space="preserve"> </v>
      </c>
      <c r="AZ64" s="372">
        <f>'CARGA DOCENTE'!$H1136</f>
        <v>0</v>
      </c>
      <c r="BA64" s="373" t="str">
        <f>IF(OR(AZ64="TC",AZ64="MT"),'CARGA DOCENTE'!$A1136," ")</f>
        <v xml:space="preserve"> </v>
      </c>
      <c r="BB64" s="374" t="str">
        <f>IF(OR(AZ64="TC",AZ64="MT"),'CARGA DOCENTE'!$B1136," ")</f>
        <v xml:space="preserve"> </v>
      </c>
      <c r="BC64" s="374" t="str">
        <f>IF(OR(AZ64="TC",AZ64="MT"),'CARGA DOCENTE'!$C1136," ")</f>
        <v xml:space="preserve"> </v>
      </c>
      <c r="BD64" s="374" t="str">
        <f>IF(OR(AZ64="TC",AZ64="MT"),'CARGA DOCENTE'!$G1136," ")</f>
        <v xml:space="preserve"> </v>
      </c>
      <c r="BE64" s="372">
        <f>'CARGA DOCENTE'!$H1137</f>
        <v>0</v>
      </c>
      <c r="BF64" s="373" t="str">
        <f>IF(OR(BE64="TC",BE64="MT"),'CARGA DOCENTE'!$A1137," ")</f>
        <v xml:space="preserve"> </v>
      </c>
      <c r="BG64" s="374" t="str">
        <f>IF(OR(BE64="TC",BE64="MT"),'CARGA DOCENTE'!$B1137," ")</f>
        <v xml:space="preserve"> </v>
      </c>
      <c r="BH64" s="374" t="str">
        <f>IF(OR(BE64="TC",BE64="MT"),'CARGA DOCENTE'!$C1137," ")</f>
        <v xml:space="preserve"> </v>
      </c>
      <c r="BI64" s="374" t="str">
        <f>IF(OR(BE64="TC",BE64="MT"),'CARGA DOCENTE'!$G1137," ")</f>
        <v xml:space="preserve"> </v>
      </c>
      <c r="BJ64" s="372">
        <f>'CARGA DOCENTE'!$H1138</f>
        <v>0</v>
      </c>
      <c r="BK64" s="373" t="str">
        <f>IF(OR(BJ64="TC",BJ64="MT"),'CARGA DOCENTE'!$A1138," ")</f>
        <v xml:space="preserve"> </v>
      </c>
      <c r="BL64" s="374" t="str">
        <f>IF(OR(BJ64="TC",BJ64="MT"),'CARGA DOCENTE'!$B1138," ")</f>
        <v xml:space="preserve"> </v>
      </c>
      <c r="BM64" s="374" t="str">
        <f>IF(OR(BJ64="TC",BJ64="MT"),'CARGA DOCENTE'!$C1138," ")</f>
        <v xml:space="preserve"> </v>
      </c>
      <c r="BN64" s="374" t="str">
        <f>IF(OR(BJ64="TC",BJ64="MT"),'CARGA DOCENTE'!$G1138," ")</f>
        <v xml:space="preserve"> </v>
      </c>
      <c r="BO64" s="372">
        <f>'CARGA DOCENTE'!$H1139</f>
        <v>0</v>
      </c>
      <c r="BP64" s="373" t="str">
        <f>IF(OR(BO64="TC",BO64="MT"),'CARGA DOCENTE'!$A1139," ")</f>
        <v xml:space="preserve"> </v>
      </c>
      <c r="BQ64" s="374" t="str">
        <f>IF(OR(BO64="TC",BO64="MT"),'CARGA DOCENTE'!$B1139," ")</f>
        <v xml:space="preserve"> </v>
      </c>
      <c r="BR64" s="374" t="str">
        <f>IF(OR(BO64="TC",BO64="MT"),'CARGA DOCENTE'!$C1139," ")</f>
        <v xml:space="preserve"> </v>
      </c>
      <c r="BS64" s="374" t="str">
        <f>IF(OR(BO64="TC",BO64="MT"),'CARGA DOCENTE'!$G1139," ")</f>
        <v xml:space="preserve"> </v>
      </c>
      <c r="BT64" s="372">
        <f>'CARGA DOCENTE'!$H1140</f>
        <v>0</v>
      </c>
      <c r="BU64" s="373" t="str">
        <f>IF(OR(BT64="TC",BT64="MT"),'CARGA DOCENTE'!$A1140," ")</f>
        <v xml:space="preserve"> </v>
      </c>
      <c r="BV64" s="374" t="str">
        <f>IF(OR(BT64="TC",BT64="MT"),'CARGA DOCENTE'!$B1140," ")</f>
        <v xml:space="preserve"> </v>
      </c>
      <c r="BW64" s="374" t="str">
        <f>IF(OR(BT64="TC",BT64="MT"),'CARGA DOCENTE'!$C1140," ")</f>
        <v xml:space="preserve"> </v>
      </c>
      <c r="BX64" s="374" t="str">
        <f>IF(OR(BT64="TC",BT64="MT"),'CARGA DOCENTE'!$G1140," ")</f>
        <v xml:space="preserve"> </v>
      </c>
    </row>
    <row r="65" spans="1:76" x14ac:dyDescent="0.2">
      <c r="A65" s="378">
        <f>'CARGA DOCENTE'!J1144</f>
        <v>0</v>
      </c>
      <c r="B65" s="372">
        <f>'CARGA DOCENTE'!$H1144</f>
        <v>0</v>
      </c>
      <c r="C65" s="373" t="str">
        <f>IF(OR(B65="TC",B65="MT"),'CARGA DOCENTE'!$A1144," ")</f>
        <v xml:space="preserve"> </v>
      </c>
      <c r="D65" s="374" t="str">
        <f>IF(OR(B65="TC",B65="MT"),'CARGA DOCENTE'!$B1144," ")</f>
        <v xml:space="preserve"> </v>
      </c>
      <c r="E65" s="374" t="str">
        <f>IF(OR(B65="TC",B65="MT"),'CARGA DOCENTE'!$C1144," ")</f>
        <v xml:space="preserve"> </v>
      </c>
      <c r="F65" s="374" t="str">
        <f>IF(OR(B65="TC",B65="MT"),'CARGA DOCENTE'!$G1144," ")</f>
        <v xml:space="preserve"> </v>
      </c>
      <c r="G65" s="372">
        <f>'CARGA DOCENTE'!$H1145</f>
        <v>0</v>
      </c>
      <c r="H65" s="373" t="str">
        <f>IF(OR(G65="TC",G65="MT"),'CARGA DOCENTE'!$A1145," ")</f>
        <v xml:space="preserve"> </v>
      </c>
      <c r="I65" s="374" t="str">
        <f>IF(OR(G65="TC",G65="MT"),'CARGA DOCENTE'!$B1145," ")</f>
        <v xml:space="preserve"> </v>
      </c>
      <c r="J65" s="374" t="str">
        <f>IF(OR(G65="TC",G65="MT"),'CARGA DOCENTE'!$C1145," ")</f>
        <v xml:space="preserve"> </v>
      </c>
      <c r="K65" s="374" t="str">
        <f>IF(OR(G65="TC",G65="MT"),'CARGA DOCENTE'!$G1145," ")</f>
        <v xml:space="preserve"> </v>
      </c>
      <c r="L65" s="372">
        <f>'CARGA DOCENTE'!$H1146</f>
        <v>0</v>
      </c>
      <c r="M65" s="373" t="str">
        <f>IF(OR(L65="TC",L65="MT"),'CARGA DOCENTE'!$A1146," ")</f>
        <v xml:space="preserve"> </v>
      </c>
      <c r="N65" s="374" t="str">
        <f>IF(OR(L65="TC",L65="MT"),'CARGA DOCENTE'!$B1146," ")</f>
        <v xml:space="preserve"> </v>
      </c>
      <c r="O65" s="374" t="str">
        <f>IF(OR(L65="TC",L65="MT"),'CARGA DOCENTE'!$C1146," ")</f>
        <v xml:space="preserve"> </v>
      </c>
      <c r="P65" s="374" t="str">
        <f>IF(OR(L65="TC",L65="MT"),'CARGA DOCENTE'!$G1146," ")</f>
        <v xml:space="preserve"> </v>
      </c>
      <c r="Q65" s="372">
        <f>'CARGA DOCENTE'!$H1147</f>
        <v>0</v>
      </c>
      <c r="R65" s="373" t="str">
        <f>IF(OR(Q65="TC",Q65="MT"),'CARGA DOCENTE'!$A1147," ")</f>
        <v xml:space="preserve"> </v>
      </c>
      <c r="S65" s="374" t="str">
        <f>IF(OR(Q65="TC",Q65="MT"),'CARGA DOCENTE'!$B1147," ")</f>
        <v xml:space="preserve"> </v>
      </c>
      <c r="T65" s="374" t="str">
        <f>IF(OR(Q65="TC",Q65="MT"),'CARGA DOCENTE'!$C1147," ")</f>
        <v xml:space="preserve"> </v>
      </c>
      <c r="U65" s="374" t="str">
        <f>IF(OR(Q65="TC",Q65="MT"),'CARGA DOCENTE'!$G1147," ")</f>
        <v xml:space="preserve"> </v>
      </c>
      <c r="V65" s="372">
        <f>'CARGA DOCENTE'!$H1148</f>
        <v>0</v>
      </c>
      <c r="W65" s="373" t="str">
        <f>IF(OR(V65="TC",V65="MT"),'CARGA DOCENTE'!$A1148," ")</f>
        <v xml:space="preserve"> </v>
      </c>
      <c r="X65" s="374" t="str">
        <f>IF(OR(V65="TC",V65="MT"),'CARGA DOCENTE'!$B1148," ")</f>
        <v xml:space="preserve"> </v>
      </c>
      <c r="Y65" s="374" t="str">
        <f>IF(OR(V65="TC",V65="MT"),'CARGA DOCENTE'!$C1148," ")</f>
        <v xml:space="preserve"> </v>
      </c>
      <c r="Z65" s="374" t="str">
        <f>IF(OR(V65="TC",V65="MT"),'CARGA DOCENTE'!$G1148," ")</f>
        <v xml:space="preserve"> </v>
      </c>
      <c r="AA65" s="372">
        <f>'CARGA DOCENTE'!$H1149</f>
        <v>0</v>
      </c>
      <c r="AB65" s="373" t="str">
        <f>IF(OR(AA65="TC",AA65="MT"),'CARGA DOCENTE'!$A1149," ")</f>
        <v xml:space="preserve"> </v>
      </c>
      <c r="AC65" s="374" t="str">
        <f>IF(OR(AA65="TC",AA65="MT"),'CARGA DOCENTE'!$B1149," ")</f>
        <v xml:space="preserve"> </v>
      </c>
      <c r="AD65" s="374" t="str">
        <f>IF(OR(AA65="TC",AA65="MT"),'CARGA DOCENTE'!$C1149," ")</f>
        <v xml:space="preserve"> </v>
      </c>
      <c r="AE65" s="374" t="str">
        <f>IF(OR(AA65="TC",AA65="MT"),'CARGA DOCENTE'!$G1149," ")</f>
        <v xml:space="preserve"> </v>
      </c>
      <c r="AF65" s="372">
        <f>'CARGA DOCENTE'!$H1150</f>
        <v>0</v>
      </c>
      <c r="AG65" s="373" t="str">
        <f>IF(OR(AF65="TC",AF65="MT"),'CARGA DOCENTE'!$A1150," ")</f>
        <v xml:space="preserve"> </v>
      </c>
      <c r="AH65" s="374" t="str">
        <f>IF(OR(AF65="TC",AF65="MT"),'CARGA DOCENTE'!$B1150," ")</f>
        <v xml:space="preserve"> </v>
      </c>
      <c r="AI65" s="374" t="str">
        <f>IF(OR(AF65="TC",AF65="MT"),'CARGA DOCENTE'!$C1150," ")</f>
        <v xml:space="preserve"> </v>
      </c>
      <c r="AJ65" s="374" t="str">
        <f>IF(OR(AF65="TC",AF65="MT"),'CARGA DOCENTE'!$G1150," ")</f>
        <v xml:space="preserve"> </v>
      </c>
      <c r="AK65" s="372">
        <f>'CARGA DOCENTE'!$H1151</f>
        <v>0</v>
      </c>
      <c r="AL65" s="373" t="str">
        <f>IF(OR(AK65="TC",AK65="MT"),'CARGA DOCENTE'!$A1151," ")</f>
        <v xml:space="preserve"> </v>
      </c>
      <c r="AM65" s="374" t="str">
        <f>IF(OR(AK65="TC",AK65="MT"),'CARGA DOCENTE'!$B1151," ")</f>
        <v xml:space="preserve"> </v>
      </c>
      <c r="AN65" s="374" t="str">
        <f>IF(OR(AK65="TC",AK65="MT"),'CARGA DOCENTE'!$C1151," ")</f>
        <v xml:space="preserve"> </v>
      </c>
      <c r="AO65" s="374" t="str">
        <f>IF(OR(AK65="TC",AK65="MT"),'CARGA DOCENTE'!$G1151," ")</f>
        <v xml:space="preserve"> </v>
      </c>
      <c r="AP65" s="372">
        <f>'CARGA DOCENTE'!$H1152</f>
        <v>0</v>
      </c>
      <c r="AQ65" s="379" t="str">
        <f>IF(OR(AP65="TC",AP65="MT"),'CARGA DOCENTE'!$A1152," ")</f>
        <v xml:space="preserve"> </v>
      </c>
      <c r="AR65" s="380" t="str">
        <f>IF(OR(AP65="TC",AP65="MT"),'CARGA DOCENTE'!$B1152," ")</f>
        <v xml:space="preserve"> </v>
      </c>
      <c r="AS65" s="380" t="str">
        <f>IF(OR(AP65="TC",AP65="MT"),'CARGA DOCENTE'!$C1152," ")</f>
        <v xml:space="preserve"> </v>
      </c>
      <c r="AT65" s="380" t="str">
        <f>IF(OR(AP65="TC",AP65="MT"),'CARGA DOCENTE'!$G1152," ")</f>
        <v xml:space="preserve"> </v>
      </c>
      <c r="AU65" s="372">
        <f>'CARGA DOCENTE'!$H1153</f>
        <v>0</v>
      </c>
      <c r="AV65" s="373" t="str">
        <f>IF(OR(AU65="TC",AU65="MT"),'CARGA DOCENTE'!$A1153," ")</f>
        <v xml:space="preserve"> </v>
      </c>
      <c r="AW65" s="374" t="str">
        <f>IF(OR(AU65="TC",AU65="MT"),'CARGA DOCENTE'!$B1153," ")</f>
        <v xml:space="preserve"> </v>
      </c>
      <c r="AX65" s="374" t="str">
        <f>IF(OR(AU65="TC",AU65="MT"),'CARGA DOCENTE'!$C1153," ")</f>
        <v xml:space="preserve"> </v>
      </c>
      <c r="AY65" s="374" t="str">
        <f>IF(OR(AU65="TC",AU65="MT"),'CARGA DOCENTE'!$G1153," ")</f>
        <v xml:space="preserve"> </v>
      </c>
      <c r="AZ65" s="372">
        <f>'CARGA DOCENTE'!$H1154</f>
        <v>0</v>
      </c>
      <c r="BA65" s="373" t="str">
        <f>IF(OR(AZ65="TC",AZ65="MT"),'CARGA DOCENTE'!$A1154," ")</f>
        <v xml:space="preserve"> </v>
      </c>
      <c r="BB65" s="374" t="str">
        <f>IF(OR(AZ65="TC",AZ65="MT"),'CARGA DOCENTE'!$B1154," ")</f>
        <v xml:space="preserve"> </v>
      </c>
      <c r="BC65" s="374" t="str">
        <f>IF(OR(AZ65="TC",AZ65="MT"),'CARGA DOCENTE'!$C1154," ")</f>
        <v xml:space="preserve"> </v>
      </c>
      <c r="BD65" s="374" t="str">
        <f>IF(OR(AZ65="TC",AZ65="MT"),'CARGA DOCENTE'!$G1154," ")</f>
        <v xml:space="preserve"> </v>
      </c>
      <c r="BE65" s="372">
        <f>'CARGA DOCENTE'!$H1155</f>
        <v>0</v>
      </c>
      <c r="BF65" s="373" t="str">
        <f>IF(OR(BE65="TC",BE65="MT"),'CARGA DOCENTE'!$A1155," ")</f>
        <v xml:space="preserve"> </v>
      </c>
      <c r="BG65" s="374" t="str">
        <f>IF(OR(BE65="TC",BE65="MT"),'CARGA DOCENTE'!$B1155," ")</f>
        <v xml:space="preserve"> </v>
      </c>
      <c r="BH65" s="374" t="str">
        <f>IF(OR(BE65="TC",BE65="MT"),'CARGA DOCENTE'!$C1155," ")</f>
        <v xml:space="preserve"> </v>
      </c>
      <c r="BI65" s="374" t="str">
        <f>IF(OR(BE65="TC",BE65="MT"),'CARGA DOCENTE'!$G1155," ")</f>
        <v xml:space="preserve"> </v>
      </c>
      <c r="BJ65" s="372">
        <f>'CARGA DOCENTE'!$H1156</f>
        <v>0</v>
      </c>
      <c r="BK65" s="373" t="str">
        <f>IF(OR(BJ65="TC",BJ65="MT"),'CARGA DOCENTE'!$A1156," ")</f>
        <v xml:space="preserve"> </v>
      </c>
      <c r="BL65" s="374" t="str">
        <f>IF(OR(BJ65="TC",BJ65="MT"),'CARGA DOCENTE'!$B1156," ")</f>
        <v xml:space="preserve"> </v>
      </c>
      <c r="BM65" s="374" t="str">
        <f>IF(OR(BJ65="TC",BJ65="MT"),'CARGA DOCENTE'!$C1156," ")</f>
        <v xml:space="preserve"> </v>
      </c>
      <c r="BN65" s="374" t="str">
        <f>IF(OR(BJ65="TC",BJ65="MT"),'CARGA DOCENTE'!$G1156," ")</f>
        <v xml:space="preserve"> </v>
      </c>
      <c r="BO65" s="372">
        <f>'CARGA DOCENTE'!$H1157</f>
        <v>0</v>
      </c>
      <c r="BP65" s="373" t="str">
        <f>IF(OR(BO65="TC",BO65="MT"),'CARGA DOCENTE'!$A1157," ")</f>
        <v xml:space="preserve"> </v>
      </c>
      <c r="BQ65" s="374" t="str">
        <f>IF(OR(BO65="TC",BO65="MT"),'CARGA DOCENTE'!$B1157," ")</f>
        <v xml:space="preserve"> </v>
      </c>
      <c r="BR65" s="374" t="str">
        <f>IF(OR(BO65="TC",BO65="MT"),'CARGA DOCENTE'!$C1157," ")</f>
        <v xml:space="preserve"> </v>
      </c>
      <c r="BS65" s="374" t="str">
        <f>IF(OR(BO65="TC",BO65="MT"),'CARGA DOCENTE'!$G1157," ")</f>
        <v xml:space="preserve"> </v>
      </c>
      <c r="BT65" s="372">
        <f>'CARGA DOCENTE'!$H1158</f>
        <v>0</v>
      </c>
      <c r="BU65" s="373" t="str">
        <f>IF(OR(BT65="TC",BT65="MT"),'CARGA DOCENTE'!$A1158," ")</f>
        <v xml:space="preserve"> </v>
      </c>
      <c r="BV65" s="374" t="str">
        <f>IF(OR(BT65="TC",BT65="MT"),'CARGA DOCENTE'!$B1158," ")</f>
        <v xml:space="preserve"> </v>
      </c>
      <c r="BW65" s="374" t="str">
        <f>IF(OR(BT65="TC",BT65="MT"),'CARGA DOCENTE'!$C1158," ")</f>
        <v xml:space="preserve"> </v>
      </c>
      <c r="BX65" s="374" t="str">
        <f>IF(OR(BT65="TC",BT65="MT"),'CARGA DOCENTE'!$G1158," ")</f>
        <v xml:space="preserve"> </v>
      </c>
    </row>
    <row r="66" spans="1:76" x14ac:dyDescent="0.2">
      <c r="A66" s="378">
        <f>'CARGA DOCENTE'!J1162</f>
        <v>0</v>
      </c>
      <c r="B66" s="372">
        <f>'CARGA DOCENTE'!$H1162</f>
        <v>0</v>
      </c>
      <c r="C66" s="373" t="str">
        <f>IF(OR(B66="TC",B66="MT"),'CARGA DOCENTE'!$A1162," ")</f>
        <v xml:space="preserve"> </v>
      </c>
      <c r="D66" s="374" t="str">
        <f>IF(OR(B66="TC",B66="MT"),'CARGA DOCENTE'!$B1162," ")</f>
        <v xml:space="preserve"> </v>
      </c>
      <c r="E66" s="374" t="str">
        <f>IF(OR(B66="TC",B66="MT"),'CARGA DOCENTE'!$C1162," ")</f>
        <v xml:space="preserve"> </v>
      </c>
      <c r="F66" s="374" t="str">
        <f>IF(OR(B66="TC",B66="MT"),'CARGA DOCENTE'!$G1162," ")</f>
        <v xml:space="preserve"> </v>
      </c>
      <c r="G66" s="372">
        <f>'CARGA DOCENTE'!$H1163</f>
        <v>0</v>
      </c>
      <c r="H66" s="373" t="str">
        <f>IF(OR(G66="TC",G66="MT"),'CARGA DOCENTE'!$A1163," ")</f>
        <v xml:space="preserve"> </v>
      </c>
      <c r="I66" s="374" t="str">
        <f>IF(OR(G66="TC",G66="MT"),'CARGA DOCENTE'!$B1163," ")</f>
        <v xml:space="preserve"> </v>
      </c>
      <c r="J66" s="374" t="str">
        <f>IF(OR(G66="TC",G66="MT"),'CARGA DOCENTE'!$C1163," ")</f>
        <v xml:space="preserve"> </v>
      </c>
      <c r="K66" s="374" t="str">
        <f>IF(OR(G66="TC",G66="MT"),'CARGA DOCENTE'!$G1163," ")</f>
        <v xml:space="preserve"> </v>
      </c>
      <c r="L66" s="372">
        <f>'CARGA DOCENTE'!$H1164</f>
        <v>0</v>
      </c>
      <c r="M66" s="373" t="str">
        <f>IF(OR(L66="TC",L66="MT"),'CARGA DOCENTE'!$A1164," ")</f>
        <v xml:space="preserve"> </v>
      </c>
      <c r="N66" s="374" t="str">
        <f>IF(OR(L66="TC",L66="MT"),'CARGA DOCENTE'!$B1164," ")</f>
        <v xml:space="preserve"> </v>
      </c>
      <c r="O66" s="374" t="str">
        <f>IF(OR(L66="TC",L66="MT"),'CARGA DOCENTE'!$C1164," ")</f>
        <v xml:space="preserve"> </v>
      </c>
      <c r="P66" s="374" t="str">
        <f>IF(OR(L66="TC",L66="MT"),'CARGA DOCENTE'!$G1164," ")</f>
        <v xml:space="preserve"> </v>
      </c>
      <c r="Q66" s="372">
        <f>'CARGA DOCENTE'!$H1165</f>
        <v>0</v>
      </c>
      <c r="R66" s="373" t="str">
        <f>IF(OR(Q66="TC",Q66="MT"),'CARGA DOCENTE'!$A1165," ")</f>
        <v xml:space="preserve"> </v>
      </c>
      <c r="S66" s="374" t="str">
        <f>IF(OR(Q66="TC",Q66="MT"),'CARGA DOCENTE'!$B1165," ")</f>
        <v xml:space="preserve"> </v>
      </c>
      <c r="T66" s="374" t="str">
        <f>IF(OR(Q66="TC",Q66="MT"),'CARGA DOCENTE'!$C1165," ")</f>
        <v xml:space="preserve"> </v>
      </c>
      <c r="U66" s="374" t="str">
        <f>IF(OR(Q66="TC",Q66="MT"),'CARGA DOCENTE'!$G1165," ")</f>
        <v xml:space="preserve"> </v>
      </c>
      <c r="V66" s="372">
        <f>'CARGA DOCENTE'!$H1166</f>
        <v>0</v>
      </c>
      <c r="W66" s="373" t="str">
        <f>IF(OR(V66="TC",V66="MT"),'CARGA DOCENTE'!$A1166," ")</f>
        <v xml:space="preserve"> </v>
      </c>
      <c r="X66" s="374" t="str">
        <f>IF(OR(V66="TC",V66="MT"),'CARGA DOCENTE'!$B1166," ")</f>
        <v xml:space="preserve"> </v>
      </c>
      <c r="Y66" s="374" t="str">
        <f>IF(OR(V66="TC",V66="MT"),'CARGA DOCENTE'!$C1166," ")</f>
        <v xml:space="preserve"> </v>
      </c>
      <c r="Z66" s="374" t="str">
        <f>IF(OR(V66="TC",V66="MT"),'CARGA DOCENTE'!$G1166," ")</f>
        <v xml:space="preserve"> </v>
      </c>
      <c r="AA66" s="372">
        <f>'CARGA DOCENTE'!$H1167</f>
        <v>0</v>
      </c>
      <c r="AB66" s="373" t="str">
        <f>IF(OR(AA66="TC",AA66="MT"),'CARGA DOCENTE'!$A1167," ")</f>
        <v xml:space="preserve"> </v>
      </c>
      <c r="AC66" s="374" t="str">
        <f>IF(OR(AA66="TC",AA66="MT"),'CARGA DOCENTE'!$B1167," ")</f>
        <v xml:space="preserve"> </v>
      </c>
      <c r="AD66" s="374" t="str">
        <f>IF(OR(AA66="TC",AA66="MT"),'CARGA DOCENTE'!$C1167," ")</f>
        <v xml:space="preserve"> </v>
      </c>
      <c r="AE66" s="374" t="str">
        <f>IF(OR(AA66="TC",AA66="MT"),'CARGA DOCENTE'!$G1167," ")</f>
        <v xml:space="preserve"> </v>
      </c>
      <c r="AF66" s="372">
        <f>'CARGA DOCENTE'!$H1168</f>
        <v>0</v>
      </c>
      <c r="AG66" s="373" t="str">
        <f>IF(OR(AF66="TC",AF66="MT"),'CARGA DOCENTE'!$A1168," ")</f>
        <v xml:space="preserve"> </v>
      </c>
      <c r="AH66" s="374" t="str">
        <f>IF(OR(AF66="TC",AF66="MT"),'CARGA DOCENTE'!$B1168," ")</f>
        <v xml:space="preserve"> </v>
      </c>
      <c r="AI66" s="374" t="str">
        <f>IF(OR(AF66="TC",AF66="MT"),'CARGA DOCENTE'!$C1168," ")</f>
        <v xml:space="preserve"> </v>
      </c>
      <c r="AJ66" s="374" t="str">
        <f>IF(OR(AF66="TC",AF66="MT"),'CARGA DOCENTE'!$G1168," ")</f>
        <v xml:space="preserve"> </v>
      </c>
      <c r="AK66" s="372">
        <f>'CARGA DOCENTE'!$H1169</f>
        <v>0</v>
      </c>
      <c r="AL66" s="373" t="str">
        <f>IF(OR(AK66="TC",AK66="MT"),'CARGA DOCENTE'!$A1169," ")</f>
        <v xml:space="preserve"> </v>
      </c>
      <c r="AM66" s="374" t="str">
        <f>IF(OR(AK66="TC",AK66="MT"),'CARGA DOCENTE'!$B1169," ")</f>
        <v xml:space="preserve"> </v>
      </c>
      <c r="AN66" s="374" t="str">
        <f>IF(OR(AK66="TC",AK66="MT"),'CARGA DOCENTE'!$C1169," ")</f>
        <v xml:space="preserve"> </v>
      </c>
      <c r="AO66" s="374" t="str">
        <f>IF(OR(AK66="TC",AK66="MT"),'CARGA DOCENTE'!$G1169," ")</f>
        <v xml:space="preserve"> </v>
      </c>
      <c r="AP66" s="372">
        <f>'CARGA DOCENTE'!$H1170</f>
        <v>0</v>
      </c>
      <c r="AQ66" s="379" t="str">
        <f>IF(OR(AP66="TC",AP66="MT"),'CARGA DOCENTE'!$A1170," ")</f>
        <v xml:space="preserve"> </v>
      </c>
      <c r="AR66" s="380" t="str">
        <f>IF(OR(AP66="TC",AP66="MT"),'CARGA DOCENTE'!$B1170," ")</f>
        <v xml:space="preserve"> </v>
      </c>
      <c r="AS66" s="380" t="str">
        <f>IF(OR(AP66="TC",AP66="MT"),'CARGA DOCENTE'!$C1170," ")</f>
        <v xml:space="preserve"> </v>
      </c>
      <c r="AT66" s="380" t="str">
        <f>IF(OR(AP66="TC",AP66="MT"),'CARGA DOCENTE'!$G1170," ")</f>
        <v xml:space="preserve"> </v>
      </c>
      <c r="AU66" s="372">
        <f>'CARGA DOCENTE'!$H1171</f>
        <v>0</v>
      </c>
      <c r="AV66" s="373" t="str">
        <f>IF(OR(AU66="TC",AU66="MT"),'CARGA DOCENTE'!$A1171," ")</f>
        <v xml:space="preserve"> </v>
      </c>
      <c r="AW66" s="374" t="str">
        <f>IF(OR(AU66="TC",AU66="MT"),'CARGA DOCENTE'!$B1171," ")</f>
        <v xml:space="preserve"> </v>
      </c>
      <c r="AX66" s="374" t="str">
        <f>IF(OR(AU66="TC",AU66="MT"),'CARGA DOCENTE'!$C1171," ")</f>
        <v xml:space="preserve"> </v>
      </c>
      <c r="AY66" s="374" t="str">
        <f>IF(OR(AU66="TC",AU66="MT"),'CARGA DOCENTE'!$G1171," ")</f>
        <v xml:space="preserve"> </v>
      </c>
      <c r="AZ66" s="372">
        <f>'CARGA DOCENTE'!$H1172</f>
        <v>0</v>
      </c>
      <c r="BA66" s="373" t="str">
        <f>IF(OR(AZ66="TC",AZ66="MT"),'CARGA DOCENTE'!$A1172," ")</f>
        <v xml:space="preserve"> </v>
      </c>
      <c r="BB66" s="374" t="str">
        <f>IF(OR(AZ66="TC",AZ66="MT"),'CARGA DOCENTE'!$B1172," ")</f>
        <v xml:space="preserve"> </v>
      </c>
      <c r="BC66" s="374" t="str">
        <f>IF(OR(AZ66="TC",AZ66="MT"),'CARGA DOCENTE'!$C1172," ")</f>
        <v xml:space="preserve"> </v>
      </c>
      <c r="BD66" s="374" t="str">
        <f>IF(OR(AZ66="TC",AZ66="MT"),'CARGA DOCENTE'!$G1172," ")</f>
        <v xml:space="preserve"> </v>
      </c>
      <c r="BE66" s="372">
        <f>'CARGA DOCENTE'!$H1173</f>
        <v>0</v>
      </c>
      <c r="BF66" s="373" t="str">
        <f>IF(OR(BE66="TC",BE66="MT"),'CARGA DOCENTE'!$A1173," ")</f>
        <v xml:space="preserve"> </v>
      </c>
      <c r="BG66" s="374" t="str">
        <f>IF(OR(BE66="TC",BE66="MT"),'CARGA DOCENTE'!$B1173," ")</f>
        <v xml:space="preserve"> </v>
      </c>
      <c r="BH66" s="374" t="str">
        <f>IF(OR(BE66="TC",BE66="MT"),'CARGA DOCENTE'!$C1173," ")</f>
        <v xml:space="preserve"> </v>
      </c>
      <c r="BI66" s="374" t="str">
        <f>IF(OR(BE66="TC",BE66="MT"),'CARGA DOCENTE'!$G1173," ")</f>
        <v xml:space="preserve"> </v>
      </c>
      <c r="BJ66" s="372">
        <f>'CARGA DOCENTE'!$H1174</f>
        <v>0</v>
      </c>
      <c r="BK66" s="373" t="str">
        <f>IF(OR(BJ66="TC",BJ66="MT"),'CARGA DOCENTE'!$A1174," ")</f>
        <v xml:space="preserve"> </v>
      </c>
      <c r="BL66" s="374" t="str">
        <f>IF(OR(BJ66="TC",BJ66="MT"),'CARGA DOCENTE'!$B1174," ")</f>
        <v xml:space="preserve"> </v>
      </c>
      <c r="BM66" s="374" t="str">
        <f>IF(OR(BJ66="TC",BJ66="MT"),'CARGA DOCENTE'!$C1174," ")</f>
        <v xml:space="preserve"> </v>
      </c>
      <c r="BN66" s="374" t="str">
        <f>IF(OR(BJ66="TC",BJ66="MT"),'CARGA DOCENTE'!$G1174," ")</f>
        <v xml:space="preserve"> </v>
      </c>
      <c r="BO66" s="372">
        <f>'CARGA DOCENTE'!$H1175</f>
        <v>0</v>
      </c>
      <c r="BP66" s="373" t="str">
        <f>IF(OR(BO66="TC",BO66="MT"),'CARGA DOCENTE'!$A1175," ")</f>
        <v xml:space="preserve"> </v>
      </c>
      <c r="BQ66" s="374" t="str">
        <f>IF(OR(BO66="TC",BO66="MT"),'CARGA DOCENTE'!$B1175," ")</f>
        <v xml:space="preserve"> </v>
      </c>
      <c r="BR66" s="374" t="str">
        <f>IF(OR(BO66="TC",BO66="MT"),'CARGA DOCENTE'!$C1175," ")</f>
        <v xml:space="preserve"> </v>
      </c>
      <c r="BS66" s="374" t="str">
        <f>IF(OR(BO66="TC",BO66="MT"),'CARGA DOCENTE'!$G1175," ")</f>
        <v xml:space="preserve"> </v>
      </c>
      <c r="BT66" s="372">
        <f>'CARGA DOCENTE'!$H1176</f>
        <v>0</v>
      </c>
      <c r="BU66" s="373" t="str">
        <f>IF(OR(BT66="TC",BT66="MT"),'CARGA DOCENTE'!$A1176," ")</f>
        <v xml:space="preserve"> </v>
      </c>
      <c r="BV66" s="374" t="str">
        <f>IF(OR(BT66="TC",BT66="MT"),'CARGA DOCENTE'!$B1176," ")</f>
        <v xml:space="preserve"> </v>
      </c>
      <c r="BW66" s="374" t="str">
        <f>IF(OR(BT66="TC",BT66="MT"),'CARGA DOCENTE'!$C1176," ")</f>
        <v xml:space="preserve"> </v>
      </c>
      <c r="BX66" s="374" t="str">
        <f>IF(OR(BT66="TC",BT66="MT"),'CARGA DOCENTE'!$G1176," ")</f>
        <v xml:space="preserve"> </v>
      </c>
    </row>
    <row r="67" spans="1:76" x14ac:dyDescent="0.2">
      <c r="A67" s="378">
        <f>'CARGA DOCENTE'!J1180</f>
        <v>0</v>
      </c>
      <c r="B67" s="372">
        <f>'CARGA DOCENTE'!$H1180</f>
        <v>0</v>
      </c>
      <c r="C67" s="373" t="str">
        <f>IF(OR(B67="TC",B67="MT"),'CARGA DOCENTE'!$A1180," ")</f>
        <v xml:space="preserve"> </v>
      </c>
      <c r="D67" s="374" t="str">
        <f>IF(OR(B67="TC",B67="MT"),'CARGA DOCENTE'!$B1180," ")</f>
        <v xml:space="preserve"> </v>
      </c>
      <c r="E67" s="374" t="str">
        <f>IF(OR(B67="TC",B67="MT"),'CARGA DOCENTE'!$C1180," ")</f>
        <v xml:space="preserve"> </v>
      </c>
      <c r="F67" s="374" t="str">
        <f>IF(OR(B67="TC",B67="MT"),'CARGA DOCENTE'!$G1180," ")</f>
        <v xml:space="preserve"> </v>
      </c>
      <c r="G67" s="372">
        <f>'CARGA DOCENTE'!$H1181</f>
        <v>0</v>
      </c>
      <c r="H67" s="373" t="str">
        <f>IF(OR(G67="TC",G67="MT"),'CARGA DOCENTE'!$A1181," ")</f>
        <v xml:space="preserve"> </v>
      </c>
      <c r="I67" s="374" t="str">
        <f>IF(OR(G67="TC",G67="MT"),'CARGA DOCENTE'!$B1181," ")</f>
        <v xml:space="preserve"> </v>
      </c>
      <c r="J67" s="374" t="str">
        <f>IF(OR(G67="TC",G67="MT"),'CARGA DOCENTE'!$C1181," ")</f>
        <v xml:space="preserve"> </v>
      </c>
      <c r="K67" s="374" t="str">
        <f>IF(OR(G67="TC",G67="MT"),'CARGA DOCENTE'!$G1181," ")</f>
        <v xml:space="preserve"> </v>
      </c>
      <c r="L67" s="372">
        <f>'CARGA DOCENTE'!$H1182</f>
        <v>0</v>
      </c>
      <c r="M67" s="373" t="str">
        <f>IF(OR(L67="TC",L67="MT"),'CARGA DOCENTE'!$A1182," ")</f>
        <v xml:space="preserve"> </v>
      </c>
      <c r="N67" s="374" t="str">
        <f>IF(OR(L67="TC",L67="MT"),'CARGA DOCENTE'!$B1182," ")</f>
        <v xml:space="preserve"> </v>
      </c>
      <c r="O67" s="374" t="str">
        <f>IF(OR(L67="TC",L67="MT"),'CARGA DOCENTE'!$C1182," ")</f>
        <v xml:space="preserve"> </v>
      </c>
      <c r="P67" s="374" t="str">
        <f>IF(OR(L67="TC",L67="MT"),'CARGA DOCENTE'!$G1182," ")</f>
        <v xml:space="preserve"> </v>
      </c>
      <c r="Q67" s="372">
        <f>'CARGA DOCENTE'!$H1183</f>
        <v>0</v>
      </c>
      <c r="R67" s="373" t="str">
        <f>IF(OR(Q67="TC",Q67="MT"),'CARGA DOCENTE'!$A1183," ")</f>
        <v xml:space="preserve"> </v>
      </c>
      <c r="S67" s="374" t="str">
        <f>IF(OR(Q67="TC",Q67="MT"),'CARGA DOCENTE'!$B1183," ")</f>
        <v xml:space="preserve"> </v>
      </c>
      <c r="T67" s="374" t="str">
        <f>IF(OR(Q67="TC",Q67="MT"),'CARGA DOCENTE'!$C1183," ")</f>
        <v xml:space="preserve"> </v>
      </c>
      <c r="U67" s="374" t="str">
        <f>IF(OR(Q67="TC",Q67="MT"),'CARGA DOCENTE'!$G1183," ")</f>
        <v xml:space="preserve"> </v>
      </c>
      <c r="V67" s="372">
        <f>'CARGA DOCENTE'!$H1184</f>
        <v>0</v>
      </c>
      <c r="W67" s="373" t="str">
        <f>IF(OR(V67="TC",V67="MT"),'CARGA DOCENTE'!$A1184," ")</f>
        <v xml:space="preserve"> </v>
      </c>
      <c r="X67" s="374" t="str">
        <f>IF(OR(V67="TC",V67="MT"),'CARGA DOCENTE'!$B1184," ")</f>
        <v xml:space="preserve"> </v>
      </c>
      <c r="Y67" s="374" t="str">
        <f>IF(OR(V67="TC",V67="MT"),'CARGA DOCENTE'!$C1184," ")</f>
        <v xml:space="preserve"> </v>
      </c>
      <c r="Z67" s="374" t="str">
        <f>IF(OR(V67="TC",V67="MT"),'CARGA DOCENTE'!$G1184," ")</f>
        <v xml:space="preserve"> </v>
      </c>
      <c r="AA67" s="372">
        <f>'CARGA DOCENTE'!$H1185</f>
        <v>0</v>
      </c>
      <c r="AB67" s="373" t="str">
        <f>IF(OR(AA67="TC",AA67="MT"),'CARGA DOCENTE'!$A1185," ")</f>
        <v xml:space="preserve"> </v>
      </c>
      <c r="AC67" s="374" t="str">
        <f>IF(OR(AA67="TC",AA67="MT"),'CARGA DOCENTE'!$B1185," ")</f>
        <v xml:space="preserve"> </v>
      </c>
      <c r="AD67" s="374" t="str">
        <f>IF(OR(AA67="TC",AA67="MT"),'CARGA DOCENTE'!$C1185," ")</f>
        <v xml:space="preserve"> </v>
      </c>
      <c r="AE67" s="374" t="str">
        <f>IF(OR(AA67="TC",AA67="MT"),'CARGA DOCENTE'!$G1185," ")</f>
        <v xml:space="preserve"> </v>
      </c>
      <c r="AF67" s="372">
        <f>'CARGA DOCENTE'!$H1186</f>
        <v>0</v>
      </c>
      <c r="AG67" s="373" t="str">
        <f>IF(OR(AF67="TC",AF67="MT"),'CARGA DOCENTE'!$A1186," ")</f>
        <v xml:space="preserve"> </v>
      </c>
      <c r="AH67" s="374" t="str">
        <f>IF(OR(AF67="TC",AF67="MT"),'CARGA DOCENTE'!$B1186," ")</f>
        <v xml:space="preserve"> </v>
      </c>
      <c r="AI67" s="374" t="str">
        <f>IF(OR(AF67="TC",AF67="MT"),'CARGA DOCENTE'!$C1186," ")</f>
        <v xml:space="preserve"> </v>
      </c>
      <c r="AJ67" s="374" t="str">
        <f>IF(OR(AF67="TC",AF67="MT"),'CARGA DOCENTE'!$G1186," ")</f>
        <v xml:space="preserve"> </v>
      </c>
      <c r="AK67" s="372">
        <f>'CARGA DOCENTE'!$H1187</f>
        <v>0</v>
      </c>
      <c r="AL67" s="373" t="str">
        <f>IF(OR(AK67="TC",AK67="MT"),'CARGA DOCENTE'!$A1187," ")</f>
        <v xml:space="preserve"> </v>
      </c>
      <c r="AM67" s="374" t="str">
        <f>IF(OR(AK67="TC",AK67="MT"),'CARGA DOCENTE'!$B1187," ")</f>
        <v xml:space="preserve"> </v>
      </c>
      <c r="AN67" s="374" t="str">
        <f>IF(OR(AK67="TC",AK67="MT"),'CARGA DOCENTE'!$C1187," ")</f>
        <v xml:space="preserve"> </v>
      </c>
      <c r="AO67" s="374" t="str">
        <f>IF(OR(AK67="TC",AK67="MT"),'CARGA DOCENTE'!$G1187," ")</f>
        <v xml:space="preserve"> </v>
      </c>
      <c r="AP67" s="372">
        <f>'CARGA DOCENTE'!$H1188</f>
        <v>0</v>
      </c>
      <c r="AQ67" s="379" t="str">
        <f>IF(OR(AP67="TC",AP67="MT"),'CARGA DOCENTE'!$A1188," ")</f>
        <v xml:space="preserve"> </v>
      </c>
      <c r="AR67" s="380" t="str">
        <f>IF(OR(AP67="TC",AP67="MT"),'CARGA DOCENTE'!$B1188," ")</f>
        <v xml:space="preserve"> </v>
      </c>
      <c r="AS67" s="380" t="str">
        <f>IF(OR(AP67="TC",AP67="MT"),'CARGA DOCENTE'!$C1188," ")</f>
        <v xml:space="preserve"> </v>
      </c>
      <c r="AT67" s="380" t="str">
        <f>IF(OR(AP67="TC",AP67="MT"),'CARGA DOCENTE'!$G1188," ")</f>
        <v xml:space="preserve"> </v>
      </c>
      <c r="AU67" s="372">
        <f>'CARGA DOCENTE'!$H1189</f>
        <v>0</v>
      </c>
      <c r="AV67" s="373" t="str">
        <f>IF(OR(AU67="TC",AU67="MT"),'CARGA DOCENTE'!$A1189," ")</f>
        <v xml:space="preserve"> </v>
      </c>
      <c r="AW67" s="374" t="str">
        <f>IF(OR(AU67="TC",AU67="MT"),'CARGA DOCENTE'!$B1189," ")</f>
        <v xml:space="preserve"> </v>
      </c>
      <c r="AX67" s="374" t="str">
        <f>IF(OR(AU67="TC",AU67="MT"),'CARGA DOCENTE'!$C1189," ")</f>
        <v xml:space="preserve"> </v>
      </c>
      <c r="AY67" s="374" t="str">
        <f>IF(OR(AU67="TC",AU67="MT"),'CARGA DOCENTE'!$G1189," ")</f>
        <v xml:space="preserve"> </v>
      </c>
      <c r="AZ67" s="372">
        <f>'CARGA DOCENTE'!$H1190</f>
        <v>0</v>
      </c>
      <c r="BA67" s="373" t="str">
        <f>IF(OR(AZ67="TC",AZ67="MT"),'CARGA DOCENTE'!$A1190," ")</f>
        <v xml:space="preserve"> </v>
      </c>
      <c r="BB67" s="374" t="str">
        <f>IF(OR(AZ67="TC",AZ67="MT"),'CARGA DOCENTE'!$B1190," ")</f>
        <v xml:space="preserve"> </v>
      </c>
      <c r="BC67" s="374" t="str">
        <f>IF(OR(AZ67="TC",AZ67="MT"),'CARGA DOCENTE'!$C1190," ")</f>
        <v xml:space="preserve"> </v>
      </c>
      <c r="BD67" s="374" t="str">
        <f>IF(OR(AZ67="TC",AZ67="MT"),'CARGA DOCENTE'!$G1190," ")</f>
        <v xml:space="preserve"> </v>
      </c>
      <c r="BE67" s="372">
        <f>'CARGA DOCENTE'!$H1191</f>
        <v>0</v>
      </c>
      <c r="BF67" s="373" t="str">
        <f>IF(OR(BE67="TC",BE67="MT"),'CARGA DOCENTE'!$A1191," ")</f>
        <v xml:space="preserve"> </v>
      </c>
      <c r="BG67" s="374" t="str">
        <f>IF(OR(BE67="TC",BE67="MT"),'CARGA DOCENTE'!$B1191," ")</f>
        <v xml:space="preserve"> </v>
      </c>
      <c r="BH67" s="374" t="str">
        <f>IF(OR(BE67="TC",BE67="MT"),'CARGA DOCENTE'!$C1191," ")</f>
        <v xml:space="preserve"> </v>
      </c>
      <c r="BI67" s="374" t="str">
        <f>IF(OR(BE67="TC",BE67="MT"),'CARGA DOCENTE'!$G1191," ")</f>
        <v xml:space="preserve"> </v>
      </c>
      <c r="BJ67" s="372">
        <f>'CARGA DOCENTE'!$H1192</f>
        <v>0</v>
      </c>
      <c r="BK67" s="373" t="str">
        <f>IF(OR(BJ67="TC",BJ67="MT"),'CARGA DOCENTE'!$A1192," ")</f>
        <v xml:space="preserve"> </v>
      </c>
      <c r="BL67" s="374" t="str">
        <f>IF(OR(BJ67="TC",BJ67="MT"),'CARGA DOCENTE'!$B1192," ")</f>
        <v xml:space="preserve"> </v>
      </c>
      <c r="BM67" s="374" t="str">
        <f>IF(OR(BJ67="TC",BJ67="MT"),'CARGA DOCENTE'!$C1192," ")</f>
        <v xml:space="preserve"> </v>
      </c>
      <c r="BN67" s="374" t="str">
        <f>IF(OR(BJ67="TC",BJ67="MT"),'CARGA DOCENTE'!$G1192," ")</f>
        <v xml:space="preserve"> </v>
      </c>
      <c r="BO67" s="372">
        <f>'CARGA DOCENTE'!$H1193</f>
        <v>0</v>
      </c>
      <c r="BP67" s="373" t="str">
        <f>IF(OR(BO67="TC",BO67="MT"),'CARGA DOCENTE'!$A1193," ")</f>
        <v xml:space="preserve"> </v>
      </c>
      <c r="BQ67" s="374" t="str">
        <f>IF(OR(BO67="TC",BO67="MT"),'CARGA DOCENTE'!$B1193," ")</f>
        <v xml:space="preserve"> </v>
      </c>
      <c r="BR67" s="374" t="str">
        <f>IF(OR(BO67="TC",BO67="MT"),'CARGA DOCENTE'!$C1193," ")</f>
        <v xml:space="preserve"> </v>
      </c>
      <c r="BS67" s="374" t="str">
        <f>IF(OR(BO67="TC",BO67="MT"),'CARGA DOCENTE'!$G1193," ")</f>
        <v xml:space="preserve"> </v>
      </c>
      <c r="BT67" s="372">
        <f>'CARGA DOCENTE'!$H1194</f>
        <v>0</v>
      </c>
      <c r="BU67" s="373" t="str">
        <f>IF(OR(BT67="TC",BT67="MT"),'CARGA DOCENTE'!$A1194," ")</f>
        <v xml:space="preserve"> </v>
      </c>
      <c r="BV67" s="374" t="str">
        <f>IF(OR(BT67="TC",BT67="MT"),'CARGA DOCENTE'!$B1194," ")</f>
        <v xml:space="preserve"> </v>
      </c>
      <c r="BW67" s="374" t="str">
        <f>IF(OR(BT67="TC",BT67="MT"),'CARGA DOCENTE'!$C1194," ")</f>
        <v xml:space="preserve"> </v>
      </c>
      <c r="BX67" s="374" t="str">
        <f>IF(OR(BT67="TC",BT67="MT"),'CARGA DOCENTE'!$G1194," ")</f>
        <v xml:space="preserve"> </v>
      </c>
    </row>
    <row r="68" spans="1:76" x14ac:dyDescent="0.2">
      <c r="A68" s="378">
        <f>'CARGA DOCENTE'!J1198</f>
        <v>0</v>
      </c>
      <c r="B68" s="372">
        <f>'CARGA DOCENTE'!$H1198</f>
        <v>0</v>
      </c>
      <c r="C68" s="373" t="str">
        <f>IF(OR(B68="TC",B68="MT"),'CARGA DOCENTE'!$A1198," ")</f>
        <v xml:space="preserve"> </v>
      </c>
      <c r="D68" s="374" t="str">
        <f>IF(OR(B68="TC",B68="MT"),'CARGA DOCENTE'!$B1198," ")</f>
        <v xml:space="preserve"> </v>
      </c>
      <c r="E68" s="374" t="str">
        <f>IF(OR(B68="TC",B68="MT"),'CARGA DOCENTE'!$C1198," ")</f>
        <v xml:space="preserve"> </v>
      </c>
      <c r="F68" s="374" t="str">
        <f>IF(OR(B68="TC",B68="MT"),'CARGA DOCENTE'!$G1198," ")</f>
        <v xml:space="preserve"> </v>
      </c>
      <c r="G68" s="372">
        <f>'CARGA DOCENTE'!$H1199</f>
        <v>0</v>
      </c>
      <c r="H68" s="373" t="str">
        <f>IF(OR(G68="TC",G68="MT"),'CARGA DOCENTE'!$A1199," ")</f>
        <v xml:space="preserve"> </v>
      </c>
      <c r="I68" s="374" t="str">
        <f>IF(OR(G68="TC",G68="MT"),'CARGA DOCENTE'!$B1199," ")</f>
        <v xml:space="preserve"> </v>
      </c>
      <c r="J68" s="374" t="str">
        <f>IF(OR(G68="TC",G68="MT"),'CARGA DOCENTE'!$C1199," ")</f>
        <v xml:space="preserve"> </v>
      </c>
      <c r="K68" s="374" t="str">
        <f>IF(OR(G68="TC",G68="MT"),'CARGA DOCENTE'!$G1199," ")</f>
        <v xml:space="preserve"> </v>
      </c>
      <c r="L68" s="372">
        <f>'CARGA DOCENTE'!$H1200</f>
        <v>0</v>
      </c>
      <c r="M68" s="373" t="str">
        <f>IF(OR(L68="TC",L68="MT"),'CARGA DOCENTE'!$A1200," ")</f>
        <v xml:space="preserve"> </v>
      </c>
      <c r="N68" s="374" t="str">
        <f>IF(OR(L68="TC",L68="MT"),'CARGA DOCENTE'!$B1200," ")</f>
        <v xml:space="preserve"> </v>
      </c>
      <c r="O68" s="374" t="str">
        <f>IF(OR(L68="TC",L68="MT"),'CARGA DOCENTE'!$C1200," ")</f>
        <v xml:space="preserve"> </v>
      </c>
      <c r="P68" s="374" t="str">
        <f>IF(OR(L68="TC",L68="MT"),'CARGA DOCENTE'!$G1200," ")</f>
        <v xml:space="preserve"> </v>
      </c>
      <c r="Q68" s="372">
        <f>'CARGA DOCENTE'!$H1201</f>
        <v>0</v>
      </c>
      <c r="R68" s="373" t="str">
        <f>IF(OR(Q68="TC",Q68="MT"),'CARGA DOCENTE'!$A1201," ")</f>
        <v xml:space="preserve"> </v>
      </c>
      <c r="S68" s="374" t="str">
        <f>IF(OR(Q68="TC",Q68="MT"),'CARGA DOCENTE'!$B1201," ")</f>
        <v xml:space="preserve"> </v>
      </c>
      <c r="T68" s="374" t="str">
        <f>IF(OR(Q68="TC",Q68="MT"),'CARGA DOCENTE'!$C1201," ")</f>
        <v xml:space="preserve"> </v>
      </c>
      <c r="U68" s="374" t="str">
        <f>IF(OR(Q68="TC",Q68="MT"),'CARGA DOCENTE'!$G1201," ")</f>
        <v xml:space="preserve"> </v>
      </c>
      <c r="V68" s="372">
        <f>'CARGA DOCENTE'!$H1202</f>
        <v>0</v>
      </c>
      <c r="W68" s="373" t="str">
        <f>IF(OR(V68="TC",V68="MT"),'CARGA DOCENTE'!$A1202," ")</f>
        <v xml:space="preserve"> </v>
      </c>
      <c r="X68" s="374" t="str">
        <f>IF(OR(V68="TC",V68="MT"),'CARGA DOCENTE'!$B1202," ")</f>
        <v xml:space="preserve"> </v>
      </c>
      <c r="Y68" s="374" t="str">
        <f>IF(OR(V68="TC",V68="MT"),'CARGA DOCENTE'!$C1202," ")</f>
        <v xml:space="preserve"> </v>
      </c>
      <c r="Z68" s="374" t="str">
        <f>IF(OR(V68="TC",V68="MT"),'CARGA DOCENTE'!$G1202," ")</f>
        <v xml:space="preserve"> </v>
      </c>
      <c r="AA68" s="372">
        <f>'CARGA DOCENTE'!$H1203</f>
        <v>0</v>
      </c>
      <c r="AB68" s="373" t="str">
        <f>IF(OR(AA68="TC",AA68="MT"),'CARGA DOCENTE'!$A1203," ")</f>
        <v xml:space="preserve"> </v>
      </c>
      <c r="AC68" s="374" t="str">
        <f>IF(OR(AA68="TC",AA68="MT"),'CARGA DOCENTE'!$B1203," ")</f>
        <v xml:space="preserve"> </v>
      </c>
      <c r="AD68" s="374" t="str">
        <f>IF(OR(AA68="TC",AA68="MT"),'CARGA DOCENTE'!$C1203," ")</f>
        <v xml:space="preserve"> </v>
      </c>
      <c r="AE68" s="374" t="str">
        <f>IF(OR(AA68="TC",AA68="MT"),'CARGA DOCENTE'!$G1203," ")</f>
        <v xml:space="preserve"> </v>
      </c>
      <c r="AF68" s="372">
        <f>'CARGA DOCENTE'!$H1204</f>
        <v>0</v>
      </c>
      <c r="AG68" s="373" t="str">
        <f>IF(OR(AF68="TC",AF68="MT"),'CARGA DOCENTE'!$A1204," ")</f>
        <v xml:space="preserve"> </v>
      </c>
      <c r="AH68" s="374" t="str">
        <f>IF(OR(AF68="TC",AF68="MT"),'CARGA DOCENTE'!$B1204," ")</f>
        <v xml:space="preserve"> </v>
      </c>
      <c r="AI68" s="374" t="str">
        <f>IF(OR(AF68="TC",AF68="MT"),'CARGA DOCENTE'!$C1204," ")</f>
        <v xml:space="preserve"> </v>
      </c>
      <c r="AJ68" s="374" t="str">
        <f>IF(OR(AF68="TC",AF68="MT"),'CARGA DOCENTE'!$G1204," ")</f>
        <v xml:space="preserve"> </v>
      </c>
      <c r="AK68" s="372">
        <f>'CARGA DOCENTE'!$H1205</f>
        <v>0</v>
      </c>
      <c r="AL68" s="373" t="str">
        <f>IF(OR(AK68="TC",AK68="MT"),'CARGA DOCENTE'!$A1205," ")</f>
        <v xml:space="preserve"> </v>
      </c>
      <c r="AM68" s="374" t="str">
        <f>IF(OR(AK68="TC",AK68="MT"),'CARGA DOCENTE'!$B1205," ")</f>
        <v xml:space="preserve"> </v>
      </c>
      <c r="AN68" s="374" t="str">
        <f>IF(OR(AK68="TC",AK68="MT"),'CARGA DOCENTE'!$C1205," ")</f>
        <v xml:space="preserve"> </v>
      </c>
      <c r="AO68" s="374" t="str">
        <f>IF(OR(AK68="TC",AK68="MT"),'CARGA DOCENTE'!$G1205," ")</f>
        <v xml:space="preserve"> </v>
      </c>
      <c r="AP68" s="372">
        <f>'CARGA DOCENTE'!$H1206</f>
        <v>0</v>
      </c>
      <c r="AQ68" s="379" t="str">
        <f>IF(OR(AP68="TC",AP68="MT"),'CARGA DOCENTE'!$A1206," ")</f>
        <v xml:space="preserve"> </v>
      </c>
      <c r="AR68" s="380" t="str">
        <f>IF(OR(AP68="TC",AP68="MT"),'CARGA DOCENTE'!$B1206," ")</f>
        <v xml:space="preserve"> </v>
      </c>
      <c r="AS68" s="380" t="str">
        <f>IF(OR(AP68="TC",AP68="MT"),'CARGA DOCENTE'!$C1206," ")</f>
        <v xml:space="preserve"> </v>
      </c>
      <c r="AT68" s="380" t="str">
        <f>IF(OR(AP68="TC",AP68="MT"),'CARGA DOCENTE'!$G1206," ")</f>
        <v xml:space="preserve"> </v>
      </c>
      <c r="AU68" s="372">
        <f>'CARGA DOCENTE'!$H1207</f>
        <v>0</v>
      </c>
      <c r="AV68" s="373" t="str">
        <f>IF(OR(AU68="TC",AU68="MT"),'CARGA DOCENTE'!$A1207," ")</f>
        <v xml:space="preserve"> </v>
      </c>
      <c r="AW68" s="374" t="str">
        <f>IF(OR(AU68="TC",AU68="MT"),'CARGA DOCENTE'!$B1207," ")</f>
        <v xml:space="preserve"> </v>
      </c>
      <c r="AX68" s="374" t="str">
        <f>IF(OR(AU68="TC",AU68="MT"),'CARGA DOCENTE'!$C1207," ")</f>
        <v xml:space="preserve"> </v>
      </c>
      <c r="AY68" s="374" t="str">
        <f>IF(OR(AU68="TC",AU68="MT"),'CARGA DOCENTE'!$G1207," ")</f>
        <v xml:space="preserve"> </v>
      </c>
      <c r="AZ68" s="372">
        <f>'CARGA DOCENTE'!$H1208</f>
        <v>0</v>
      </c>
      <c r="BA68" s="373" t="str">
        <f>IF(OR(AZ68="TC",AZ68="MT"),'CARGA DOCENTE'!$A1208," ")</f>
        <v xml:space="preserve"> </v>
      </c>
      <c r="BB68" s="374" t="str">
        <f>IF(OR(AZ68="TC",AZ68="MT"),'CARGA DOCENTE'!$B1208," ")</f>
        <v xml:space="preserve"> </v>
      </c>
      <c r="BC68" s="374" t="str">
        <f>IF(OR(AZ68="TC",AZ68="MT"),'CARGA DOCENTE'!$C1208," ")</f>
        <v xml:space="preserve"> </v>
      </c>
      <c r="BD68" s="374" t="str">
        <f>IF(OR(AZ68="TC",AZ68="MT"),'CARGA DOCENTE'!$G1208," ")</f>
        <v xml:space="preserve"> </v>
      </c>
      <c r="BE68" s="372">
        <f>'CARGA DOCENTE'!$H1209</f>
        <v>0</v>
      </c>
      <c r="BF68" s="373" t="str">
        <f>IF(OR(BE68="TC",BE68="MT"),'CARGA DOCENTE'!$A1209," ")</f>
        <v xml:space="preserve"> </v>
      </c>
      <c r="BG68" s="374" t="str">
        <f>IF(OR(BE68="TC",BE68="MT"),'CARGA DOCENTE'!$B1209," ")</f>
        <v xml:space="preserve"> </v>
      </c>
      <c r="BH68" s="374" t="str">
        <f>IF(OR(BE68="TC",BE68="MT"),'CARGA DOCENTE'!$C1209," ")</f>
        <v xml:space="preserve"> </v>
      </c>
      <c r="BI68" s="374" t="str">
        <f>IF(OR(BE68="TC",BE68="MT"),'CARGA DOCENTE'!$G1209," ")</f>
        <v xml:space="preserve"> </v>
      </c>
      <c r="BJ68" s="372">
        <f>'CARGA DOCENTE'!$H1210</f>
        <v>0</v>
      </c>
      <c r="BK68" s="373" t="str">
        <f>IF(OR(BJ68="TC",BJ68="MT"),'CARGA DOCENTE'!$A1210," ")</f>
        <v xml:space="preserve"> </v>
      </c>
      <c r="BL68" s="374" t="str">
        <f>IF(OR(BJ68="TC",BJ68="MT"),'CARGA DOCENTE'!$B1210," ")</f>
        <v xml:space="preserve"> </v>
      </c>
      <c r="BM68" s="374" t="str">
        <f>IF(OR(BJ68="TC",BJ68="MT"),'CARGA DOCENTE'!$C1210," ")</f>
        <v xml:space="preserve"> </v>
      </c>
      <c r="BN68" s="374" t="str">
        <f>IF(OR(BJ68="TC",BJ68="MT"),'CARGA DOCENTE'!$G1210," ")</f>
        <v xml:space="preserve"> </v>
      </c>
      <c r="BO68" s="372">
        <f>'CARGA DOCENTE'!$H1211</f>
        <v>0</v>
      </c>
      <c r="BP68" s="373" t="str">
        <f>IF(OR(BO68="TC",BO68="MT"),'CARGA DOCENTE'!$A1211," ")</f>
        <v xml:space="preserve"> </v>
      </c>
      <c r="BQ68" s="374" t="str">
        <f>IF(OR(BO68="TC",BO68="MT"),'CARGA DOCENTE'!$B1211," ")</f>
        <v xml:space="preserve"> </v>
      </c>
      <c r="BR68" s="374" t="str">
        <f>IF(OR(BO68="TC",BO68="MT"),'CARGA DOCENTE'!$C1211," ")</f>
        <v xml:space="preserve"> </v>
      </c>
      <c r="BS68" s="374" t="str">
        <f>IF(OR(BO68="TC",BO68="MT"),'CARGA DOCENTE'!$G1211," ")</f>
        <v xml:space="preserve"> </v>
      </c>
      <c r="BT68" s="372">
        <f>'CARGA DOCENTE'!$H1212</f>
        <v>0</v>
      </c>
      <c r="BU68" s="373" t="str">
        <f>IF(OR(BT68="TC",BT68="MT"),'CARGA DOCENTE'!$A1212," ")</f>
        <v xml:space="preserve"> </v>
      </c>
      <c r="BV68" s="374" t="str">
        <f>IF(OR(BT68="TC",BT68="MT"),'CARGA DOCENTE'!$B1212," ")</f>
        <v xml:space="preserve"> </v>
      </c>
      <c r="BW68" s="374" t="str">
        <f>IF(OR(BT68="TC",BT68="MT"),'CARGA DOCENTE'!$C1212," ")</f>
        <v xml:space="preserve"> </v>
      </c>
      <c r="BX68" s="374" t="str">
        <f>IF(OR(BT68="TC",BT68="MT"),'CARGA DOCENTE'!$G1212," ")</f>
        <v xml:space="preserve"> </v>
      </c>
    </row>
    <row r="69" spans="1:76" x14ac:dyDescent="0.2">
      <c r="A69" s="378">
        <f>'CARGA DOCENTE'!J1216</f>
        <v>0</v>
      </c>
      <c r="B69" s="372">
        <f>'CARGA DOCENTE'!$H1216</f>
        <v>0</v>
      </c>
      <c r="C69" s="373" t="str">
        <f>IF(OR(B69="TC",B69="MT"),'CARGA DOCENTE'!$A1216," ")</f>
        <v xml:space="preserve"> </v>
      </c>
      <c r="D69" s="374" t="str">
        <f>IF(OR(B69="TC",B69="MT"),'CARGA DOCENTE'!$B1216," ")</f>
        <v xml:space="preserve"> </v>
      </c>
      <c r="E69" s="374" t="str">
        <f>IF(OR(B69="TC",B69="MT"),'CARGA DOCENTE'!$C1216," ")</f>
        <v xml:space="preserve"> </v>
      </c>
      <c r="F69" s="374" t="str">
        <f>IF(OR(B69="TC",B69="MT"),'CARGA DOCENTE'!$G1216," ")</f>
        <v xml:space="preserve"> </v>
      </c>
      <c r="G69" s="372">
        <f>'CARGA DOCENTE'!$H1217</f>
        <v>0</v>
      </c>
      <c r="H69" s="373" t="str">
        <f>IF(OR(G69="TC",G69="MT"),'CARGA DOCENTE'!$A1217," ")</f>
        <v xml:space="preserve"> </v>
      </c>
      <c r="I69" s="374" t="str">
        <f>IF(OR(G69="TC",G69="MT"),'CARGA DOCENTE'!$B1217," ")</f>
        <v xml:space="preserve"> </v>
      </c>
      <c r="J69" s="374" t="str">
        <f>IF(OR(G69="TC",G69="MT"),'CARGA DOCENTE'!$C1217," ")</f>
        <v xml:space="preserve"> </v>
      </c>
      <c r="K69" s="374" t="str">
        <f>IF(OR(G69="TC",G69="MT"),'CARGA DOCENTE'!$G1217," ")</f>
        <v xml:space="preserve"> </v>
      </c>
      <c r="L69" s="372">
        <f>'CARGA DOCENTE'!$H1218</f>
        <v>0</v>
      </c>
      <c r="M69" s="373" t="str">
        <f>IF(OR(L69="TC",L69="MT"),'CARGA DOCENTE'!$A1218," ")</f>
        <v xml:space="preserve"> </v>
      </c>
      <c r="N69" s="374" t="str">
        <f>IF(OR(L69="TC",L69="MT"),'CARGA DOCENTE'!$B1218," ")</f>
        <v xml:space="preserve"> </v>
      </c>
      <c r="O69" s="374" t="str">
        <f>IF(OR(L69="TC",L69="MT"),'CARGA DOCENTE'!$C1218," ")</f>
        <v xml:space="preserve"> </v>
      </c>
      <c r="P69" s="374" t="str">
        <f>IF(OR(L69="TC",L69="MT"),'CARGA DOCENTE'!$G1218," ")</f>
        <v xml:space="preserve"> </v>
      </c>
      <c r="Q69" s="372">
        <f>'CARGA DOCENTE'!$H1219</f>
        <v>0</v>
      </c>
      <c r="R69" s="373" t="str">
        <f>IF(OR(Q69="TC",Q69="MT"),'CARGA DOCENTE'!$A1219," ")</f>
        <v xml:space="preserve"> </v>
      </c>
      <c r="S69" s="374" t="str">
        <f>IF(OR(Q69="TC",Q69="MT"),'CARGA DOCENTE'!$B1219," ")</f>
        <v xml:space="preserve"> </v>
      </c>
      <c r="T69" s="374" t="str">
        <f>IF(OR(Q69="TC",Q69="MT"),'CARGA DOCENTE'!$C1219," ")</f>
        <v xml:space="preserve"> </v>
      </c>
      <c r="U69" s="374" t="str">
        <f>IF(OR(Q69="TC",Q69="MT"),'CARGA DOCENTE'!$G1219," ")</f>
        <v xml:space="preserve"> </v>
      </c>
      <c r="V69" s="372">
        <f>'CARGA DOCENTE'!$H1220</f>
        <v>0</v>
      </c>
      <c r="W69" s="373" t="str">
        <f>IF(OR(V69="TC",V69="MT"),'CARGA DOCENTE'!$A1220," ")</f>
        <v xml:space="preserve"> </v>
      </c>
      <c r="X69" s="374" t="str">
        <f>IF(OR(V69="TC",V69="MT"),'CARGA DOCENTE'!$B1220," ")</f>
        <v xml:space="preserve"> </v>
      </c>
      <c r="Y69" s="374" t="str">
        <f>IF(OR(V69="TC",V69="MT"),'CARGA DOCENTE'!$C1220," ")</f>
        <v xml:space="preserve"> </v>
      </c>
      <c r="Z69" s="374" t="str">
        <f>IF(OR(V69="TC",V69="MT"),'CARGA DOCENTE'!$G1220," ")</f>
        <v xml:space="preserve"> </v>
      </c>
      <c r="AA69" s="372">
        <f>'CARGA DOCENTE'!$H1221</f>
        <v>0</v>
      </c>
      <c r="AB69" s="373" t="str">
        <f>IF(OR(AA69="TC",AA69="MT"),'CARGA DOCENTE'!$A1221," ")</f>
        <v xml:space="preserve"> </v>
      </c>
      <c r="AC69" s="374" t="str">
        <f>IF(OR(AA69="TC",AA69="MT"),'CARGA DOCENTE'!$B1221," ")</f>
        <v xml:space="preserve"> </v>
      </c>
      <c r="AD69" s="374" t="str">
        <f>IF(OR(AA69="TC",AA69="MT"),'CARGA DOCENTE'!$C1221," ")</f>
        <v xml:space="preserve"> </v>
      </c>
      <c r="AE69" s="374" t="str">
        <f>IF(OR(AA69="TC",AA69="MT"),'CARGA DOCENTE'!$G1221," ")</f>
        <v xml:space="preserve"> </v>
      </c>
      <c r="AF69" s="372">
        <f>'CARGA DOCENTE'!$H1222</f>
        <v>0</v>
      </c>
      <c r="AG69" s="373" t="str">
        <f>IF(OR(AF69="TC",AF69="MT"),'CARGA DOCENTE'!$A1222," ")</f>
        <v xml:space="preserve"> </v>
      </c>
      <c r="AH69" s="374" t="str">
        <f>IF(OR(AF69="TC",AF69="MT"),'CARGA DOCENTE'!$B1222," ")</f>
        <v xml:space="preserve"> </v>
      </c>
      <c r="AI69" s="374" t="str">
        <f>IF(OR(AF69="TC",AF69="MT"),'CARGA DOCENTE'!$C1222," ")</f>
        <v xml:space="preserve"> </v>
      </c>
      <c r="AJ69" s="374" t="str">
        <f>IF(OR(AF69="TC",AF69="MT"),'CARGA DOCENTE'!$G1222," ")</f>
        <v xml:space="preserve"> </v>
      </c>
      <c r="AK69" s="372">
        <f>'CARGA DOCENTE'!$H1223</f>
        <v>0</v>
      </c>
      <c r="AL69" s="373" t="str">
        <f>IF(OR(AK69="TC",AK69="MT"),'CARGA DOCENTE'!$A1223," ")</f>
        <v xml:space="preserve"> </v>
      </c>
      <c r="AM69" s="374" t="str">
        <f>IF(OR(AK69="TC",AK69="MT"),'CARGA DOCENTE'!$B1223," ")</f>
        <v xml:space="preserve"> </v>
      </c>
      <c r="AN69" s="374" t="str">
        <f>IF(OR(AK69="TC",AK69="MT"),'CARGA DOCENTE'!$C1223," ")</f>
        <v xml:space="preserve"> </v>
      </c>
      <c r="AO69" s="374" t="str">
        <f>IF(OR(AK69="TC",AK69="MT"),'CARGA DOCENTE'!$G1223," ")</f>
        <v xml:space="preserve"> </v>
      </c>
      <c r="AP69" s="372">
        <f>'CARGA DOCENTE'!$H1224</f>
        <v>0</v>
      </c>
      <c r="AQ69" s="379" t="str">
        <f>IF(OR(AP69="TC",AP69="MT"),'CARGA DOCENTE'!$A1224," ")</f>
        <v xml:space="preserve"> </v>
      </c>
      <c r="AR69" s="380" t="str">
        <f>IF(OR(AP69="TC",AP69="MT"),'CARGA DOCENTE'!$B1224," ")</f>
        <v xml:space="preserve"> </v>
      </c>
      <c r="AS69" s="380" t="str">
        <f>IF(OR(AP69="TC",AP69="MT"),'CARGA DOCENTE'!$C1224," ")</f>
        <v xml:space="preserve"> </v>
      </c>
      <c r="AT69" s="380" t="str">
        <f>IF(OR(AP69="TC",AP69="MT"),'CARGA DOCENTE'!$G1224," ")</f>
        <v xml:space="preserve"> </v>
      </c>
      <c r="AU69" s="372">
        <f>'CARGA DOCENTE'!$H1225</f>
        <v>0</v>
      </c>
      <c r="AV69" s="373" t="str">
        <f>IF(OR(AU69="TC",AU69="MT"),'CARGA DOCENTE'!$A1225," ")</f>
        <v xml:space="preserve"> </v>
      </c>
      <c r="AW69" s="374" t="str">
        <f>IF(OR(AU69="TC",AU69="MT"),'CARGA DOCENTE'!$B1225," ")</f>
        <v xml:space="preserve"> </v>
      </c>
      <c r="AX69" s="374" t="str">
        <f>IF(OR(AU69="TC",AU69="MT"),'CARGA DOCENTE'!$C1225," ")</f>
        <v xml:space="preserve"> </v>
      </c>
      <c r="AY69" s="374" t="str">
        <f>IF(OR(AU69="TC",AU69="MT"),'CARGA DOCENTE'!$G1225," ")</f>
        <v xml:space="preserve"> </v>
      </c>
      <c r="AZ69" s="372">
        <f>'CARGA DOCENTE'!$H1226</f>
        <v>0</v>
      </c>
      <c r="BA69" s="373" t="str">
        <f>IF(OR(AZ69="TC",AZ69="MT"),'CARGA DOCENTE'!$A1226," ")</f>
        <v xml:space="preserve"> </v>
      </c>
      <c r="BB69" s="374" t="str">
        <f>IF(OR(AZ69="TC",AZ69="MT"),'CARGA DOCENTE'!$B1226," ")</f>
        <v xml:space="preserve"> </v>
      </c>
      <c r="BC69" s="374" t="str">
        <f>IF(OR(AZ69="TC",AZ69="MT"),'CARGA DOCENTE'!$C1226," ")</f>
        <v xml:space="preserve"> </v>
      </c>
      <c r="BD69" s="374" t="str">
        <f>IF(OR(AZ69="TC",AZ69="MT"),'CARGA DOCENTE'!$G1226," ")</f>
        <v xml:space="preserve"> </v>
      </c>
      <c r="BE69" s="372">
        <f>'CARGA DOCENTE'!$H1227</f>
        <v>0</v>
      </c>
      <c r="BF69" s="373" t="str">
        <f>IF(OR(BE69="TC",BE69="MT"),'CARGA DOCENTE'!$A1227," ")</f>
        <v xml:space="preserve"> </v>
      </c>
      <c r="BG69" s="374" t="str">
        <f>IF(OR(BE69="TC",BE69="MT"),'CARGA DOCENTE'!$B1227," ")</f>
        <v xml:space="preserve"> </v>
      </c>
      <c r="BH69" s="374" t="str">
        <f>IF(OR(BE69="TC",BE69="MT"),'CARGA DOCENTE'!$C1227," ")</f>
        <v xml:space="preserve"> </v>
      </c>
      <c r="BI69" s="374" t="str">
        <f>IF(OR(BE69="TC",BE69="MT"),'CARGA DOCENTE'!$G1227," ")</f>
        <v xml:space="preserve"> </v>
      </c>
      <c r="BJ69" s="372">
        <f>'CARGA DOCENTE'!$H1228</f>
        <v>0</v>
      </c>
      <c r="BK69" s="373" t="str">
        <f>IF(OR(BJ69="TC",BJ69="MT"),'CARGA DOCENTE'!$A1228," ")</f>
        <v xml:space="preserve"> </v>
      </c>
      <c r="BL69" s="374" t="str">
        <f>IF(OR(BJ69="TC",BJ69="MT"),'CARGA DOCENTE'!$B1228," ")</f>
        <v xml:space="preserve"> </v>
      </c>
      <c r="BM69" s="374" t="str">
        <f>IF(OR(BJ69="TC",BJ69="MT"),'CARGA DOCENTE'!$C1228," ")</f>
        <v xml:space="preserve"> </v>
      </c>
      <c r="BN69" s="374" t="str">
        <f>IF(OR(BJ69="TC",BJ69="MT"),'CARGA DOCENTE'!$G1228," ")</f>
        <v xml:space="preserve"> </v>
      </c>
      <c r="BO69" s="372">
        <f>'CARGA DOCENTE'!$H1229</f>
        <v>0</v>
      </c>
      <c r="BP69" s="373" t="str">
        <f>IF(OR(BO69="TC",BO69="MT"),'CARGA DOCENTE'!$A1229," ")</f>
        <v xml:space="preserve"> </v>
      </c>
      <c r="BQ69" s="374" t="str">
        <f>IF(OR(BO69="TC",BO69="MT"),'CARGA DOCENTE'!$B1229," ")</f>
        <v xml:space="preserve"> </v>
      </c>
      <c r="BR69" s="374" t="str">
        <f>IF(OR(BO69="TC",BO69="MT"),'CARGA DOCENTE'!$C1229," ")</f>
        <v xml:space="preserve"> </v>
      </c>
      <c r="BS69" s="374" t="str">
        <f>IF(OR(BO69="TC",BO69="MT"),'CARGA DOCENTE'!$G1229," ")</f>
        <v xml:space="preserve"> </v>
      </c>
      <c r="BT69" s="372">
        <f>'CARGA DOCENTE'!$H1230</f>
        <v>0</v>
      </c>
      <c r="BU69" s="373" t="str">
        <f>IF(OR(BT69="TC",BT69="MT"),'CARGA DOCENTE'!$A1230," ")</f>
        <v xml:space="preserve"> </v>
      </c>
      <c r="BV69" s="374" t="str">
        <f>IF(OR(BT69="TC",BT69="MT"),'CARGA DOCENTE'!$B1230," ")</f>
        <v xml:space="preserve"> </v>
      </c>
      <c r="BW69" s="374" t="str">
        <f>IF(OR(BT69="TC",BT69="MT"),'CARGA DOCENTE'!$C1230," ")</f>
        <v xml:space="preserve"> </v>
      </c>
      <c r="BX69" s="374" t="str">
        <f>IF(OR(BT69="TC",BT69="MT"),'CARGA DOCENTE'!$G1230," ")</f>
        <v xml:space="preserve"> </v>
      </c>
    </row>
    <row r="70" spans="1:76" x14ac:dyDescent="0.2">
      <c r="A70" s="378">
        <f>'CARGA DOCENTE'!J1234</f>
        <v>0</v>
      </c>
      <c r="B70" s="372">
        <f>'CARGA DOCENTE'!$H1234</f>
        <v>0</v>
      </c>
      <c r="C70" s="373" t="str">
        <f>IF(OR(B70="TC",B70="MT"),'CARGA DOCENTE'!$A1234," ")</f>
        <v xml:space="preserve"> </v>
      </c>
      <c r="D70" s="374" t="str">
        <f>IF(OR(B70="TC",B70="MT"),'CARGA DOCENTE'!$B1234," ")</f>
        <v xml:space="preserve"> </v>
      </c>
      <c r="E70" s="374" t="str">
        <f>IF(OR(B70="TC",B70="MT"),'CARGA DOCENTE'!$C1234," ")</f>
        <v xml:space="preserve"> </v>
      </c>
      <c r="F70" s="374" t="str">
        <f>IF(OR(B70="TC",B70="MT"),'CARGA DOCENTE'!$G1234," ")</f>
        <v xml:space="preserve"> </v>
      </c>
      <c r="G70" s="372">
        <f>'CARGA DOCENTE'!$H1235</f>
        <v>0</v>
      </c>
      <c r="H70" s="373" t="str">
        <f>IF(OR(G70="TC",G70="MT"),'CARGA DOCENTE'!$A1235," ")</f>
        <v xml:space="preserve"> </v>
      </c>
      <c r="I70" s="374" t="str">
        <f>IF(OR(G70="TC",G70="MT"),'CARGA DOCENTE'!$B1235," ")</f>
        <v xml:space="preserve"> </v>
      </c>
      <c r="J70" s="374" t="str">
        <f>IF(OR(G70="TC",G70="MT"),'CARGA DOCENTE'!$C1235," ")</f>
        <v xml:space="preserve"> </v>
      </c>
      <c r="K70" s="374" t="str">
        <f>IF(OR(G70="TC",G70="MT"),'CARGA DOCENTE'!$G1235," ")</f>
        <v xml:space="preserve"> </v>
      </c>
      <c r="L70" s="372">
        <f>'CARGA DOCENTE'!$H1236</f>
        <v>0</v>
      </c>
      <c r="M70" s="373" t="str">
        <f>IF(OR(L70="TC",L70="MT"),'CARGA DOCENTE'!$A1236," ")</f>
        <v xml:space="preserve"> </v>
      </c>
      <c r="N70" s="374" t="str">
        <f>IF(OR(L70="TC",L70="MT"),'CARGA DOCENTE'!$B1236," ")</f>
        <v xml:space="preserve"> </v>
      </c>
      <c r="O70" s="374" t="str">
        <f>IF(OR(L70="TC",L70="MT"),'CARGA DOCENTE'!$C1236," ")</f>
        <v xml:space="preserve"> </v>
      </c>
      <c r="P70" s="374" t="str">
        <f>IF(OR(L70="TC",L70="MT"),'CARGA DOCENTE'!$G1236," ")</f>
        <v xml:space="preserve"> </v>
      </c>
      <c r="Q70" s="372">
        <f>'CARGA DOCENTE'!$H1237</f>
        <v>0</v>
      </c>
      <c r="R70" s="373" t="str">
        <f>IF(OR(Q70="TC",Q70="MT"),'CARGA DOCENTE'!$A1237," ")</f>
        <v xml:space="preserve"> </v>
      </c>
      <c r="S70" s="374" t="str">
        <f>IF(OR(Q70="TC",Q70="MT"),'CARGA DOCENTE'!$B1237," ")</f>
        <v xml:space="preserve"> </v>
      </c>
      <c r="T70" s="374" t="str">
        <f>IF(OR(Q70="TC",Q70="MT"),'CARGA DOCENTE'!$C1237," ")</f>
        <v xml:space="preserve"> </v>
      </c>
      <c r="U70" s="374" t="str">
        <f>IF(OR(Q70="TC",Q70="MT"),'CARGA DOCENTE'!$G1237," ")</f>
        <v xml:space="preserve"> </v>
      </c>
      <c r="V70" s="372">
        <f>'CARGA DOCENTE'!$H1238</f>
        <v>0</v>
      </c>
      <c r="W70" s="373" t="str">
        <f>IF(OR(V70="TC",V70="MT"),'CARGA DOCENTE'!$A1238," ")</f>
        <v xml:space="preserve"> </v>
      </c>
      <c r="X70" s="374" t="str">
        <f>IF(OR(V70="TC",V70="MT"),'CARGA DOCENTE'!$B1238," ")</f>
        <v xml:space="preserve"> </v>
      </c>
      <c r="Y70" s="374" t="str">
        <f>IF(OR(V70="TC",V70="MT"),'CARGA DOCENTE'!$C1238," ")</f>
        <v xml:space="preserve"> </v>
      </c>
      <c r="Z70" s="374" t="str">
        <f>IF(OR(V70="TC",V70="MT"),'CARGA DOCENTE'!$G1238," ")</f>
        <v xml:space="preserve"> </v>
      </c>
      <c r="AA70" s="372">
        <f>'CARGA DOCENTE'!$H1239</f>
        <v>0</v>
      </c>
      <c r="AB70" s="373" t="str">
        <f>IF(OR(AA70="TC",AA70="MT"),'CARGA DOCENTE'!$A1239," ")</f>
        <v xml:space="preserve"> </v>
      </c>
      <c r="AC70" s="374" t="str">
        <f>IF(OR(AA70="TC",AA70="MT"),'CARGA DOCENTE'!$B1239," ")</f>
        <v xml:space="preserve"> </v>
      </c>
      <c r="AD70" s="374" t="str">
        <f>IF(OR(AA70="TC",AA70="MT"),'CARGA DOCENTE'!$C1239," ")</f>
        <v xml:space="preserve"> </v>
      </c>
      <c r="AE70" s="374" t="str">
        <f>IF(OR(AA70="TC",AA70="MT"),'CARGA DOCENTE'!$G1239," ")</f>
        <v xml:space="preserve"> </v>
      </c>
      <c r="AF70" s="372">
        <f>'CARGA DOCENTE'!$H1240</f>
        <v>0</v>
      </c>
      <c r="AG70" s="373" t="str">
        <f>IF(OR(AF70="TC",AF70="MT"),'CARGA DOCENTE'!$A1240," ")</f>
        <v xml:space="preserve"> </v>
      </c>
      <c r="AH70" s="374" t="str">
        <f>IF(OR(AF70="TC",AF70="MT"),'CARGA DOCENTE'!$B1240," ")</f>
        <v xml:space="preserve"> </v>
      </c>
      <c r="AI70" s="374" t="str">
        <f>IF(OR(AF70="TC",AF70="MT"),'CARGA DOCENTE'!$C1240," ")</f>
        <v xml:space="preserve"> </v>
      </c>
      <c r="AJ70" s="374" t="str">
        <f>IF(OR(AF70="TC",AF70="MT"),'CARGA DOCENTE'!$G1240," ")</f>
        <v xml:space="preserve"> </v>
      </c>
      <c r="AK70" s="372">
        <f>'CARGA DOCENTE'!$H1241</f>
        <v>0</v>
      </c>
      <c r="AL70" s="373" t="str">
        <f>IF(OR(AK70="TC",AK70="MT"),'CARGA DOCENTE'!$A1241," ")</f>
        <v xml:space="preserve"> </v>
      </c>
      <c r="AM70" s="374" t="str">
        <f>IF(OR(AK70="TC",AK70="MT"),'CARGA DOCENTE'!$B1241," ")</f>
        <v xml:space="preserve"> </v>
      </c>
      <c r="AN70" s="374" t="str">
        <f>IF(OR(AK70="TC",AK70="MT"),'CARGA DOCENTE'!$C1241," ")</f>
        <v xml:space="preserve"> </v>
      </c>
      <c r="AO70" s="374" t="str">
        <f>IF(OR(AK70="TC",AK70="MT"),'CARGA DOCENTE'!$G1241," ")</f>
        <v xml:space="preserve"> </v>
      </c>
      <c r="AP70" s="372">
        <f>'CARGA DOCENTE'!$H1242</f>
        <v>0</v>
      </c>
      <c r="AQ70" s="379" t="str">
        <f>IF(OR(AP70="TC",AP70="MT"),'CARGA DOCENTE'!$A1242," ")</f>
        <v xml:space="preserve"> </v>
      </c>
      <c r="AR70" s="380" t="str">
        <f>IF(OR(AP70="TC",AP70="MT"),'CARGA DOCENTE'!$B1242," ")</f>
        <v xml:space="preserve"> </v>
      </c>
      <c r="AS70" s="380" t="str">
        <f>IF(OR(AP70="TC",AP70="MT"),'CARGA DOCENTE'!$C1242," ")</f>
        <v xml:space="preserve"> </v>
      </c>
      <c r="AT70" s="380" t="str">
        <f>IF(OR(AP70="TC",AP70="MT"),'CARGA DOCENTE'!$G1242," ")</f>
        <v xml:space="preserve"> </v>
      </c>
      <c r="AU70" s="372">
        <f>'CARGA DOCENTE'!$H1243</f>
        <v>0</v>
      </c>
      <c r="AV70" s="373" t="str">
        <f>IF(OR(AU70="TC",AU70="MT"),'CARGA DOCENTE'!$A1243," ")</f>
        <v xml:space="preserve"> </v>
      </c>
      <c r="AW70" s="374" t="str">
        <f>IF(OR(AU70="TC",AU70="MT"),'CARGA DOCENTE'!$B1243," ")</f>
        <v xml:space="preserve"> </v>
      </c>
      <c r="AX70" s="374" t="str">
        <f>IF(OR(AU70="TC",AU70="MT"),'CARGA DOCENTE'!$C1243," ")</f>
        <v xml:space="preserve"> </v>
      </c>
      <c r="AY70" s="374" t="str">
        <f>IF(OR(AU70="TC",AU70="MT"),'CARGA DOCENTE'!$G1243," ")</f>
        <v xml:space="preserve"> </v>
      </c>
      <c r="AZ70" s="372">
        <f>'CARGA DOCENTE'!$H1244</f>
        <v>0</v>
      </c>
      <c r="BA70" s="373" t="str">
        <f>IF(OR(AZ70="TC",AZ70="MT"),'CARGA DOCENTE'!$A1244," ")</f>
        <v xml:space="preserve"> </v>
      </c>
      <c r="BB70" s="374" t="str">
        <f>IF(OR(AZ70="TC",AZ70="MT"),'CARGA DOCENTE'!$B1244," ")</f>
        <v xml:space="preserve"> </v>
      </c>
      <c r="BC70" s="374" t="str">
        <f>IF(OR(AZ70="TC",AZ70="MT"),'CARGA DOCENTE'!$C1244," ")</f>
        <v xml:space="preserve"> </v>
      </c>
      <c r="BD70" s="374" t="str">
        <f>IF(OR(AZ70="TC",AZ70="MT"),'CARGA DOCENTE'!$G1244," ")</f>
        <v xml:space="preserve"> </v>
      </c>
      <c r="BE70" s="372">
        <f>'CARGA DOCENTE'!$H1245</f>
        <v>0</v>
      </c>
      <c r="BF70" s="373" t="str">
        <f>IF(OR(BE70="TC",BE70="MT"),'CARGA DOCENTE'!$A1245," ")</f>
        <v xml:space="preserve"> </v>
      </c>
      <c r="BG70" s="374" t="str">
        <f>IF(OR(BE70="TC",BE70="MT"),'CARGA DOCENTE'!$B1245," ")</f>
        <v xml:space="preserve"> </v>
      </c>
      <c r="BH70" s="374" t="str">
        <f>IF(OR(BE70="TC",BE70="MT"),'CARGA DOCENTE'!$C1245," ")</f>
        <v xml:space="preserve"> </v>
      </c>
      <c r="BI70" s="374" t="str">
        <f>IF(OR(BE70="TC",BE70="MT"),'CARGA DOCENTE'!$G1245," ")</f>
        <v xml:space="preserve"> </v>
      </c>
      <c r="BJ70" s="372">
        <f>'CARGA DOCENTE'!$H1246</f>
        <v>0</v>
      </c>
      <c r="BK70" s="373" t="str">
        <f>IF(OR(BJ70="TC",BJ70="MT"),'CARGA DOCENTE'!$A1246," ")</f>
        <v xml:space="preserve"> </v>
      </c>
      <c r="BL70" s="374" t="str">
        <f>IF(OR(BJ70="TC",BJ70="MT"),'CARGA DOCENTE'!$B1246," ")</f>
        <v xml:space="preserve"> </v>
      </c>
      <c r="BM70" s="374" t="str">
        <f>IF(OR(BJ70="TC",BJ70="MT"),'CARGA DOCENTE'!$C1246," ")</f>
        <v xml:space="preserve"> </v>
      </c>
      <c r="BN70" s="374" t="str">
        <f>IF(OR(BJ70="TC",BJ70="MT"),'CARGA DOCENTE'!$G1246," ")</f>
        <v xml:space="preserve"> </v>
      </c>
      <c r="BO70" s="372">
        <f>'CARGA DOCENTE'!$H1247</f>
        <v>0</v>
      </c>
      <c r="BP70" s="373" t="str">
        <f>IF(OR(BO70="TC",BO70="MT"),'CARGA DOCENTE'!$A1247," ")</f>
        <v xml:space="preserve"> </v>
      </c>
      <c r="BQ70" s="374" t="str">
        <f>IF(OR(BO70="TC",BO70="MT"),'CARGA DOCENTE'!$B1247," ")</f>
        <v xml:space="preserve"> </v>
      </c>
      <c r="BR70" s="374" t="str">
        <f>IF(OR(BO70="TC",BO70="MT"),'CARGA DOCENTE'!$C1247," ")</f>
        <v xml:space="preserve"> </v>
      </c>
      <c r="BS70" s="374" t="str">
        <f>IF(OR(BO70="TC",BO70="MT"),'CARGA DOCENTE'!$G1247," ")</f>
        <v xml:space="preserve"> </v>
      </c>
      <c r="BT70" s="372">
        <f>'CARGA DOCENTE'!$H1248</f>
        <v>0</v>
      </c>
      <c r="BU70" s="373" t="str">
        <f>IF(OR(BT70="TC",BT70="MT"),'CARGA DOCENTE'!$A1248," ")</f>
        <v xml:space="preserve"> </v>
      </c>
      <c r="BV70" s="374" t="str">
        <f>IF(OR(BT70="TC",BT70="MT"),'CARGA DOCENTE'!$B1248," ")</f>
        <v xml:space="preserve"> </v>
      </c>
      <c r="BW70" s="374" t="str">
        <f>IF(OR(BT70="TC",BT70="MT"),'CARGA DOCENTE'!$C1248," ")</f>
        <v xml:space="preserve"> </v>
      </c>
      <c r="BX70" s="374" t="str">
        <f>IF(OR(BT70="TC",BT70="MT"),'CARGA DOCENTE'!$G1248," ")</f>
        <v xml:space="preserve"> </v>
      </c>
    </row>
    <row r="71" spans="1:76" x14ac:dyDescent="0.2">
      <c r="A71" s="378">
        <f>'CARGA DOCENTE'!J1252</f>
        <v>0</v>
      </c>
      <c r="B71" s="372">
        <f>'CARGA DOCENTE'!$H1252</f>
        <v>0</v>
      </c>
      <c r="C71" s="373" t="str">
        <f>IF(OR(B71="TC",B71="MT"),'CARGA DOCENTE'!$A1252," ")</f>
        <v xml:space="preserve"> </v>
      </c>
      <c r="D71" s="374" t="str">
        <f>IF(OR(B71="TC",B71="MT"),'CARGA DOCENTE'!$B1252," ")</f>
        <v xml:space="preserve"> </v>
      </c>
      <c r="E71" s="374" t="str">
        <f>IF(OR(B71="TC",B71="MT"),'CARGA DOCENTE'!$C1252," ")</f>
        <v xml:space="preserve"> </v>
      </c>
      <c r="F71" s="374" t="str">
        <f>IF(OR(B71="TC",B71="MT"),'CARGA DOCENTE'!$G1252," ")</f>
        <v xml:space="preserve"> </v>
      </c>
      <c r="G71" s="372">
        <f>'CARGA DOCENTE'!$H1253</f>
        <v>0</v>
      </c>
      <c r="H71" s="373" t="str">
        <f>IF(OR(G71="TC",G71="MT"),'CARGA DOCENTE'!$A1253," ")</f>
        <v xml:space="preserve"> </v>
      </c>
      <c r="I71" s="374" t="str">
        <f>IF(OR(G71="TC",G71="MT"),'CARGA DOCENTE'!$B1253," ")</f>
        <v xml:space="preserve"> </v>
      </c>
      <c r="J71" s="374" t="str">
        <f>IF(OR(G71="TC",G71="MT"),'CARGA DOCENTE'!$C1253," ")</f>
        <v xml:space="preserve"> </v>
      </c>
      <c r="K71" s="374" t="str">
        <f>IF(OR(G71="TC",G71="MT"),'CARGA DOCENTE'!$G1253," ")</f>
        <v xml:space="preserve"> </v>
      </c>
      <c r="L71" s="372">
        <f>'CARGA DOCENTE'!$H1254</f>
        <v>0</v>
      </c>
      <c r="M71" s="373" t="str">
        <f>IF(OR(L71="TC",L71="MT"),'CARGA DOCENTE'!$A1254," ")</f>
        <v xml:space="preserve"> </v>
      </c>
      <c r="N71" s="374" t="str">
        <f>IF(OR(L71="TC",L71="MT"),'CARGA DOCENTE'!$B1254," ")</f>
        <v xml:space="preserve"> </v>
      </c>
      <c r="O71" s="374" t="str">
        <f>IF(OR(L71="TC",L71="MT"),'CARGA DOCENTE'!$C1254," ")</f>
        <v xml:space="preserve"> </v>
      </c>
      <c r="P71" s="374" t="str">
        <f>IF(OR(L71="TC",L71="MT"),'CARGA DOCENTE'!$G1254," ")</f>
        <v xml:space="preserve"> </v>
      </c>
      <c r="Q71" s="372">
        <f>'CARGA DOCENTE'!$H1255</f>
        <v>0</v>
      </c>
      <c r="R71" s="373" t="str">
        <f>IF(OR(Q71="TC",Q71="MT"),'CARGA DOCENTE'!$A1255," ")</f>
        <v xml:space="preserve"> </v>
      </c>
      <c r="S71" s="374" t="str">
        <f>IF(OR(Q71="TC",Q71="MT"),'CARGA DOCENTE'!$B1255," ")</f>
        <v xml:space="preserve"> </v>
      </c>
      <c r="T71" s="374" t="str">
        <f>IF(OR(Q71="TC",Q71="MT"),'CARGA DOCENTE'!$C1255," ")</f>
        <v xml:space="preserve"> </v>
      </c>
      <c r="U71" s="374" t="str">
        <f>IF(OR(Q71="TC",Q71="MT"),'CARGA DOCENTE'!$G1255," ")</f>
        <v xml:space="preserve"> </v>
      </c>
      <c r="V71" s="372">
        <f>'CARGA DOCENTE'!$H1256</f>
        <v>0</v>
      </c>
      <c r="W71" s="373" t="str">
        <f>IF(OR(V71="TC",V71="MT"),'CARGA DOCENTE'!$A1256," ")</f>
        <v xml:space="preserve"> </v>
      </c>
      <c r="X71" s="374" t="str">
        <f>IF(OR(V71="TC",V71="MT"),'CARGA DOCENTE'!$B1256," ")</f>
        <v xml:space="preserve"> </v>
      </c>
      <c r="Y71" s="374" t="str">
        <f>IF(OR(V71="TC",V71="MT"),'CARGA DOCENTE'!$C1256," ")</f>
        <v xml:space="preserve"> </v>
      </c>
      <c r="Z71" s="374" t="str">
        <f>IF(OR(V71="TC",V71="MT"),'CARGA DOCENTE'!$G1256," ")</f>
        <v xml:space="preserve"> </v>
      </c>
      <c r="AA71" s="372">
        <f>'CARGA DOCENTE'!$H1257</f>
        <v>0</v>
      </c>
      <c r="AB71" s="373" t="str">
        <f>IF(OR(AA71="TC",AA71="MT"),'CARGA DOCENTE'!$A1257," ")</f>
        <v xml:space="preserve"> </v>
      </c>
      <c r="AC71" s="374" t="str">
        <f>IF(OR(AA71="TC",AA71="MT"),'CARGA DOCENTE'!$B1257," ")</f>
        <v xml:space="preserve"> </v>
      </c>
      <c r="AD71" s="374" t="str">
        <f>IF(OR(AA71="TC",AA71="MT"),'CARGA DOCENTE'!$C1257," ")</f>
        <v xml:space="preserve"> </v>
      </c>
      <c r="AE71" s="374" t="str">
        <f>IF(OR(AA71="TC",AA71="MT"),'CARGA DOCENTE'!$G1257," ")</f>
        <v xml:space="preserve"> </v>
      </c>
      <c r="AF71" s="372">
        <f>'CARGA DOCENTE'!$H1258</f>
        <v>0</v>
      </c>
      <c r="AG71" s="373" t="str">
        <f>IF(OR(AF71="TC",AF71="MT"),'CARGA DOCENTE'!$A1258," ")</f>
        <v xml:space="preserve"> </v>
      </c>
      <c r="AH71" s="374" t="str">
        <f>IF(OR(AF71="TC",AF71="MT"),'CARGA DOCENTE'!$B1258," ")</f>
        <v xml:space="preserve"> </v>
      </c>
      <c r="AI71" s="374" t="str">
        <f>IF(OR(AF71="TC",AF71="MT"),'CARGA DOCENTE'!$C1258," ")</f>
        <v xml:space="preserve"> </v>
      </c>
      <c r="AJ71" s="374" t="str">
        <f>IF(OR(AF71="TC",AF71="MT"),'CARGA DOCENTE'!$G1258," ")</f>
        <v xml:space="preserve"> </v>
      </c>
      <c r="AK71" s="372">
        <f>'CARGA DOCENTE'!$H1259</f>
        <v>0</v>
      </c>
      <c r="AL71" s="373" t="str">
        <f>IF(OR(AK71="TC",AK71="MT"),'CARGA DOCENTE'!$A1259," ")</f>
        <v xml:space="preserve"> </v>
      </c>
      <c r="AM71" s="374" t="str">
        <f>IF(OR(AK71="TC",AK71="MT"),'CARGA DOCENTE'!$B1259," ")</f>
        <v xml:space="preserve"> </v>
      </c>
      <c r="AN71" s="374" t="str">
        <f>IF(OR(AK71="TC",AK71="MT"),'CARGA DOCENTE'!$C1259," ")</f>
        <v xml:space="preserve"> </v>
      </c>
      <c r="AO71" s="374" t="str">
        <f>IF(OR(AK71="TC",AK71="MT"),'CARGA DOCENTE'!$G1259," ")</f>
        <v xml:space="preserve"> </v>
      </c>
      <c r="AP71" s="372">
        <f>'CARGA DOCENTE'!$H1260</f>
        <v>0</v>
      </c>
      <c r="AQ71" s="379" t="str">
        <f>IF(OR(AP71="TC",AP71="MT"),'CARGA DOCENTE'!$A1260," ")</f>
        <v xml:space="preserve"> </v>
      </c>
      <c r="AR71" s="380" t="str">
        <f>IF(OR(AP71="TC",AP71="MT"),'CARGA DOCENTE'!$B1260," ")</f>
        <v xml:space="preserve"> </v>
      </c>
      <c r="AS71" s="380" t="str">
        <f>IF(OR(AP71="TC",AP71="MT"),'CARGA DOCENTE'!$C1260," ")</f>
        <v xml:space="preserve"> </v>
      </c>
      <c r="AT71" s="380" t="str">
        <f>IF(OR(AP71="TC",AP71="MT"),'CARGA DOCENTE'!$G1260," ")</f>
        <v xml:space="preserve"> </v>
      </c>
      <c r="AU71" s="372">
        <f>'CARGA DOCENTE'!$H1261</f>
        <v>0</v>
      </c>
      <c r="AV71" s="373" t="str">
        <f>IF(OR(AU71="TC",AU71="MT"),'CARGA DOCENTE'!$A1261," ")</f>
        <v xml:space="preserve"> </v>
      </c>
      <c r="AW71" s="374" t="str">
        <f>IF(OR(AU71="TC",AU71="MT"),'CARGA DOCENTE'!$B1261," ")</f>
        <v xml:space="preserve"> </v>
      </c>
      <c r="AX71" s="374" t="str">
        <f>IF(OR(AU71="TC",AU71="MT"),'CARGA DOCENTE'!$C1261," ")</f>
        <v xml:space="preserve"> </v>
      </c>
      <c r="AY71" s="374" t="str">
        <f>IF(OR(AU71="TC",AU71="MT"),'CARGA DOCENTE'!$G1261," ")</f>
        <v xml:space="preserve"> </v>
      </c>
      <c r="AZ71" s="372">
        <f>'CARGA DOCENTE'!$H1262</f>
        <v>0</v>
      </c>
      <c r="BA71" s="373" t="str">
        <f>IF(OR(AZ71="TC",AZ71="MT"),'CARGA DOCENTE'!$A1262," ")</f>
        <v xml:space="preserve"> </v>
      </c>
      <c r="BB71" s="374" t="str">
        <f>IF(OR(AZ71="TC",AZ71="MT"),'CARGA DOCENTE'!$B1262," ")</f>
        <v xml:space="preserve"> </v>
      </c>
      <c r="BC71" s="374" t="str">
        <f>IF(OR(AZ71="TC",AZ71="MT"),'CARGA DOCENTE'!$C1262," ")</f>
        <v xml:space="preserve"> </v>
      </c>
      <c r="BD71" s="374" t="str">
        <f>IF(OR(AZ71="TC",AZ71="MT"),'CARGA DOCENTE'!$G1262," ")</f>
        <v xml:space="preserve"> </v>
      </c>
      <c r="BE71" s="372">
        <f>'CARGA DOCENTE'!$H1263</f>
        <v>0</v>
      </c>
      <c r="BF71" s="373" t="str">
        <f>IF(OR(BE71="TC",BE71="MT"),'CARGA DOCENTE'!$A1263," ")</f>
        <v xml:space="preserve"> </v>
      </c>
      <c r="BG71" s="374" t="str">
        <f>IF(OR(BE71="TC",BE71="MT"),'CARGA DOCENTE'!$B1263," ")</f>
        <v xml:space="preserve"> </v>
      </c>
      <c r="BH71" s="374" t="str">
        <f>IF(OR(BE71="TC",BE71="MT"),'CARGA DOCENTE'!$C1263," ")</f>
        <v xml:space="preserve"> </v>
      </c>
      <c r="BI71" s="374" t="str">
        <f>IF(OR(BE71="TC",BE71="MT"),'CARGA DOCENTE'!$G1263," ")</f>
        <v xml:space="preserve"> </v>
      </c>
      <c r="BJ71" s="372">
        <f>'CARGA DOCENTE'!$H1264</f>
        <v>0</v>
      </c>
      <c r="BK71" s="373" t="str">
        <f>IF(OR(BJ71="TC",BJ71="MT"),'CARGA DOCENTE'!$A1264," ")</f>
        <v xml:space="preserve"> </v>
      </c>
      <c r="BL71" s="374" t="str">
        <f>IF(OR(BJ71="TC",BJ71="MT"),'CARGA DOCENTE'!$B1264," ")</f>
        <v xml:space="preserve"> </v>
      </c>
      <c r="BM71" s="374" t="str">
        <f>IF(OR(BJ71="TC",BJ71="MT"),'CARGA DOCENTE'!$C1264," ")</f>
        <v xml:space="preserve"> </v>
      </c>
      <c r="BN71" s="374" t="str">
        <f>IF(OR(BJ71="TC",BJ71="MT"),'CARGA DOCENTE'!$G1264," ")</f>
        <v xml:space="preserve"> </v>
      </c>
      <c r="BO71" s="372">
        <f>'CARGA DOCENTE'!$H1265</f>
        <v>0</v>
      </c>
      <c r="BP71" s="373" t="str">
        <f>IF(OR(BO71="TC",BO71="MT"),'CARGA DOCENTE'!$A1265," ")</f>
        <v xml:space="preserve"> </v>
      </c>
      <c r="BQ71" s="374" t="str">
        <f>IF(OR(BO71="TC",BO71="MT"),'CARGA DOCENTE'!$B1265," ")</f>
        <v xml:space="preserve"> </v>
      </c>
      <c r="BR71" s="374" t="str">
        <f>IF(OR(BO71="TC",BO71="MT"),'CARGA DOCENTE'!$C1265," ")</f>
        <v xml:space="preserve"> </v>
      </c>
      <c r="BS71" s="374" t="str">
        <f>IF(OR(BO71="TC",BO71="MT"),'CARGA DOCENTE'!$G1265," ")</f>
        <v xml:space="preserve"> </v>
      </c>
      <c r="BT71" s="372">
        <f>'CARGA DOCENTE'!$H1266</f>
        <v>0</v>
      </c>
      <c r="BU71" s="373" t="str">
        <f>IF(OR(BT71="TC",BT71="MT"),'CARGA DOCENTE'!$A1266," ")</f>
        <v xml:space="preserve"> </v>
      </c>
      <c r="BV71" s="374" t="str">
        <f>IF(OR(BT71="TC",BT71="MT"),'CARGA DOCENTE'!$B1266," ")</f>
        <v xml:space="preserve"> </v>
      </c>
      <c r="BW71" s="374" t="str">
        <f>IF(OR(BT71="TC",BT71="MT"),'CARGA DOCENTE'!$C1266," ")</f>
        <v xml:space="preserve"> </v>
      </c>
      <c r="BX71" s="374" t="str">
        <f>IF(OR(BT71="TC",BT71="MT"),'CARGA DOCENTE'!$G1266," ")</f>
        <v xml:space="preserve"> </v>
      </c>
    </row>
    <row r="72" spans="1:76" x14ac:dyDescent="0.2">
      <c r="A72" s="378">
        <f>'CARGA DOCENTE'!J1270</f>
        <v>0</v>
      </c>
      <c r="B72" s="372">
        <f>'CARGA DOCENTE'!$H1270</f>
        <v>0</v>
      </c>
      <c r="C72" s="373" t="str">
        <f>IF(OR(B72="TC",B72="MT"),'CARGA DOCENTE'!$A1270," ")</f>
        <v xml:space="preserve"> </v>
      </c>
      <c r="D72" s="374" t="str">
        <f>IF(OR(B72="TC",B72="MT"),'CARGA DOCENTE'!$B1270," ")</f>
        <v xml:space="preserve"> </v>
      </c>
      <c r="E72" s="374" t="str">
        <f>IF(OR(B72="TC",B72="MT"),'CARGA DOCENTE'!$C1270," ")</f>
        <v xml:space="preserve"> </v>
      </c>
      <c r="F72" s="374" t="str">
        <f>IF(OR(B72="TC",B72="MT"),'CARGA DOCENTE'!$G1270," ")</f>
        <v xml:space="preserve"> </v>
      </c>
      <c r="G72" s="372">
        <f>'CARGA DOCENTE'!$H1271</f>
        <v>0</v>
      </c>
      <c r="H72" s="373" t="str">
        <f>IF(OR(G72="TC",G72="MT"),'CARGA DOCENTE'!$A1271," ")</f>
        <v xml:space="preserve"> </v>
      </c>
      <c r="I72" s="374" t="str">
        <f>IF(OR(G72="TC",G72="MT"),'CARGA DOCENTE'!$B1271," ")</f>
        <v xml:space="preserve"> </v>
      </c>
      <c r="J72" s="374" t="str">
        <f>IF(OR(G72="TC",G72="MT"),'CARGA DOCENTE'!$C1271," ")</f>
        <v xml:space="preserve"> </v>
      </c>
      <c r="K72" s="374" t="str">
        <f>IF(OR(G72="TC",G72="MT"),'CARGA DOCENTE'!$G1271," ")</f>
        <v xml:space="preserve"> </v>
      </c>
      <c r="L72" s="372">
        <f>'CARGA DOCENTE'!$H1272</f>
        <v>0</v>
      </c>
      <c r="M72" s="373" t="str">
        <f>IF(OR(L72="TC",L72="MT"),'CARGA DOCENTE'!$A1272," ")</f>
        <v xml:space="preserve"> </v>
      </c>
      <c r="N72" s="374" t="str">
        <f>IF(OR(L72="TC",L72="MT"),'CARGA DOCENTE'!$B1272," ")</f>
        <v xml:space="preserve"> </v>
      </c>
      <c r="O72" s="374" t="str">
        <f>IF(OR(L72="TC",L72="MT"),'CARGA DOCENTE'!$C1272," ")</f>
        <v xml:space="preserve"> </v>
      </c>
      <c r="P72" s="374" t="str">
        <f>IF(OR(L72="TC",L72="MT"),'CARGA DOCENTE'!$G1272," ")</f>
        <v xml:space="preserve"> </v>
      </c>
      <c r="Q72" s="372">
        <f>'CARGA DOCENTE'!$H1273</f>
        <v>0</v>
      </c>
      <c r="R72" s="373" t="str">
        <f>IF(OR(Q72="TC",Q72="MT"),'CARGA DOCENTE'!$A1273," ")</f>
        <v xml:space="preserve"> </v>
      </c>
      <c r="S72" s="374" t="str">
        <f>IF(OR(Q72="TC",Q72="MT"),'CARGA DOCENTE'!$B1273," ")</f>
        <v xml:space="preserve"> </v>
      </c>
      <c r="T72" s="374" t="str">
        <f>IF(OR(Q72="TC",Q72="MT"),'CARGA DOCENTE'!$C1273," ")</f>
        <v xml:space="preserve"> </v>
      </c>
      <c r="U72" s="374" t="str">
        <f>IF(OR(Q72="TC",Q72="MT"),'CARGA DOCENTE'!$G1273," ")</f>
        <v xml:space="preserve"> </v>
      </c>
      <c r="V72" s="372">
        <f>'CARGA DOCENTE'!$H1274</f>
        <v>0</v>
      </c>
      <c r="W72" s="373" t="str">
        <f>IF(OR(V72="TC",V72="MT"),'CARGA DOCENTE'!$A1274," ")</f>
        <v xml:space="preserve"> </v>
      </c>
      <c r="X72" s="374" t="str">
        <f>IF(OR(V72="TC",V72="MT"),'CARGA DOCENTE'!$B1274," ")</f>
        <v xml:space="preserve"> </v>
      </c>
      <c r="Y72" s="374" t="str">
        <f>IF(OR(V72="TC",V72="MT"),'CARGA DOCENTE'!$C1274," ")</f>
        <v xml:space="preserve"> </v>
      </c>
      <c r="Z72" s="374" t="str">
        <f>IF(OR(V72="TC",V72="MT"),'CARGA DOCENTE'!$G1274," ")</f>
        <v xml:space="preserve"> </v>
      </c>
      <c r="AA72" s="372">
        <f>'CARGA DOCENTE'!$H1275</f>
        <v>0</v>
      </c>
      <c r="AB72" s="373" t="str">
        <f>IF(OR(AA72="TC",AA72="MT"),'CARGA DOCENTE'!$A1275," ")</f>
        <v xml:space="preserve"> </v>
      </c>
      <c r="AC72" s="374" t="str">
        <f>IF(OR(AA72="TC",AA72="MT"),'CARGA DOCENTE'!$B1275," ")</f>
        <v xml:space="preserve"> </v>
      </c>
      <c r="AD72" s="374" t="str">
        <f>IF(OR(AA72="TC",AA72="MT"),'CARGA DOCENTE'!$C1275," ")</f>
        <v xml:space="preserve"> </v>
      </c>
      <c r="AE72" s="374" t="str">
        <f>IF(OR(AA72="TC",AA72="MT"),'CARGA DOCENTE'!$G1275," ")</f>
        <v xml:space="preserve"> </v>
      </c>
      <c r="AF72" s="372">
        <f>'CARGA DOCENTE'!$H1276</f>
        <v>0</v>
      </c>
      <c r="AG72" s="373" t="str">
        <f>IF(OR(AF72="TC",AF72="MT"),'CARGA DOCENTE'!$A1276," ")</f>
        <v xml:space="preserve"> </v>
      </c>
      <c r="AH72" s="374" t="str">
        <f>IF(OR(AF72="TC",AF72="MT"),'CARGA DOCENTE'!$B1276," ")</f>
        <v xml:space="preserve"> </v>
      </c>
      <c r="AI72" s="374" t="str">
        <f>IF(OR(AF72="TC",AF72="MT"),'CARGA DOCENTE'!$C1276," ")</f>
        <v xml:space="preserve"> </v>
      </c>
      <c r="AJ72" s="374" t="str">
        <f>IF(OR(AF72="TC",AF72="MT"),'CARGA DOCENTE'!$G1276," ")</f>
        <v xml:space="preserve"> </v>
      </c>
      <c r="AK72" s="372">
        <f>'CARGA DOCENTE'!$H1277</f>
        <v>0</v>
      </c>
      <c r="AL72" s="373" t="str">
        <f>IF(OR(AK72="TC",AK72="MT"),'CARGA DOCENTE'!$A1277," ")</f>
        <v xml:space="preserve"> </v>
      </c>
      <c r="AM72" s="374" t="str">
        <f>IF(OR(AK72="TC",AK72="MT"),'CARGA DOCENTE'!$B1277," ")</f>
        <v xml:space="preserve"> </v>
      </c>
      <c r="AN72" s="374" t="str">
        <f>IF(OR(AK72="TC",AK72="MT"),'CARGA DOCENTE'!$C1277," ")</f>
        <v xml:space="preserve"> </v>
      </c>
      <c r="AO72" s="374" t="str">
        <f>IF(OR(AK72="TC",AK72="MT"),'CARGA DOCENTE'!$G1277," ")</f>
        <v xml:space="preserve"> </v>
      </c>
      <c r="AP72" s="372">
        <f>'CARGA DOCENTE'!$H1278</f>
        <v>0</v>
      </c>
      <c r="AQ72" s="379" t="str">
        <f>IF(OR(AP72="TC",AP72="MT"),'CARGA DOCENTE'!$A1278," ")</f>
        <v xml:space="preserve"> </v>
      </c>
      <c r="AR72" s="380" t="str">
        <f>IF(OR(AP72="TC",AP72="MT"),'CARGA DOCENTE'!$B1278," ")</f>
        <v xml:space="preserve"> </v>
      </c>
      <c r="AS72" s="380" t="str">
        <f>IF(OR(AP72="TC",AP72="MT"),'CARGA DOCENTE'!$C1278," ")</f>
        <v xml:space="preserve"> </v>
      </c>
      <c r="AT72" s="380" t="str">
        <f>IF(OR(AP72="TC",AP72="MT"),'CARGA DOCENTE'!$G1278," ")</f>
        <v xml:space="preserve"> </v>
      </c>
      <c r="AU72" s="372">
        <f>'CARGA DOCENTE'!$H1279</f>
        <v>0</v>
      </c>
      <c r="AV72" s="373" t="str">
        <f>IF(OR(AU72="TC",AU72="MT"),'CARGA DOCENTE'!$A1279," ")</f>
        <v xml:space="preserve"> </v>
      </c>
      <c r="AW72" s="374" t="str">
        <f>IF(OR(AU72="TC",AU72="MT"),'CARGA DOCENTE'!$B1279," ")</f>
        <v xml:space="preserve"> </v>
      </c>
      <c r="AX72" s="374" t="str">
        <f>IF(OR(AU72="TC",AU72="MT"),'CARGA DOCENTE'!$C1279," ")</f>
        <v xml:space="preserve"> </v>
      </c>
      <c r="AY72" s="374" t="str">
        <f>IF(OR(AU72="TC",AU72="MT"),'CARGA DOCENTE'!$G1279," ")</f>
        <v xml:space="preserve"> </v>
      </c>
      <c r="AZ72" s="372">
        <f>'CARGA DOCENTE'!$H1280</f>
        <v>0</v>
      </c>
      <c r="BA72" s="373" t="str">
        <f>IF(OR(AZ72="TC",AZ72="MT"),'CARGA DOCENTE'!$A1280," ")</f>
        <v xml:space="preserve"> </v>
      </c>
      <c r="BB72" s="374" t="str">
        <f>IF(OR(AZ72="TC",AZ72="MT"),'CARGA DOCENTE'!$B1280," ")</f>
        <v xml:space="preserve"> </v>
      </c>
      <c r="BC72" s="374" t="str">
        <f>IF(OR(AZ72="TC",AZ72="MT"),'CARGA DOCENTE'!$C1280," ")</f>
        <v xml:space="preserve"> </v>
      </c>
      <c r="BD72" s="374" t="str">
        <f>IF(OR(AZ72="TC",AZ72="MT"),'CARGA DOCENTE'!$G1280," ")</f>
        <v xml:space="preserve"> </v>
      </c>
      <c r="BE72" s="372">
        <f>'CARGA DOCENTE'!$H1281</f>
        <v>0</v>
      </c>
      <c r="BF72" s="373" t="str">
        <f>IF(OR(BE72="TC",BE72="MT"),'CARGA DOCENTE'!$A1281," ")</f>
        <v xml:space="preserve"> </v>
      </c>
      <c r="BG72" s="374" t="str">
        <f>IF(OR(BE72="TC",BE72="MT"),'CARGA DOCENTE'!$B1281," ")</f>
        <v xml:space="preserve"> </v>
      </c>
      <c r="BH72" s="374" t="str">
        <f>IF(OR(BE72="TC",BE72="MT"),'CARGA DOCENTE'!$C1281," ")</f>
        <v xml:space="preserve"> </v>
      </c>
      <c r="BI72" s="374" t="str">
        <f>IF(OR(BE72="TC",BE72="MT"),'CARGA DOCENTE'!$G1281," ")</f>
        <v xml:space="preserve"> </v>
      </c>
      <c r="BJ72" s="372">
        <f>'CARGA DOCENTE'!$H1282</f>
        <v>0</v>
      </c>
      <c r="BK72" s="373" t="str">
        <f>IF(OR(BJ72="TC",BJ72="MT"),'CARGA DOCENTE'!$A1282," ")</f>
        <v xml:space="preserve"> </v>
      </c>
      <c r="BL72" s="374" t="str">
        <f>IF(OR(BJ72="TC",BJ72="MT"),'CARGA DOCENTE'!$B1282," ")</f>
        <v xml:space="preserve"> </v>
      </c>
      <c r="BM72" s="374" t="str">
        <f>IF(OR(BJ72="TC",BJ72="MT"),'CARGA DOCENTE'!$C1282," ")</f>
        <v xml:space="preserve"> </v>
      </c>
      <c r="BN72" s="374" t="str">
        <f>IF(OR(BJ72="TC",BJ72="MT"),'CARGA DOCENTE'!$G1282," ")</f>
        <v xml:space="preserve"> </v>
      </c>
      <c r="BO72" s="372">
        <f>'CARGA DOCENTE'!$H1283</f>
        <v>0</v>
      </c>
      <c r="BP72" s="373" t="str">
        <f>IF(OR(BO72="TC",BO72="MT"),'CARGA DOCENTE'!$A1283," ")</f>
        <v xml:space="preserve"> </v>
      </c>
      <c r="BQ72" s="374" t="str">
        <f>IF(OR(BO72="TC",BO72="MT"),'CARGA DOCENTE'!$B1283," ")</f>
        <v xml:space="preserve"> </v>
      </c>
      <c r="BR72" s="374" t="str">
        <f>IF(OR(BO72="TC",BO72="MT"),'CARGA DOCENTE'!$C1283," ")</f>
        <v xml:space="preserve"> </v>
      </c>
      <c r="BS72" s="374" t="str">
        <f>IF(OR(BO72="TC",BO72="MT"),'CARGA DOCENTE'!$G1283," ")</f>
        <v xml:space="preserve"> </v>
      </c>
      <c r="BT72" s="372">
        <f>'CARGA DOCENTE'!$H1284</f>
        <v>0</v>
      </c>
      <c r="BU72" s="373" t="str">
        <f>IF(OR(BT72="TC",BT72="MT"),'CARGA DOCENTE'!$A1284," ")</f>
        <v xml:space="preserve"> </v>
      </c>
      <c r="BV72" s="374" t="str">
        <f>IF(OR(BT72="TC",BT72="MT"),'CARGA DOCENTE'!$B1284," ")</f>
        <v xml:space="preserve"> </v>
      </c>
      <c r="BW72" s="374" t="str">
        <f>IF(OR(BT72="TC",BT72="MT"),'CARGA DOCENTE'!$C1284," ")</f>
        <v xml:space="preserve"> </v>
      </c>
      <c r="BX72" s="374" t="str">
        <f>IF(OR(BT72="TC",BT72="MT"),'CARGA DOCENTE'!$G1284," ")</f>
        <v xml:space="preserve"> </v>
      </c>
    </row>
    <row r="73" spans="1:76" x14ac:dyDescent="0.2">
      <c r="A73" s="378">
        <f>'CARGA DOCENTE'!J1288</f>
        <v>0</v>
      </c>
      <c r="B73" s="372">
        <f>'CARGA DOCENTE'!$H1288</f>
        <v>0</v>
      </c>
      <c r="C73" s="373" t="str">
        <f>IF(OR(B73="TC",B73="MT"),'CARGA DOCENTE'!$A1288," ")</f>
        <v xml:space="preserve"> </v>
      </c>
      <c r="D73" s="374" t="str">
        <f>IF(OR(B73="TC",B73="MT"),'CARGA DOCENTE'!$B1288," ")</f>
        <v xml:space="preserve"> </v>
      </c>
      <c r="E73" s="374" t="str">
        <f>IF(OR(B73="TC",B73="MT"),'CARGA DOCENTE'!$C1288," ")</f>
        <v xml:space="preserve"> </v>
      </c>
      <c r="F73" s="374" t="str">
        <f>IF(OR(B73="TC",B73="MT"),'CARGA DOCENTE'!$G1288," ")</f>
        <v xml:space="preserve"> </v>
      </c>
      <c r="G73" s="372">
        <f>'CARGA DOCENTE'!$H1289</f>
        <v>0</v>
      </c>
      <c r="H73" s="373" t="str">
        <f>IF(OR(G73="TC",G73="MT"),'CARGA DOCENTE'!$A1289," ")</f>
        <v xml:space="preserve"> </v>
      </c>
      <c r="I73" s="374" t="str">
        <f>IF(OR(G73="TC",G73="MT"),'CARGA DOCENTE'!$B1289," ")</f>
        <v xml:space="preserve"> </v>
      </c>
      <c r="J73" s="374" t="str">
        <f>IF(OR(G73="TC",G73="MT"),'CARGA DOCENTE'!$C1289," ")</f>
        <v xml:space="preserve"> </v>
      </c>
      <c r="K73" s="374" t="str">
        <f>IF(OR(G73="TC",G73="MT"),'CARGA DOCENTE'!$G1289," ")</f>
        <v xml:space="preserve"> </v>
      </c>
      <c r="L73" s="372">
        <f>'CARGA DOCENTE'!$H1290</f>
        <v>0</v>
      </c>
      <c r="M73" s="373" t="str">
        <f>IF(OR(L73="TC",L73="MT"),'CARGA DOCENTE'!$A1290," ")</f>
        <v xml:space="preserve"> </v>
      </c>
      <c r="N73" s="374" t="str">
        <f>IF(OR(L73="TC",L73="MT"),'CARGA DOCENTE'!$B1290," ")</f>
        <v xml:space="preserve"> </v>
      </c>
      <c r="O73" s="374" t="str">
        <f>IF(OR(L73="TC",L73="MT"),'CARGA DOCENTE'!$C1290," ")</f>
        <v xml:space="preserve"> </v>
      </c>
      <c r="P73" s="374" t="str">
        <f>IF(OR(L73="TC",L73="MT"),'CARGA DOCENTE'!$G1290," ")</f>
        <v xml:space="preserve"> </v>
      </c>
      <c r="Q73" s="372">
        <f>'CARGA DOCENTE'!$H1291</f>
        <v>0</v>
      </c>
      <c r="R73" s="373" t="str">
        <f>IF(OR(Q73="TC",Q73="MT"),'CARGA DOCENTE'!$A1291," ")</f>
        <v xml:space="preserve"> </v>
      </c>
      <c r="S73" s="374" t="str">
        <f>IF(OR(Q73="TC",Q73="MT"),'CARGA DOCENTE'!$B1291," ")</f>
        <v xml:space="preserve"> </v>
      </c>
      <c r="T73" s="374" t="str">
        <f>IF(OR(Q73="TC",Q73="MT"),'CARGA DOCENTE'!$C1291," ")</f>
        <v xml:space="preserve"> </v>
      </c>
      <c r="U73" s="374" t="str">
        <f>IF(OR(Q73="TC",Q73="MT"),'CARGA DOCENTE'!$G1291," ")</f>
        <v xml:space="preserve"> </v>
      </c>
      <c r="V73" s="372">
        <f>'CARGA DOCENTE'!$H1292</f>
        <v>0</v>
      </c>
      <c r="W73" s="373" t="str">
        <f>IF(OR(V73="TC",V73="MT"),'CARGA DOCENTE'!$A1292," ")</f>
        <v xml:space="preserve"> </v>
      </c>
      <c r="X73" s="374" t="str">
        <f>IF(OR(V73="TC",V73="MT"),'CARGA DOCENTE'!$B1292," ")</f>
        <v xml:space="preserve"> </v>
      </c>
      <c r="Y73" s="374" t="str">
        <f>IF(OR(V73="TC",V73="MT"),'CARGA DOCENTE'!$C1292," ")</f>
        <v xml:space="preserve"> </v>
      </c>
      <c r="Z73" s="374" t="str">
        <f>IF(OR(V73="TC",V73="MT"),'CARGA DOCENTE'!$G1292," ")</f>
        <v xml:space="preserve"> </v>
      </c>
      <c r="AA73" s="372">
        <f>'CARGA DOCENTE'!$H1293</f>
        <v>0</v>
      </c>
      <c r="AB73" s="373" t="str">
        <f>IF(OR(AA73="TC",AA73="MT"),'CARGA DOCENTE'!$A1293," ")</f>
        <v xml:space="preserve"> </v>
      </c>
      <c r="AC73" s="374" t="str">
        <f>IF(OR(AA73="TC",AA73="MT"),'CARGA DOCENTE'!$B1293," ")</f>
        <v xml:space="preserve"> </v>
      </c>
      <c r="AD73" s="374" t="str">
        <f>IF(OR(AA73="TC",AA73="MT"),'CARGA DOCENTE'!$C1293," ")</f>
        <v xml:space="preserve"> </v>
      </c>
      <c r="AE73" s="374" t="str">
        <f>IF(OR(AA73="TC",AA73="MT"),'CARGA DOCENTE'!$G1293," ")</f>
        <v xml:space="preserve"> </v>
      </c>
      <c r="AF73" s="372">
        <f>'CARGA DOCENTE'!$H1294</f>
        <v>0</v>
      </c>
      <c r="AG73" s="373" t="str">
        <f>IF(OR(AF73="TC",AF73="MT"),'CARGA DOCENTE'!$A1294," ")</f>
        <v xml:space="preserve"> </v>
      </c>
      <c r="AH73" s="374" t="str">
        <f>IF(OR(AF73="TC",AF73="MT"),'CARGA DOCENTE'!$B1294," ")</f>
        <v xml:space="preserve"> </v>
      </c>
      <c r="AI73" s="374" t="str">
        <f>IF(OR(AF73="TC",AF73="MT"),'CARGA DOCENTE'!$C1294," ")</f>
        <v xml:space="preserve"> </v>
      </c>
      <c r="AJ73" s="374" t="str">
        <f>IF(OR(AF73="TC",AF73="MT"),'CARGA DOCENTE'!$G1294," ")</f>
        <v xml:space="preserve"> </v>
      </c>
      <c r="AK73" s="372">
        <f>'CARGA DOCENTE'!$H1295</f>
        <v>0</v>
      </c>
      <c r="AL73" s="373" t="str">
        <f>IF(OR(AK73="TC",AK73="MT"),'CARGA DOCENTE'!$A1295," ")</f>
        <v xml:space="preserve"> </v>
      </c>
      <c r="AM73" s="374" t="str">
        <f>IF(OR(AK73="TC",AK73="MT"),'CARGA DOCENTE'!$B1295," ")</f>
        <v xml:space="preserve"> </v>
      </c>
      <c r="AN73" s="374" t="str">
        <f>IF(OR(AK73="TC",AK73="MT"),'CARGA DOCENTE'!$C1295," ")</f>
        <v xml:space="preserve"> </v>
      </c>
      <c r="AO73" s="374" t="str">
        <f>IF(OR(AK73="TC",AK73="MT"),'CARGA DOCENTE'!$G1295," ")</f>
        <v xml:space="preserve"> </v>
      </c>
      <c r="AP73" s="372">
        <f>'CARGA DOCENTE'!$H1296</f>
        <v>0</v>
      </c>
      <c r="AQ73" s="379" t="str">
        <f>IF(OR(AP73="TC",AP73="MT"),'CARGA DOCENTE'!$A1296," ")</f>
        <v xml:space="preserve"> </v>
      </c>
      <c r="AR73" s="380" t="str">
        <f>IF(OR(AP73="TC",AP73="MT"),'CARGA DOCENTE'!$B1296," ")</f>
        <v xml:space="preserve"> </v>
      </c>
      <c r="AS73" s="380" t="str">
        <f>IF(OR(AP73="TC",AP73="MT"),'CARGA DOCENTE'!$C1296," ")</f>
        <v xml:space="preserve"> </v>
      </c>
      <c r="AT73" s="380" t="str">
        <f>IF(OR(AP73="TC",AP73="MT"),'CARGA DOCENTE'!$G1296," ")</f>
        <v xml:space="preserve"> </v>
      </c>
      <c r="AU73" s="372">
        <f>'CARGA DOCENTE'!$H1297</f>
        <v>0</v>
      </c>
      <c r="AV73" s="373" t="str">
        <f>IF(OR(AU73="TC",AU73="MT"),'CARGA DOCENTE'!$A1297," ")</f>
        <v xml:space="preserve"> </v>
      </c>
      <c r="AW73" s="374" t="str">
        <f>IF(OR(AU73="TC",AU73="MT"),'CARGA DOCENTE'!$B1297," ")</f>
        <v xml:space="preserve"> </v>
      </c>
      <c r="AX73" s="374" t="str">
        <f>IF(OR(AU73="TC",AU73="MT"),'CARGA DOCENTE'!$C1297," ")</f>
        <v xml:space="preserve"> </v>
      </c>
      <c r="AY73" s="374" t="str">
        <f>IF(OR(AU73="TC",AU73="MT"),'CARGA DOCENTE'!$G1297," ")</f>
        <v xml:space="preserve"> </v>
      </c>
      <c r="AZ73" s="372">
        <f>'CARGA DOCENTE'!$H1298</f>
        <v>0</v>
      </c>
      <c r="BA73" s="373" t="str">
        <f>IF(OR(AZ73="TC",AZ73="MT"),'CARGA DOCENTE'!$A1298," ")</f>
        <v xml:space="preserve"> </v>
      </c>
      <c r="BB73" s="374" t="str">
        <f>IF(OR(AZ73="TC",AZ73="MT"),'CARGA DOCENTE'!$B1298," ")</f>
        <v xml:space="preserve"> </v>
      </c>
      <c r="BC73" s="374" t="str">
        <f>IF(OR(AZ73="TC",AZ73="MT"),'CARGA DOCENTE'!$C1298," ")</f>
        <v xml:space="preserve"> </v>
      </c>
      <c r="BD73" s="374" t="str">
        <f>IF(OR(AZ73="TC",AZ73="MT"),'CARGA DOCENTE'!$G1298," ")</f>
        <v xml:space="preserve"> </v>
      </c>
      <c r="BE73" s="372">
        <f>'CARGA DOCENTE'!$H1299</f>
        <v>0</v>
      </c>
      <c r="BF73" s="373" t="str">
        <f>IF(OR(BE73="TC",BE73="MT"),'CARGA DOCENTE'!$A1299," ")</f>
        <v xml:space="preserve"> </v>
      </c>
      <c r="BG73" s="374" t="str">
        <f>IF(OR(BE73="TC",BE73="MT"),'CARGA DOCENTE'!$B1299," ")</f>
        <v xml:space="preserve"> </v>
      </c>
      <c r="BH73" s="374" t="str">
        <f>IF(OR(BE73="TC",BE73="MT"),'CARGA DOCENTE'!$C1299," ")</f>
        <v xml:space="preserve"> </v>
      </c>
      <c r="BI73" s="374" t="str">
        <f>IF(OR(BE73="TC",BE73="MT"),'CARGA DOCENTE'!$G1299," ")</f>
        <v xml:space="preserve"> </v>
      </c>
      <c r="BJ73" s="372">
        <f>'CARGA DOCENTE'!$H1300</f>
        <v>0</v>
      </c>
      <c r="BK73" s="373" t="str">
        <f>IF(OR(BJ73="TC",BJ73="MT"),'CARGA DOCENTE'!$A1300," ")</f>
        <v xml:space="preserve"> </v>
      </c>
      <c r="BL73" s="374" t="str">
        <f>IF(OR(BJ73="TC",BJ73="MT"),'CARGA DOCENTE'!$B1300," ")</f>
        <v xml:space="preserve"> </v>
      </c>
      <c r="BM73" s="374" t="str">
        <f>IF(OR(BJ73="TC",BJ73="MT"),'CARGA DOCENTE'!$C1300," ")</f>
        <v xml:space="preserve"> </v>
      </c>
      <c r="BN73" s="374" t="str">
        <f>IF(OR(BJ73="TC",BJ73="MT"),'CARGA DOCENTE'!$G1300," ")</f>
        <v xml:space="preserve"> </v>
      </c>
      <c r="BO73" s="372">
        <f>'CARGA DOCENTE'!$H1301</f>
        <v>0</v>
      </c>
      <c r="BP73" s="373" t="str">
        <f>IF(OR(BO73="TC",BO73="MT"),'CARGA DOCENTE'!$A1301," ")</f>
        <v xml:space="preserve"> </v>
      </c>
      <c r="BQ73" s="374" t="str">
        <f>IF(OR(BO73="TC",BO73="MT"),'CARGA DOCENTE'!$B1301," ")</f>
        <v xml:space="preserve"> </v>
      </c>
      <c r="BR73" s="374" t="str">
        <f>IF(OR(BO73="TC",BO73="MT"),'CARGA DOCENTE'!$C1301," ")</f>
        <v xml:space="preserve"> </v>
      </c>
      <c r="BS73" s="374" t="str">
        <f>IF(OR(BO73="TC",BO73="MT"),'CARGA DOCENTE'!$G1301," ")</f>
        <v xml:space="preserve"> </v>
      </c>
      <c r="BT73" s="372">
        <f>'CARGA DOCENTE'!$H1302</f>
        <v>0</v>
      </c>
      <c r="BU73" s="373" t="str">
        <f>IF(OR(BT73="TC",BT73="MT"),'CARGA DOCENTE'!$A1302," ")</f>
        <v xml:space="preserve"> </v>
      </c>
      <c r="BV73" s="374" t="str">
        <f>IF(OR(BT73="TC",BT73="MT"),'CARGA DOCENTE'!$B1302," ")</f>
        <v xml:space="preserve"> </v>
      </c>
      <c r="BW73" s="374" t="str">
        <f>IF(OR(BT73="TC",BT73="MT"),'CARGA DOCENTE'!$C1302," ")</f>
        <v xml:space="preserve"> </v>
      </c>
      <c r="BX73" s="374" t="str">
        <f>IF(OR(BT73="TC",BT73="MT"),'CARGA DOCENTE'!$G1302," ")</f>
        <v xml:space="preserve"> </v>
      </c>
    </row>
    <row r="74" spans="1:76" x14ac:dyDescent="0.2">
      <c r="A74" s="378">
        <f>'CARGA DOCENTE'!J1306</f>
        <v>0</v>
      </c>
      <c r="B74" s="372">
        <f>'CARGA DOCENTE'!$H1306</f>
        <v>0</v>
      </c>
      <c r="C74" s="373" t="str">
        <f>IF(OR(B74="TC",B74="MT"),'CARGA DOCENTE'!$A1306," ")</f>
        <v xml:space="preserve"> </v>
      </c>
      <c r="D74" s="374" t="str">
        <f>IF(OR(B74="TC",B74="MT"),'CARGA DOCENTE'!$B1306," ")</f>
        <v xml:space="preserve"> </v>
      </c>
      <c r="E74" s="374" t="str">
        <f>IF(OR(B74="TC",B74="MT"),'CARGA DOCENTE'!$C1306," ")</f>
        <v xml:space="preserve"> </v>
      </c>
      <c r="F74" s="374" t="str">
        <f>IF(OR(B74="TC",B74="MT"),'CARGA DOCENTE'!$G1306," ")</f>
        <v xml:space="preserve"> </v>
      </c>
      <c r="G74" s="372">
        <f>'CARGA DOCENTE'!$H1307</f>
        <v>0</v>
      </c>
      <c r="H74" s="373" t="str">
        <f>IF(OR(G74="TC",G74="MT"),'CARGA DOCENTE'!$A1307," ")</f>
        <v xml:space="preserve"> </v>
      </c>
      <c r="I74" s="374" t="str">
        <f>IF(OR(G74="TC",G74="MT"),'CARGA DOCENTE'!$B1307," ")</f>
        <v xml:space="preserve"> </v>
      </c>
      <c r="J74" s="374" t="str">
        <f>IF(OR(G74="TC",G74="MT"),'CARGA DOCENTE'!$C1307," ")</f>
        <v xml:space="preserve"> </v>
      </c>
      <c r="K74" s="374" t="str">
        <f>IF(OR(G74="TC",G74="MT"),'CARGA DOCENTE'!$G1307," ")</f>
        <v xml:space="preserve"> </v>
      </c>
      <c r="L74" s="372">
        <f>'CARGA DOCENTE'!$H1308</f>
        <v>0</v>
      </c>
      <c r="M74" s="373" t="str">
        <f>IF(OR(L74="TC",L74="MT"),'CARGA DOCENTE'!$A1308," ")</f>
        <v xml:space="preserve"> </v>
      </c>
      <c r="N74" s="374" t="str">
        <f>IF(OR(L74="TC",L74="MT"),'CARGA DOCENTE'!$B1308," ")</f>
        <v xml:space="preserve"> </v>
      </c>
      <c r="O74" s="374" t="str">
        <f>IF(OR(L74="TC",L74="MT"),'CARGA DOCENTE'!$C1308," ")</f>
        <v xml:space="preserve"> </v>
      </c>
      <c r="P74" s="374" t="str">
        <f>IF(OR(L74="TC",L74="MT"),'CARGA DOCENTE'!$G1308," ")</f>
        <v xml:space="preserve"> </v>
      </c>
      <c r="Q74" s="372">
        <f>'CARGA DOCENTE'!$H1309</f>
        <v>0</v>
      </c>
      <c r="R74" s="373" t="str">
        <f>IF(OR(Q74="TC",Q74="MT"),'CARGA DOCENTE'!$A1309," ")</f>
        <v xml:space="preserve"> </v>
      </c>
      <c r="S74" s="374" t="str">
        <f>IF(OR(Q74="TC",Q74="MT"),'CARGA DOCENTE'!$B1309," ")</f>
        <v xml:space="preserve"> </v>
      </c>
      <c r="T74" s="374" t="str">
        <f>IF(OR(Q74="TC",Q74="MT"),'CARGA DOCENTE'!$C1309," ")</f>
        <v xml:space="preserve"> </v>
      </c>
      <c r="U74" s="374" t="str">
        <f>IF(OR(Q74="TC",Q74="MT"),'CARGA DOCENTE'!$G1309," ")</f>
        <v xml:space="preserve"> </v>
      </c>
      <c r="V74" s="372">
        <f>'CARGA DOCENTE'!$H1310</f>
        <v>0</v>
      </c>
      <c r="W74" s="373" t="str">
        <f>IF(OR(V74="TC",V74="MT"),'CARGA DOCENTE'!$A1310," ")</f>
        <v xml:space="preserve"> </v>
      </c>
      <c r="X74" s="374" t="str">
        <f>IF(OR(V74="TC",V74="MT"),'CARGA DOCENTE'!$B1310," ")</f>
        <v xml:space="preserve"> </v>
      </c>
      <c r="Y74" s="374" t="str">
        <f>IF(OR(V74="TC",V74="MT"),'CARGA DOCENTE'!$C1310," ")</f>
        <v xml:space="preserve"> </v>
      </c>
      <c r="Z74" s="374" t="str">
        <f>IF(OR(V74="TC",V74="MT"),'CARGA DOCENTE'!$G1310," ")</f>
        <v xml:space="preserve"> </v>
      </c>
      <c r="AA74" s="372">
        <f>'CARGA DOCENTE'!$H1311</f>
        <v>0</v>
      </c>
      <c r="AB74" s="373" t="str">
        <f>IF(OR(AA74="TC",AA74="MT"),'CARGA DOCENTE'!$A1311," ")</f>
        <v xml:space="preserve"> </v>
      </c>
      <c r="AC74" s="374" t="str">
        <f>IF(OR(AA74="TC",AA74="MT"),'CARGA DOCENTE'!$B1311," ")</f>
        <v xml:space="preserve"> </v>
      </c>
      <c r="AD74" s="374" t="str">
        <f>IF(OR(AA74="TC",AA74="MT"),'CARGA DOCENTE'!$C1311," ")</f>
        <v xml:space="preserve"> </v>
      </c>
      <c r="AE74" s="374" t="str">
        <f>IF(OR(AA74="TC",AA74="MT"),'CARGA DOCENTE'!$G1311," ")</f>
        <v xml:space="preserve"> </v>
      </c>
      <c r="AF74" s="372">
        <f>'CARGA DOCENTE'!$H1312</f>
        <v>0</v>
      </c>
      <c r="AG74" s="373" t="str">
        <f>IF(OR(AF74="TC",AF74="MT"),'CARGA DOCENTE'!$A1312," ")</f>
        <v xml:space="preserve"> </v>
      </c>
      <c r="AH74" s="374" t="str">
        <f>IF(OR(AF74="TC",AF74="MT"),'CARGA DOCENTE'!$B1312," ")</f>
        <v xml:space="preserve"> </v>
      </c>
      <c r="AI74" s="374" t="str">
        <f>IF(OR(AF74="TC",AF74="MT"),'CARGA DOCENTE'!$C1312," ")</f>
        <v xml:space="preserve"> </v>
      </c>
      <c r="AJ74" s="374" t="str">
        <f>IF(OR(AF74="TC",AF74="MT"),'CARGA DOCENTE'!$G1312," ")</f>
        <v xml:space="preserve"> </v>
      </c>
      <c r="AK74" s="372">
        <f>'CARGA DOCENTE'!$H1313</f>
        <v>0</v>
      </c>
      <c r="AL74" s="373" t="str">
        <f>IF(OR(AK74="TC",AK74="MT"),'CARGA DOCENTE'!$A1313," ")</f>
        <v xml:space="preserve"> </v>
      </c>
      <c r="AM74" s="374" t="str">
        <f>IF(OR(AK74="TC",AK74="MT"),'CARGA DOCENTE'!$B1313," ")</f>
        <v xml:space="preserve"> </v>
      </c>
      <c r="AN74" s="374" t="str">
        <f>IF(OR(AK74="TC",AK74="MT"),'CARGA DOCENTE'!$C1313," ")</f>
        <v xml:space="preserve"> </v>
      </c>
      <c r="AO74" s="374" t="str">
        <f>IF(OR(AK74="TC",AK74="MT"),'CARGA DOCENTE'!$G1313," ")</f>
        <v xml:space="preserve"> </v>
      </c>
      <c r="AP74" s="372">
        <f>'CARGA DOCENTE'!$H1314</f>
        <v>0</v>
      </c>
      <c r="AQ74" s="379" t="str">
        <f>IF(OR(AP74="TC",AP74="MT"),'CARGA DOCENTE'!$A1314," ")</f>
        <v xml:space="preserve"> </v>
      </c>
      <c r="AR74" s="380" t="str">
        <f>IF(OR(AP74="TC",AP74="MT"),'CARGA DOCENTE'!$B1314," ")</f>
        <v xml:space="preserve"> </v>
      </c>
      <c r="AS74" s="380" t="str">
        <f>IF(OR(AP74="TC",AP74="MT"),'CARGA DOCENTE'!$C1314," ")</f>
        <v xml:space="preserve"> </v>
      </c>
      <c r="AT74" s="380" t="str">
        <f>IF(OR(AP74="TC",AP74="MT"),'CARGA DOCENTE'!$G1314," ")</f>
        <v xml:space="preserve"> </v>
      </c>
      <c r="AU74" s="372">
        <f>'CARGA DOCENTE'!$H1315</f>
        <v>0</v>
      </c>
      <c r="AV74" s="373" t="str">
        <f>IF(OR(AU74="TC",AU74="MT"),'CARGA DOCENTE'!$A1315," ")</f>
        <v xml:space="preserve"> </v>
      </c>
      <c r="AW74" s="374" t="str">
        <f>IF(OR(AU74="TC",AU74="MT"),'CARGA DOCENTE'!$B1315," ")</f>
        <v xml:space="preserve"> </v>
      </c>
      <c r="AX74" s="374" t="str">
        <f>IF(OR(AU74="TC",AU74="MT"),'CARGA DOCENTE'!$C1315," ")</f>
        <v xml:space="preserve"> </v>
      </c>
      <c r="AY74" s="374" t="str">
        <f>IF(OR(AU74="TC",AU74="MT"),'CARGA DOCENTE'!$G1315," ")</f>
        <v xml:space="preserve"> </v>
      </c>
      <c r="AZ74" s="372">
        <f>'CARGA DOCENTE'!$H1316</f>
        <v>0</v>
      </c>
      <c r="BA74" s="373" t="str">
        <f>IF(OR(AZ74="TC",AZ74="MT"),'CARGA DOCENTE'!$A1316," ")</f>
        <v xml:space="preserve"> </v>
      </c>
      <c r="BB74" s="374" t="str">
        <f>IF(OR(AZ74="TC",AZ74="MT"),'CARGA DOCENTE'!$B1316," ")</f>
        <v xml:space="preserve"> </v>
      </c>
      <c r="BC74" s="374" t="str">
        <f>IF(OR(AZ74="TC",AZ74="MT"),'CARGA DOCENTE'!$C1316," ")</f>
        <v xml:space="preserve"> </v>
      </c>
      <c r="BD74" s="374" t="str">
        <f>IF(OR(AZ74="TC",AZ74="MT"),'CARGA DOCENTE'!$G1316," ")</f>
        <v xml:space="preserve"> </v>
      </c>
      <c r="BE74" s="372">
        <f>'CARGA DOCENTE'!$H1317</f>
        <v>0</v>
      </c>
      <c r="BF74" s="373" t="str">
        <f>IF(OR(BE74="TC",BE74="MT"),'CARGA DOCENTE'!$A1317," ")</f>
        <v xml:space="preserve"> </v>
      </c>
      <c r="BG74" s="374" t="str">
        <f>IF(OR(BE74="TC",BE74="MT"),'CARGA DOCENTE'!$B1317," ")</f>
        <v xml:space="preserve"> </v>
      </c>
      <c r="BH74" s="374" t="str">
        <f>IF(OR(BE74="TC",BE74="MT"),'CARGA DOCENTE'!$C1317," ")</f>
        <v xml:space="preserve"> </v>
      </c>
      <c r="BI74" s="374" t="str">
        <f>IF(OR(BE74="TC",BE74="MT"),'CARGA DOCENTE'!$G1317," ")</f>
        <v xml:space="preserve"> </v>
      </c>
      <c r="BJ74" s="372">
        <f>'CARGA DOCENTE'!$H1318</f>
        <v>0</v>
      </c>
      <c r="BK74" s="373" t="str">
        <f>IF(OR(BJ74="TC",BJ74="MT"),'CARGA DOCENTE'!$A1318," ")</f>
        <v xml:space="preserve"> </v>
      </c>
      <c r="BL74" s="374" t="str">
        <f>IF(OR(BJ74="TC",BJ74="MT"),'CARGA DOCENTE'!$B1318," ")</f>
        <v xml:space="preserve"> </v>
      </c>
      <c r="BM74" s="374" t="str">
        <f>IF(OR(BJ74="TC",BJ74="MT"),'CARGA DOCENTE'!$C1318," ")</f>
        <v xml:space="preserve"> </v>
      </c>
      <c r="BN74" s="374" t="str">
        <f>IF(OR(BJ74="TC",BJ74="MT"),'CARGA DOCENTE'!$G1318," ")</f>
        <v xml:space="preserve"> </v>
      </c>
      <c r="BO74" s="372">
        <f>'CARGA DOCENTE'!$H1319</f>
        <v>0</v>
      </c>
      <c r="BP74" s="373" t="str">
        <f>IF(OR(BO74="TC",BO74="MT"),'CARGA DOCENTE'!$A1319," ")</f>
        <v xml:space="preserve"> </v>
      </c>
      <c r="BQ74" s="374" t="str">
        <f>IF(OR(BO74="TC",BO74="MT"),'CARGA DOCENTE'!$B1319," ")</f>
        <v xml:space="preserve"> </v>
      </c>
      <c r="BR74" s="374" t="str">
        <f>IF(OR(BO74="TC",BO74="MT"),'CARGA DOCENTE'!$C1319," ")</f>
        <v xml:space="preserve"> </v>
      </c>
      <c r="BS74" s="374" t="str">
        <f>IF(OR(BO74="TC",BO74="MT"),'CARGA DOCENTE'!$G1319," ")</f>
        <v xml:space="preserve"> </v>
      </c>
      <c r="BT74" s="372">
        <f>'CARGA DOCENTE'!$H1320</f>
        <v>0</v>
      </c>
      <c r="BU74" s="373" t="str">
        <f>IF(OR(BT74="TC",BT74="MT"),'CARGA DOCENTE'!$A1320," ")</f>
        <v xml:space="preserve"> </v>
      </c>
      <c r="BV74" s="374" t="str">
        <f>IF(OR(BT74="TC",BT74="MT"),'CARGA DOCENTE'!$B1320," ")</f>
        <v xml:space="preserve"> </v>
      </c>
      <c r="BW74" s="374" t="str">
        <f>IF(OR(BT74="TC",BT74="MT"),'CARGA DOCENTE'!$C1320," ")</f>
        <v xml:space="preserve"> </v>
      </c>
      <c r="BX74" s="374" t="str">
        <f>IF(OR(BT74="TC",BT74="MT"),'CARGA DOCENTE'!$G1320," ")</f>
        <v xml:space="preserve"> </v>
      </c>
    </row>
    <row r="75" spans="1:76" x14ac:dyDescent="0.2">
      <c r="A75" s="378">
        <f>'CARGA DOCENTE'!J1324</f>
        <v>0</v>
      </c>
      <c r="B75" s="372">
        <f>'CARGA DOCENTE'!$H1324</f>
        <v>0</v>
      </c>
      <c r="C75" s="373" t="str">
        <f>IF(OR(B75="TC",B75="MT"),'CARGA DOCENTE'!$A1324," ")</f>
        <v xml:space="preserve"> </v>
      </c>
      <c r="D75" s="374" t="str">
        <f>IF(OR(B75="TC",B75="MT"),'CARGA DOCENTE'!$B1324," ")</f>
        <v xml:space="preserve"> </v>
      </c>
      <c r="E75" s="374" t="str">
        <f>IF(OR(B75="TC",B75="MT"),'CARGA DOCENTE'!$C1324," ")</f>
        <v xml:space="preserve"> </v>
      </c>
      <c r="F75" s="374" t="str">
        <f>IF(OR(B75="TC",B75="MT"),'CARGA DOCENTE'!$G1324," ")</f>
        <v xml:space="preserve"> </v>
      </c>
      <c r="G75" s="372">
        <f>'CARGA DOCENTE'!$H1325</f>
        <v>0</v>
      </c>
      <c r="H75" s="373" t="str">
        <f>IF(OR(G75="TC",G75="MT"),'CARGA DOCENTE'!$A1325," ")</f>
        <v xml:space="preserve"> </v>
      </c>
      <c r="I75" s="374" t="str">
        <f>IF(OR(G75="TC",G75="MT"),'CARGA DOCENTE'!$B1325," ")</f>
        <v xml:space="preserve"> </v>
      </c>
      <c r="J75" s="374" t="str">
        <f>IF(OR(G75="TC",G75="MT"),'CARGA DOCENTE'!$C1325," ")</f>
        <v xml:space="preserve"> </v>
      </c>
      <c r="K75" s="374" t="str">
        <f>IF(OR(G75="TC",G75="MT"),'CARGA DOCENTE'!$G1325," ")</f>
        <v xml:space="preserve"> </v>
      </c>
      <c r="L75" s="372">
        <f>'CARGA DOCENTE'!$H1326</f>
        <v>0</v>
      </c>
      <c r="M75" s="373" t="str">
        <f>IF(OR(L75="TC",L75="MT"),'CARGA DOCENTE'!$A1326," ")</f>
        <v xml:space="preserve"> </v>
      </c>
      <c r="N75" s="374" t="str">
        <f>IF(OR(L75="TC",L75="MT"),'CARGA DOCENTE'!$B1326," ")</f>
        <v xml:space="preserve"> </v>
      </c>
      <c r="O75" s="374" t="str">
        <f>IF(OR(L75="TC",L75="MT"),'CARGA DOCENTE'!$C1326," ")</f>
        <v xml:space="preserve"> </v>
      </c>
      <c r="P75" s="374" t="str">
        <f>IF(OR(L75="TC",L75="MT"),'CARGA DOCENTE'!$G1326," ")</f>
        <v xml:space="preserve"> </v>
      </c>
      <c r="Q75" s="372">
        <f>'CARGA DOCENTE'!$H1327</f>
        <v>0</v>
      </c>
      <c r="R75" s="373" t="str">
        <f>IF(OR(Q75="TC",Q75="MT"),'CARGA DOCENTE'!$A1327," ")</f>
        <v xml:space="preserve"> </v>
      </c>
      <c r="S75" s="374" t="str">
        <f>IF(OR(Q75="TC",Q75="MT"),'CARGA DOCENTE'!$B1327," ")</f>
        <v xml:space="preserve"> </v>
      </c>
      <c r="T75" s="374" t="str">
        <f>IF(OR(Q75="TC",Q75="MT"),'CARGA DOCENTE'!$C1327," ")</f>
        <v xml:space="preserve"> </v>
      </c>
      <c r="U75" s="374" t="str">
        <f>IF(OR(Q75="TC",Q75="MT"),'CARGA DOCENTE'!$G1327," ")</f>
        <v xml:space="preserve"> </v>
      </c>
      <c r="V75" s="372">
        <f>'CARGA DOCENTE'!$H1328</f>
        <v>0</v>
      </c>
      <c r="W75" s="373" t="str">
        <f>IF(OR(V75="TC",V75="MT"),'CARGA DOCENTE'!$A1328," ")</f>
        <v xml:space="preserve"> </v>
      </c>
      <c r="X75" s="374" t="str">
        <f>IF(OR(V75="TC",V75="MT"),'CARGA DOCENTE'!$B1328," ")</f>
        <v xml:space="preserve"> </v>
      </c>
      <c r="Y75" s="374" t="str">
        <f>IF(OR(V75="TC",V75="MT"),'CARGA DOCENTE'!$C1328," ")</f>
        <v xml:space="preserve"> </v>
      </c>
      <c r="Z75" s="374" t="str">
        <f>IF(OR(V75="TC",V75="MT"),'CARGA DOCENTE'!$G1328," ")</f>
        <v xml:space="preserve"> </v>
      </c>
      <c r="AA75" s="372">
        <f>'CARGA DOCENTE'!$H1329</f>
        <v>0</v>
      </c>
      <c r="AB75" s="373" t="str">
        <f>IF(OR(AA75="TC",AA75="MT"),'CARGA DOCENTE'!$A1329," ")</f>
        <v xml:space="preserve"> </v>
      </c>
      <c r="AC75" s="374" t="str">
        <f>IF(OR(AA75="TC",AA75="MT"),'CARGA DOCENTE'!$B1329," ")</f>
        <v xml:space="preserve"> </v>
      </c>
      <c r="AD75" s="374" t="str">
        <f>IF(OR(AA75="TC",AA75="MT"),'CARGA DOCENTE'!$C1329," ")</f>
        <v xml:space="preserve"> </v>
      </c>
      <c r="AE75" s="374" t="str">
        <f>IF(OR(AA75="TC",AA75="MT"),'CARGA DOCENTE'!$G1329," ")</f>
        <v xml:space="preserve"> </v>
      </c>
      <c r="AF75" s="372">
        <f>'CARGA DOCENTE'!$H1330</f>
        <v>0</v>
      </c>
      <c r="AG75" s="373" t="str">
        <f>IF(OR(AF75="TC",AF75="MT"),'CARGA DOCENTE'!$A1330," ")</f>
        <v xml:space="preserve"> </v>
      </c>
      <c r="AH75" s="374" t="str">
        <f>IF(OR(AF75="TC",AF75="MT"),'CARGA DOCENTE'!$B1330," ")</f>
        <v xml:space="preserve"> </v>
      </c>
      <c r="AI75" s="374" t="str">
        <f>IF(OR(AF75="TC",AF75="MT"),'CARGA DOCENTE'!$C1330," ")</f>
        <v xml:space="preserve"> </v>
      </c>
      <c r="AJ75" s="374" t="str">
        <f>IF(OR(AF75="TC",AF75="MT"),'CARGA DOCENTE'!$G1330," ")</f>
        <v xml:space="preserve"> </v>
      </c>
      <c r="AK75" s="372">
        <f>'CARGA DOCENTE'!$H1331</f>
        <v>0</v>
      </c>
      <c r="AL75" s="373" t="str">
        <f>IF(OR(AK75="TC",AK75="MT"),'CARGA DOCENTE'!$A1331," ")</f>
        <v xml:space="preserve"> </v>
      </c>
      <c r="AM75" s="374" t="str">
        <f>IF(OR(AK75="TC",AK75="MT"),'CARGA DOCENTE'!$B1331," ")</f>
        <v xml:space="preserve"> </v>
      </c>
      <c r="AN75" s="374" t="str">
        <f>IF(OR(AK75="TC",AK75="MT"),'CARGA DOCENTE'!$C1331," ")</f>
        <v xml:space="preserve"> </v>
      </c>
      <c r="AO75" s="374" t="str">
        <f>IF(OR(AK75="TC",AK75="MT"),'CARGA DOCENTE'!$G1331," ")</f>
        <v xml:space="preserve"> </v>
      </c>
      <c r="AP75" s="372">
        <f>'CARGA DOCENTE'!$H1332</f>
        <v>0</v>
      </c>
      <c r="AQ75" s="379" t="str">
        <f>IF(OR(AP75="TC",AP75="MT"),'CARGA DOCENTE'!$A1332," ")</f>
        <v xml:space="preserve"> </v>
      </c>
      <c r="AR75" s="380" t="str">
        <f>IF(OR(AP75="TC",AP75="MT"),'CARGA DOCENTE'!$B1332," ")</f>
        <v xml:space="preserve"> </v>
      </c>
      <c r="AS75" s="380" t="str">
        <f>IF(OR(AP75="TC",AP75="MT"),'CARGA DOCENTE'!$C1332," ")</f>
        <v xml:space="preserve"> </v>
      </c>
      <c r="AT75" s="380" t="str">
        <f>IF(OR(AP75="TC",AP75="MT"),'CARGA DOCENTE'!$G1332," ")</f>
        <v xml:space="preserve"> </v>
      </c>
      <c r="AU75" s="372">
        <f>'CARGA DOCENTE'!$H1333</f>
        <v>0</v>
      </c>
      <c r="AV75" s="373" t="str">
        <f>IF(OR(AU75="TC",AU75="MT"),'CARGA DOCENTE'!$A1333," ")</f>
        <v xml:space="preserve"> </v>
      </c>
      <c r="AW75" s="374" t="str">
        <f>IF(OR(AU75="TC",AU75="MT"),'CARGA DOCENTE'!$B1333," ")</f>
        <v xml:space="preserve"> </v>
      </c>
      <c r="AX75" s="374" t="str">
        <f>IF(OR(AU75="TC",AU75="MT"),'CARGA DOCENTE'!$C1333," ")</f>
        <v xml:space="preserve"> </v>
      </c>
      <c r="AY75" s="374" t="str">
        <f>IF(OR(AU75="TC",AU75="MT"),'CARGA DOCENTE'!$G1333," ")</f>
        <v xml:space="preserve"> </v>
      </c>
      <c r="AZ75" s="372">
        <f>'CARGA DOCENTE'!$H1334</f>
        <v>0</v>
      </c>
      <c r="BA75" s="373" t="str">
        <f>IF(OR(AZ75="TC",AZ75="MT"),'CARGA DOCENTE'!$A1334," ")</f>
        <v xml:space="preserve"> </v>
      </c>
      <c r="BB75" s="374" t="str">
        <f>IF(OR(AZ75="TC",AZ75="MT"),'CARGA DOCENTE'!$B1334," ")</f>
        <v xml:space="preserve"> </v>
      </c>
      <c r="BC75" s="374" t="str">
        <f>IF(OR(AZ75="TC",AZ75="MT"),'CARGA DOCENTE'!$C1334," ")</f>
        <v xml:space="preserve"> </v>
      </c>
      <c r="BD75" s="374" t="str">
        <f>IF(OR(AZ75="TC",AZ75="MT"),'CARGA DOCENTE'!$G1334," ")</f>
        <v xml:space="preserve"> </v>
      </c>
      <c r="BE75" s="372">
        <f>'CARGA DOCENTE'!$H1335</f>
        <v>0</v>
      </c>
      <c r="BF75" s="373" t="str">
        <f>IF(OR(BE75="TC",BE75="MT"),'CARGA DOCENTE'!$A1335," ")</f>
        <v xml:space="preserve"> </v>
      </c>
      <c r="BG75" s="374" t="str">
        <f>IF(OR(BE75="TC",BE75="MT"),'CARGA DOCENTE'!$B1335," ")</f>
        <v xml:space="preserve"> </v>
      </c>
      <c r="BH75" s="374" t="str">
        <f>IF(OR(BE75="TC",BE75="MT"),'CARGA DOCENTE'!$C1335," ")</f>
        <v xml:space="preserve"> </v>
      </c>
      <c r="BI75" s="374" t="str">
        <f>IF(OR(BE75="TC",BE75="MT"),'CARGA DOCENTE'!$G1335," ")</f>
        <v xml:space="preserve"> </v>
      </c>
      <c r="BJ75" s="372">
        <f>'CARGA DOCENTE'!$H1336</f>
        <v>0</v>
      </c>
      <c r="BK75" s="373" t="str">
        <f>IF(OR(BJ75="TC",BJ75="MT"),'CARGA DOCENTE'!$A1336," ")</f>
        <v xml:space="preserve"> </v>
      </c>
      <c r="BL75" s="374" t="str">
        <f>IF(OR(BJ75="TC",BJ75="MT"),'CARGA DOCENTE'!$B1336," ")</f>
        <v xml:space="preserve"> </v>
      </c>
      <c r="BM75" s="374" t="str">
        <f>IF(OR(BJ75="TC",BJ75="MT"),'CARGA DOCENTE'!$C1336," ")</f>
        <v xml:space="preserve"> </v>
      </c>
      <c r="BN75" s="374" t="str">
        <f>IF(OR(BJ75="TC",BJ75="MT"),'CARGA DOCENTE'!$G1336," ")</f>
        <v xml:space="preserve"> </v>
      </c>
      <c r="BO75" s="372">
        <f>'CARGA DOCENTE'!$H1337</f>
        <v>0</v>
      </c>
      <c r="BP75" s="373" t="str">
        <f>IF(OR(BO75="TC",BO75="MT"),'CARGA DOCENTE'!$A1337," ")</f>
        <v xml:space="preserve"> </v>
      </c>
      <c r="BQ75" s="374" t="str">
        <f>IF(OR(BO75="TC",BO75="MT"),'CARGA DOCENTE'!$B1337," ")</f>
        <v xml:space="preserve"> </v>
      </c>
      <c r="BR75" s="374" t="str">
        <f>IF(OR(BO75="TC",BO75="MT"),'CARGA DOCENTE'!$C1337," ")</f>
        <v xml:space="preserve"> </v>
      </c>
      <c r="BS75" s="374" t="str">
        <f>IF(OR(BO75="TC",BO75="MT"),'CARGA DOCENTE'!$G1337," ")</f>
        <v xml:space="preserve"> </v>
      </c>
      <c r="BT75" s="372">
        <f>'CARGA DOCENTE'!$H1338</f>
        <v>0</v>
      </c>
      <c r="BU75" s="373" t="str">
        <f>IF(OR(BT75="TC",BT75="MT"),'CARGA DOCENTE'!$A1338," ")</f>
        <v xml:space="preserve"> </v>
      </c>
      <c r="BV75" s="374" t="str">
        <f>IF(OR(BT75="TC",BT75="MT"),'CARGA DOCENTE'!$B1338," ")</f>
        <v xml:space="preserve"> </v>
      </c>
      <c r="BW75" s="374" t="str">
        <f>IF(OR(BT75="TC",BT75="MT"),'CARGA DOCENTE'!$C1338," ")</f>
        <v xml:space="preserve"> </v>
      </c>
      <c r="BX75" s="374" t="str">
        <f>IF(OR(BT75="TC",BT75="MT"),'CARGA DOCENTE'!$G1338," ")</f>
        <v xml:space="preserve"> </v>
      </c>
    </row>
    <row r="76" spans="1:76" x14ac:dyDescent="0.2">
      <c r="A76" s="378">
        <f>'CARGA DOCENTE'!J1342</f>
        <v>0</v>
      </c>
      <c r="B76" s="372">
        <f>'CARGA DOCENTE'!$H1342</f>
        <v>0</v>
      </c>
      <c r="C76" s="373" t="str">
        <f>IF(OR(B76="TC",B76="MT"),'CARGA DOCENTE'!$A1342," ")</f>
        <v xml:space="preserve"> </v>
      </c>
      <c r="D76" s="374" t="str">
        <f>IF(OR(B76="TC",B76="MT"),'CARGA DOCENTE'!$B1342," ")</f>
        <v xml:space="preserve"> </v>
      </c>
      <c r="E76" s="374" t="str">
        <f>IF(OR(B76="TC",B76="MT"),'CARGA DOCENTE'!$C1342," ")</f>
        <v xml:space="preserve"> </v>
      </c>
      <c r="F76" s="374" t="str">
        <f>IF(OR(B76="TC",B76="MT"),'CARGA DOCENTE'!$G1342," ")</f>
        <v xml:space="preserve"> </v>
      </c>
      <c r="G76" s="372">
        <f>'CARGA DOCENTE'!$H1343</f>
        <v>0</v>
      </c>
      <c r="H76" s="373" t="str">
        <f>IF(OR(G76="TC",G76="MT"),'CARGA DOCENTE'!$A1343," ")</f>
        <v xml:space="preserve"> </v>
      </c>
      <c r="I76" s="374" t="str">
        <f>IF(OR(G76="TC",G76="MT"),'CARGA DOCENTE'!$B1343," ")</f>
        <v xml:space="preserve"> </v>
      </c>
      <c r="J76" s="374" t="str">
        <f>IF(OR(G76="TC",G76="MT"),'CARGA DOCENTE'!$C1343," ")</f>
        <v xml:space="preserve"> </v>
      </c>
      <c r="K76" s="374" t="str">
        <f>IF(OR(G76="TC",G76="MT"),'CARGA DOCENTE'!$G1343," ")</f>
        <v xml:space="preserve"> </v>
      </c>
      <c r="L76" s="372">
        <f>'CARGA DOCENTE'!$H1344</f>
        <v>0</v>
      </c>
      <c r="M76" s="373" t="str">
        <f>IF(OR(L76="TC",L76="MT"),'CARGA DOCENTE'!$A1344," ")</f>
        <v xml:space="preserve"> </v>
      </c>
      <c r="N76" s="374" t="str">
        <f>IF(OR(L76="TC",L76="MT"),'CARGA DOCENTE'!$B1344," ")</f>
        <v xml:space="preserve"> </v>
      </c>
      <c r="O76" s="374" t="str">
        <f>IF(OR(L76="TC",L76="MT"),'CARGA DOCENTE'!$C1344," ")</f>
        <v xml:space="preserve"> </v>
      </c>
      <c r="P76" s="374" t="str">
        <f>IF(OR(L76="TC",L76="MT"),'CARGA DOCENTE'!$G1344," ")</f>
        <v xml:space="preserve"> </v>
      </c>
      <c r="Q76" s="372">
        <f>'CARGA DOCENTE'!$H1345</f>
        <v>0</v>
      </c>
      <c r="R76" s="373" t="str">
        <f>IF(OR(Q76="TC",Q76="MT"),'CARGA DOCENTE'!$A1345," ")</f>
        <v xml:space="preserve"> </v>
      </c>
      <c r="S76" s="374" t="str">
        <f>IF(OR(Q76="TC",Q76="MT"),'CARGA DOCENTE'!$B1345," ")</f>
        <v xml:space="preserve"> </v>
      </c>
      <c r="T76" s="374" t="str">
        <f>IF(OR(Q76="TC",Q76="MT"),'CARGA DOCENTE'!$C1345," ")</f>
        <v xml:space="preserve"> </v>
      </c>
      <c r="U76" s="374" t="str">
        <f>IF(OR(Q76="TC",Q76="MT"),'CARGA DOCENTE'!$G1345," ")</f>
        <v xml:space="preserve"> </v>
      </c>
      <c r="V76" s="372">
        <f>'CARGA DOCENTE'!$H1346</f>
        <v>0</v>
      </c>
      <c r="W76" s="373" t="str">
        <f>IF(OR(V76="TC",V76="MT"),'CARGA DOCENTE'!$A1346," ")</f>
        <v xml:space="preserve"> </v>
      </c>
      <c r="X76" s="374" t="str">
        <f>IF(OR(V76="TC",V76="MT"),'CARGA DOCENTE'!$B1346," ")</f>
        <v xml:space="preserve"> </v>
      </c>
      <c r="Y76" s="374" t="str">
        <f>IF(OR(V76="TC",V76="MT"),'CARGA DOCENTE'!$C1346," ")</f>
        <v xml:space="preserve"> </v>
      </c>
      <c r="Z76" s="374" t="str">
        <f>IF(OR(V76="TC",V76="MT"),'CARGA DOCENTE'!$G1346," ")</f>
        <v xml:space="preserve"> </v>
      </c>
      <c r="AA76" s="372">
        <f>'CARGA DOCENTE'!$H1347</f>
        <v>0</v>
      </c>
      <c r="AB76" s="373" t="str">
        <f>IF(OR(AA76="TC",AA76="MT"),'CARGA DOCENTE'!$A1347," ")</f>
        <v xml:space="preserve"> </v>
      </c>
      <c r="AC76" s="374" t="str">
        <f>IF(OR(AA76="TC",AA76="MT"),'CARGA DOCENTE'!$B1347," ")</f>
        <v xml:space="preserve"> </v>
      </c>
      <c r="AD76" s="374" t="str">
        <f>IF(OR(AA76="TC",AA76="MT"),'CARGA DOCENTE'!$C1347," ")</f>
        <v xml:space="preserve"> </v>
      </c>
      <c r="AE76" s="374" t="str">
        <f>IF(OR(AA76="TC",AA76="MT"),'CARGA DOCENTE'!$G1347," ")</f>
        <v xml:space="preserve"> </v>
      </c>
      <c r="AF76" s="372">
        <f>'CARGA DOCENTE'!$H1348</f>
        <v>0</v>
      </c>
      <c r="AG76" s="373" t="str">
        <f>IF(OR(AF76="TC",AF76="MT"),'CARGA DOCENTE'!$A1348," ")</f>
        <v xml:space="preserve"> </v>
      </c>
      <c r="AH76" s="374" t="str">
        <f>IF(OR(AF76="TC",AF76="MT"),'CARGA DOCENTE'!$B1348," ")</f>
        <v xml:space="preserve"> </v>
      </c>
      <c r="AI76" s="374" t="str">
        <f>IF(OR(AF76="TC",AF76="MT"),'CARGA DOCENTE'!$C1348," ")</f>
        <v xml:space="preserve"> </v>
      </c>
      <c r="AJ76" s="374" t="str">
        <f>IF(OR(AF76="TC",AF76="MT"),'CARGA DOCENTE'!$G1348," ")</f>
        <v xml:space="preserve"> </v>
      </c>
      <c r="AK76" s="372">
        <f>'CARGA DOCENTE'!$H1349</f>
        <v>0</v>
      </c>
      <c r="AL76" s="373" t="str">
        <f>IF(OR(AK76="TC",AK76="MT"),'CARGA DOCENTE'!$A1349," ")</f>
        <v xml:space="preserve"> </v>
      </c>
      <c r="AM76" s="374" t="str">
        <f>IF(OR(AK76="TC",AK76="MT"),'CARGA DOCENTE'!$B1349," ")</f>
        <v xml:space="preserve"> </v>
      </c>
      <c r="AN76" s="374" t="str">
        <f>IF(OR(AK76="TC",AK76="MT"),'CARGA DOCENTE'!$C1349," ")</f>
        <v xml:space="preserve"> </v>
      </c>
      <c r="AO76" s="374" t="str">
        <f>IF(OR(AK76="TC",AK76="MT"),'CARGA DOCENTE'!$G1349," ")</f>
        <v xml:space="preserve"> </v>
      </c>
      <c r="AP76" s="372">
        <f>'CARGA DOCENTE'!$H1350</f>
        <v>0</v>
      </c>
      <c r="AQ76" s="379" t="str">
        <f>IF(OR(AP76="TC",AP76="MT"),'CARGA DOCENTE'!$A1350," ")</f>
        <v xml:space="preserve"> </v>
      </c>
      <c r="AR76" s="380" t="str">
        <f>IF(OR(AP76="TC",AP76="MT"),'CARGA DOCENTE'!$B1350," ")</f>
        <v xml:space="preserve"> </v>
      </c>
      <c r="AS76" s="380" t="str">
        <f>IF(OR(AP76="TC",AP76="MT"),'CARGA DOCENTE'!$C1350," ")</f>
        <v xml:space="preserve"> </v>
      </c>
      <c r="AT76" s="380" t="str">
        <f>IF(OR(AP76="TC",AP76="MT"),'CARGA DOCENTE'!$G1350," ")</f>
        <v xml:space="preserve"> </v>
      </c>
      <c r="AU76" s="372">
        <f>'CARGA DOCENTE'!$H1351</f>
        <v>0</v>
      </c>
      <c r="AV76" s="373" t="str">
        <f>IF(OR(AU76="TC",AU76="MT"),'CARGA DOCENTE'!$A1351," ")</f>
        <v xml:space="preserve"> </v>
      </c>
      <c r="AW76" s="374" t="str">
        <f>IF(OR(AU76="TC",AU76="MT"),'CARGA DOCENTE'!$B1351," ")</f>
        <v xml:space="preserve"> </v>
      </c>
      <c r="AX76" s="374" t="str">
        <f>IF(OR(AU76="TC",AU76="MT"),'CARGA DOCENTE'!$C1351," ")</f>
        <v xml:space="preserve"> </v>
      </c>
      <c r="AY76" s="374" t="str">
        <f>IF(OR(AU76="TC",AU76="MT"),'CARGA DOCENTE'!$G1351," ")</f>
        <v xml:space="preserve"> </v>
      </c>
      <c r="AZ76" s="372">
        <f>'CARGA DOCENTE'!$H1352</f>
        <v>0</v>
      </c>
      <c r="BA76" s="373" t="str">
        <f>IF(OR(AZ76="TC",AZ76="MT"),'CARGA DOCENTE'!$A1352," ")</f>
        <v xml:space="preserve"> </v>
      </c>
      <c r="BB76" s="374" t="str">
        <f>IF(OR(AZ76="TC",AZ76="MT"),'CARGA DOCENTE'!$B1352," ")</f>
        <v xml:space="preserve"> </v>
      </c>
      <c r="BC76" s="374" t="str">
        <f>IF(OR(AZ76="TC",AZ76="MT"),'CARGA DOCENTE'!$C1352," ")</f>
        <v xml:space="preserve"> </v>
      </c>
      <c r="BD76" s="374" t="str">
        <f>IF(OR(AZ76="TC",AZ76="MT"),'CARGA DOCENTE'!$G1352," ")</f>
        <v xml:space="preserve"> </v>
      </c>
      <c r="BE76" s="372">
        <f>'CARGA DOCENTE'!$H1353</f>
        <v>0</v>
      </c>
      <c r="BF76" s="373" t="str">
        <f>IF(OR(BE76="TC",BE76="MT"),'CARGA DOCENTE'!$A1353," ")</f>
        <v xml:space="preserve"> </v>
      </c>
      <c r="BG76" s="374" t="str">
        <f>IF(OR(BE76="TC",BE76="MT"),'CARGA DOCENTE'!$B1353," ")</f>
        <v xml:space="preserve"> </v>
      </c>
      <c r="BH76" s="374" t="str">
        <f>IF(OR(BE76="TC",BE76="MT"),'CARGA DOCENTE'!$C1353," ")</f>
        <v xml:space="preserve"> </v>
      </c>
      <c r="BI76" s="374" t="str">
        <f>IF(OR(BE76="TC",BE76="MT"),'CARGA DOCENTE'!$G1353," ")</f>
        <v xml:space="preserve"> </v>
      </c>
      <c r="BJ76" s="372">
        <f>'CARGA DOCENTE'!$H1354</f>
        <v>0</v>
      </c>
      <c r="BK76" s="373" t="str">
        <f>IF(OR(BJ76="TC",BJ76="MT"),'CARGA DOCENTE'!$A1354," ")</f>
        <v xml:space="preserve"> </v>
      </c>
      <c r="BL76" s="374" t="str">
        <f>IF(OR(BJ76="TC",BJ76="MT"),'CARGA DOCENTE'!$B1354," ")</f>
        <v xml:space="preserve"> </v>
      </c>
      <c r="BM76" s="374" t="str">
        <f>IF(OR(BJ76="TC",BJ76="MT"),'CARGA DOCENTE'!$C1354," ")</f>
        <v xml:space="preserve"> </v>
      </c>
      <c r="BN76" s="374" t="str">
        <f>IF(OR(BJ76="TC",BJ76="MT"),'CARGA DOCENTE'!$G1354," ")</f>
        <v xml:space="preserve"> </v>
      </c>
      <c r="BO76" s="372">
        <f>'CARGA DOCENTE'!$H1355</f>
        <v>0</v>
      </c>
      <c r="BP76" s="373" t="str">
        <f>IF(OR(BO76="TC",BO76="MT"),'CARGA DOCENTE'!$A1355," ")</f>
        <v xml:space="preserve"> </v>
      </c>
      <c r="BQ76" s="374" t="str">
        <f>IF(OR(BO76="TC",BO76="MT"),'CARGA DOCENTE'!$B1355," ")</f>
        <v xml:space="preserve"> </v>
      </c>
      <c r="BR76" s="374" t="str">
        <f>IF(OR(BO76="TC",BO76="MT"),'CARGA DOCENTE'!$C1355," ")</f>
        <v xml:space="preserve"> </v>
      </c>
      <c r="BS76" s="374" t="str">
        <f>IF(OR(BO76="TC",BO76="MT"),'CARGA DOCENTE'!$G1355," ")</f>
        <v xml:space="preserve"> </v>
      </c>
      <c r="BT76" s="372">
        <f>'CARGA DOCENTE'!$H1356</f>
        <v>0</v>
      </c>
      <c r="BU76" s="373" t="str">
        <f>IF(OR(BT76="TC",BT76="MT"),'CARGA DOCENTE'!$A1356," ")</f>
        <v xml:space="preserve"> </v>
      </c>
      <c r="BV76" s="374" t="str">
        <f>IF(OR(BT76="TC",BT76="MT"),'CARGA DOCENTE'!$B1356," ")</f>
        <v xml:space="preserve"> </v>
      </c>
      <c r="BW76" s="374" t="str">
        <f>IF(OR(BT76="TC",BT76="MT"),'CARGA DOCENTE'!$C1356," ")</f>
        <v xml:space="preserve"> </v>
      </c>
      <c r="BX76" s="374" t="str">
        <f>IF(OR(BT76="TC",BT76="MT"),'CARGA DOCENTE'!$G1356," ")</f>
        <v xml:space="preserve"> </v>
      </c>
    </row>
    <row r="77" spans="1:76" x14ac:dyDescent="0.2">
      <c r="A77" s="378">
        <f>'CARGA DOCENTE'!J1360</f>
        <v>0</v>
      </c>
      <c r="B77" s="372">
        <f>'CARGA DOCENTE'!$H1360</f>
        <v>0</v>
      </c>
      <c r="C77" s="373" t="str">
        <f>IF(OR(B77="TC",B77="MT"),'CARGA DOCENTE'!$A1360," ")</f>
        <v xml:space="preserve"> </v>
      </c>
      <c r="D77" s="374" t="str">
        <f>IF(OR(B77="TC",B77="MT"),'CARGA DOCENTE'!$B1360," ")</f>
        <v xml:space="preserve"> </v>
      </c>
      <c r="E77" s="374" t="str">
        <f>IF(OR(B77="TC",B77="MT"),'CARGA DOCENTE'!$C1360," ")</f>
        <v xml:space="preserve"> </v>
      </c>
      <c r="F77" s="374" t="str">
        <f>IF(OR(B77="TC",B77="MT"),'CARGA DOCENTE'!$G1360," ")</f>
        <v xml:space="preserve"> </v>
      </c>
      <c r="G77" s="372">
        <f>'CARGA DOCENTE'!$H1361</f>
        <v>0</v>
      </c>
      <c r="H77" s="373" t="str">
        <f>IF(OR(G77="TC",G77="MT"),'CARGA DOCENTE'!$A1361," ")</f>
        <v xml:space="preserve"> </v>
      </c>
      <c r="I77" s="374" t="str">
        <f>IF(OR(G77="TC",G77="MT"),'CARGA DOCENTE'!$B1361," ")</f>
        <v xml:space="preserve"> </v>
      </c>
      <c r="J77" s="374" t="str">
        <f>IF(OR(G77="TC",G77="MT"),'CARGA DOCENTE'!$C1361," ")</f>
        <v xml:space="preserve"> </v>
      </c>
      <c r="K77" s="374" t="str">
        <f>IF(OR(G77="TC",G77="MT"),'CARGA DOCENTE'!$G1361," ")</f>
        <v xml:space="preserve"> </v>
      </c>
      <c r="L77" s="372">
        <f>'CARGA DOCENTE'!$H1362</f>
        <v>0</v>
      </c>
      <c r="M77" s="373" t="str">
        <f>IF(OR(L77="TC",L77="MT"),'CARGA DOCENTE'!$A1362," ")</f>
        <v xml:space="preserve"> </v>
      </c>
      <c r="N77" s="374" t="str">
        <f>IF(OR(L77="TC",L77="MT"),'CARGA DOCENTE'!$B1362," ")</f>
        <v xml:space="preserve"> </v>
      </c>
      <c r="O77" s="374" t="str">
        <f>IF(OR(L77="TC",L77="MT"),'CARGA DOCENTE'!$C1362," ")</f>
        <v xml:space="preserve"> </v>
      </c>
      <c r="P77" s="374" t="str">
        <f>IF(OR(L77="TC",L77="MT"),'CARGA DOCENTE'!$G1362," ")</f>
        <v xml:space="preserve"> </v>
      </c>
      <c r="Q77" s="372">
        <f>'CARGA DOCENTE'!$H1363</f>
        <v>0</v>
      </c>
      <c r="R77" s="373" t="str">
        <f>IF(OR(Q77="TC",Q77="MT"),'CARGA DOCENTE'!$A1363," ")</f>
        <v xml:space="preserve"> </v>
      </c>
      <c r="S77" s="374" t="str">
        <f>IF(OR(Q77="TC",Q77="MT"),'CARGA DOCENTE'!$B1363," ")</f>
        <v xml:space="preserve"> </v>
      </c>
      <c r="T77" s="374" t="str">
        <f>IF(OR(Q77="TC",Q77="MT"),'CARGA DOCENTE'!$C1363," ")</f>
        <v xml:space="preserve"> </v>
      </c>
      <c r="U77" s="374" t="str">
        <f>IF(OR(Q77="TC",Q77="MT"),'CARGA DOCENTE'!$G1363," ")</f>
        <v xml:space="preserve"> </v>
      </c>
      <c r="V77" s="372">
        <f>'CARGA DOCENTE'!$H1364</f>
        <v>0</v>
      </c>
      <c r="W77" s="373" t="str">
        <f>IF(OR(V77="TC",V77="MT"),'CARGA DOCENTE'!$A1364," ")</f>
        <v xml:space="preserve"> </v>
      </c>
      <c r="X77" s="374" t="str">
        <f>IF(OR(V77="TC",V77="MT"),'CARGA DOCENTE'!$B1364," ")</f>
        <v xml:space="preserve"> </v>
      </c>
      <c r="Y77" s="374" t="str">
        <f>IF(OR(V77="TC",V77="MT"),'CARGA DOCENTE'!$C1364," ")</f>
        <v xml:space="preserve"> </v>
      </c>
      <c r="Z77" s="374" t="str">
        <f>IF(OR(V77="TC",V77="MT"),'CARGA DOCENTE'!$G1364," ")</f>
        <v xml:space="preserve"> </v>
      </c>
      <c r="AA77" s="372">
        <f>'CARGA DOCENTE'!$H1365</f>
        <v>0</v>
      </c>
      <c r="AB77" s="373" t="str">
        <f>IF(OR(AA77="TC",AA77="MT"),'CARGA DOCENTE'!$A1365," ")</f>
        <v xml:space="preserve"> </v>
      </c>
      <c r="AC77" s="374" t="str">
        <f>IF(OR(AA77="TC",AA77="MT"),'CARGA DOCENTE'!$B1365," ")</f>
        <v xml:space="preserve"> </v>
      </c>
      <c r="AD77" s="374" t="str">
        <f>IF(OR(AA77="TC",AA77="MT"),'CARGA DOCENTE'!$C1365," ")</f>
        <v xml:space="preserve"> </v>
      </c>
      <c r="AE77" s="374" t="str">
        <f>IF(OR(AA77="TC",AA77="MT"),'CARGA DOCENTE'!$G1365," ")</f>
        <v xml:space="preserve"> </v>
      </c>
      <c r="AF77" s="372">
        <f>'CARGA DOCENTE'!$H1366</f>
        <v>0</v>
      </c>
      <c r="AG77" s="373" t="str">
        <f>IF(OR(AF77="TC",AF77="MT"),'CARGA DOCENTE'!$A1366," ")</f>
        <v xml:space="preserve"> </v>
      </c>
      <c r="AH77" s="374" t="str">
        <f>IF(OR(AF77="TC",AF77="MT"),'CARGA DOCENTE'!$B1366," ")</f>
        <v xml:space="preserve"> </v>
      </c>
      <c r="AI77" s="374" t="str">
        <f>IF(OR(AF77="TC",AF77="MT"),'CARGA DOCENTE'!$C1366," ")</f>
        <v xml:space="preserve"> </v>
      </c>
      <c r="AJ77" s="374" t="str">
        <f>IF(OR(AF77="TC",AF77="MT"),'CARGA DOCENTE'!$G1366," ")</f>
        <v xml:space="preserve"> </v>
      </c>
      <c r="AK77" s="372">
        <f>'CARGA DOCENTE'!$H1367</f>
        <v>0</v>
      </c>
      <c r="AL77" s="373" t="str">
        <f>IF(OR(AK77="TC",AK77="MT"),'CARGA DOCENTE'!$A1367," ")</f>
        <v xml:space="preserve"> </v>
      </c>
      <c r="AM77" s="374" t="str">
        <f>IF(OR(AK77="TC",AK77="MT"),'CARGA DOCENTE'!$B1367," ")</f>
        <v xml:space="preserve"> </v>
      </c>
      <c r="AN77" s="374" t="str">
        <f>IF(OR(AK77="TC",AK77="MT"),'CARGA DOCENTE'!$C1367," ")</f>
        <v xml:space="preserve"> </v>
      </c>
      <c r="AO77" s="374" t="str">
        <f>IF(OR(AK77="TC",AK77="MT"),'CARGA DOCENTE'!$G1367," ")</f>
        <v xml:space="preserve"> </v>
      </c>
      <c r="AP77" s="372">
        <f>'CARGA DOCENTE'!$H1368</f>
        <v>0</v>
      </c>
      <c r="AQ77" s="379" t="str">
        <f>IF(OR(AP77="TC",AP77="MT"),'CARGA DOCENTE'!$A1368," ")</f>
        <v xml:space="preserve"> </v>
      </c>
      <c r="AR77" s="380" t="str">
        <f>IF(OR(AP77="TC",AP77="MT"),'CARGA DOCENTE'!$B1368," ")</f>
        <v xml:space="preserve"> </v>
      </c>
      <c r="AS77" s="380" t="str">
        <f>IF(OR(AP77="TC",AP77="MT"),'CARGA DOCENTE'!$C1368," ")</f>
        <v xml:space="preserve"> </v>
      </c>
      <c r="AT77" s="380" t="str">
        <f>IF(OR(AP77="TC",AP77="MT"),'CARGA DOCENTE'!$G1368," ")</f>
        <v xml:space="preserve"> </v>
      </c>
      <c r="AU77" s="372">
        <f>'CARGA DOCENTE'!$H1369</f>
        <v>0</v>
      </c>
      <c r="AV77" s="373" t="str">
        <f>IF(OR(AU77="TC",AU77="MT"),'CARGA DOCENTE'!$A1369," ")</f>
        <v xml:space="preserve"> </v>
      </c>
      <c r="AW77" s="374" t="str">
        <f>IF(OR(AU77="TC",AU77="MT"),'CARGA DOCENTE'!$B1369," ")</f>
        <v xml:space="preserve"> </v>
      </c>
      <c r="AX77" s="374" t="str">
        <f>IF(OR(AU77="TC",AU77="MT"),'CARGA DOCENTE'!$C1369," ")</f>
        <v xml:space="preserve"> </v>
      </c>
      <c r="AY77" s="374" t="str">
        <f>IF(OR(AU77="TC",AU77="MT"),'CARGA DOCENTE'!$G1369," ")</f>
        <v xml:space="preserve"> </v>
      </c>
      <c r="AZ77" s="372">
        <f>'CARGA DOCENTE'!$H1370</f>
        <v>0</v>
      </c>
      <c r="BA77" s="373" t="str">
        <f>IF(OR(AZ77="TC",AZ77="MT"),'CARGA DOCENTE'!$A1370," ")</f>
        <v xml:space="preserve"> </v>
      </c>
      <c r="BB77" s="374" t="str">
        <f>IF(OR(AZ77="TC",AZ77="MT"),'CARGA DOCENTE'!$B1370," ")</f>
        <v xml:space="preserve"> </v>
      </c>
      <c r="BC77" s="374" t="str">
        <f>IF(OR(AZ77="TC",AZ77="MT"),'CARGA DOCENTE'!$C1370," ")</f>
        <v xml:space="preserve"> </v>
      </c>
      <c r="BD77" s="374" t="str">
        <f>IF(OR(AZ77="TC",AZ77="MT"),'CARGA DOCENTE'!$G1370," ")</f>
        <v xml:space="preserve"> </v>
      </c>
      <c r="BE77" s="372">
        <f>'CARGA DOCENTE'!$H1371</f>
        <v>0</v>
      </c>
      <c r="BF77" s="373" t="str">
        <f>IF(OR(BE77="TC",BE77="MT"),'CARGA DOCENTE'!$A1371," ")</f>
        <v xml:space="preserve"> </v>
      </c>
      <c r="BG77" s="374" t="str">
        <f>IF(OR(BE77="TC",BE77="MT"),'CARGA DOCENTE'!$B1371," ")</f>
        <v xml:space="preserve"> </v>
      </c>
      <c r="BH77" s="374" t="str">
        <f>IF(OR(BE77="TC",BE77="MT"),'CARGA DOCENTE'!$C1371," ")</f>
        <v xml:space="preserve"> </v>
      </c>
      <c r="BI77" s="374" t="str">
        <f>IF(OR(BE77="TC",BE77="MT"),'CARGA DOCENTE'!$G1371," ")</f>
        <v xml:space="preserve"> </v>
      </c>
      <c r="BJ77" s="372">
        <f>'CARGA DOCENTE'!$H1372</f>
        <v>0</v>
      </c>
      <c r="BK77" s="373" t="str">
        <f>IF(OR(BJ77="TC",BJ77="MT"),'CARGA DOCENTE'!$A1372," ")</f>
        <v xml:space="preserve"> </v>
      </c>
      <c r="BL77" s="374" t="str">
        <f>IF(OR(BJ77="TC",BJ77="MT"),'CARGA DOCENTE'!$B1372," ")</f>
        <v xml:space="preserve"> </v>
      </c>
      <c r="BM77" s="374" t="str">
        <f>IF(OR(BJ77="TC",BJ77="MT"),'CARGA DOCENTE'!$C1372," ")</f>
        <v xml:space="preserve"> </v>
      </c>
      <c r="BN77" s="374" t="str">
        <f>IF(OR(BJ77="TC",BJ77="MT"),'CARGA DOCENTE'!$G1372," ")</f>
        <v xml:space="preserve"> </v>
      </c>
      <c r="BO77" s="372">
        <f>'CARGA DOCENTE'!$H1373</f>
        <v>0</v>
      </c>
      <c r="BP77" s="373" t="str">
        <f>IF(OR(BO77="TC",BO77="MT"),'CARGA DOCENTE'!$A1373," ")</f>
        <v xml:space="preserve"> </v>
      </c>
      <c r="BQ77" s="374" t="str">
        <f>IF(OR(BO77="TC",BO77="MT"),'CARGA DOCENTE'!$B1373," ")</f>
        <v xml:space="preserve"> </v>
      </c>
      <c r="BR77" s="374" t="str">
        <f>IF(OR(BO77="TC",BO77="MT"),'CARGA DOCENTE'!$C1373," ")</f>
        <v xml:space="preserve"> </v>
      </c>
      <c r="BS77" s="374" t="str">
        <f>IF(OR(BO77="TC",BO77="MT"),'CARGA DOCENTE'!$G1373," ")</f>
        <v xml:space="preserve"> </v>
      </c>
      <c r="BT77" s="372">
        <f>'CARGA DOCENTE'!$H1374</f>
        <v>0</v>
      </c>
      <c r="BU77" s="373" t="str">
        <f>IF(OR(BT77="TC",BT77="MT"),'CARGA DOCENTE'!$A1374," ")</f>
        <v xml:space="preserve"> </v>
      </c>
      <c r="BV77" s="374" t="str">
        <f>IF(OR(BT77="TC",BT77="MT"),'CARGA DOCENTE'!$B1374," ")</f>
        <v xml:space="preserve"> </v>
      </c>
      <c r="BW77" s="374" t="str">
        <f>IF(OR(BT77="TC",BT77="MT"),'CARGA DOCENTE'!$C1374," ")</f>
        <v xml:space="preserve"> </v>
      </c>
      <c r="BX77" s="374" t="str">
        <f>IF(OR(BT77="TC",BT77="MT"),'CARGA DOCENTE'!$G1374," ")</f>
        <v xml:space="preserve"> </v>
      </c>
    </row>
    <row r="78" spans="1:76" x14ac:dyDescent="0.2">
      <c r="A78" s="378">
        <f>'CARGA DOCENTE'!J1378</f>
        <v>0</v>
      </c>
      <c r="B78" s="372">
        <f>'CARGA DOCENTE'!$H1378</f>
        <v>0</v>
      </c>
      <c r="C78" s="373" t="str">
        <f>IF(OR(B78="TC",B78="MT"),'CARGA DOCENTE'!$A1378," ")</f>
        <v xml:space="preserve"> </v>
      </c>
      <c r="D78" s="374" t="str">
        <f>IF(OR(B78="TC",B78="MT"),'CARGA DOCENTE'!$B1378," ")</f>
        <v xml:space="preserve"> </v>
      </c>
      <c r="E78" s="374" t="str">
        <f>IF(OR(B78="TC",B78="MT"),'CARGA DOCENTE'!$C1378," ")</f>
        <v xml:space="preserve"> </v>
      </c>
      <c r="F78" s="374" t="str">
        <f>IF(OR(B78="TC",B78="MT"),'CARGA DOCENTE'!$G1378," ")</f>
        <v xml:space="preserve"> </v>
      </c>
      <c r="G78" s="372">
        <f>'CARGA DOCENTE'!$H1379</f>
        <v>0</v>
      </c>
      <c r="H78" s="373" t="str">
        <f>IF(OR(G78="TC",G78="MT"),'CARGA DOCENTE'!$A1379," ")</f>
        <v xml:space="preserve"> </v>
      </c>
      <c r="I78" s="374" t="str">
        <f>IF(OR(G78="TC",G78="MT"),'CARGA DOCENTE'!$B1379," ")</f>
        <v xml:space="preserve"> </v>
      </c>
      <c r="J78" s="374" t="str">
        <f>IF(OR(G78="TC",G78="MT"),'CARGA DOCENTE'!$C1379," ")</f>
        <v xml:space="preserve"> </v>
      </c>
      <c r="K78" s="374" t="str">
        <f>IF(OR(G78="TC",G78="MT"),'CARGA DOCENTE'!$G1379," ")</f>
        <v xml:space="preserve"> </v>
      </c>
      <c r="L78" s="372">
        <f>'CARGA DOCENTE'!$H1380</f>
        <v>0</v>
      </c>
      <c r="M78" s="373" t="str">
        <f>IF(OR(L78="TC",L78="MT"),'CARGA DOCENTE'!$A1380," ")</f>
        <v xml:space="preserve"> </v>
      </c>
      <c r="N78" s="374" t="str">
        <f>IF(OR(L78="TC",L78="MT"),'CARGA DOCENTE'!$B1380," ")</f>
        <v xml:space="preserve"> </v>
      </c>
      <c r="O78" s="374" t="str">
        <f>IF(OR(L78="TC",L78="MT"),'CARGA DOCENTE'!$C1380," ")</f>
        <v xml:space="preserve"> </v>
      </c>
      <c r="P78" s="374" t="str">
        <f>IF(OR(L78="TC",L78="MT"),'CARGA DOCENTE'!$G1380," ")</f>
        <v xml:space="preserve"> </v>
      </c>
      <c r="Q78" s="372">
        <f>'CARGA DOCENTE'!$H1381</f>
        <v>0</v>
      </c>
      <c r="R78" s="373" t="str">
        <f>IF(OR(Q78="TC",Q78="MT"),'CARGA DOCENTE'!$A1381," ")</f>
        <v xml:space="preserve"> </v>
      </c>
      <c r="S78" s="374" t="str">
        <f>IF(OR(Q78="TC",Q78="MT"),'CARGA DOCENTE'!$B1381," ")</f>
        <v xml:space="preserve"> </v>
      </c>
      <c r="T78" s="374" t="str">
        <f>IF(OR(Q78="TC",Q78="MT"),'CARGA DOCENTE'!$C1381," ")</f>
        <v xml:space="preserve"> </v>
      </c>
      <c r="U78" s="374" t="str">
        <f>IF(OR(Q78="TC",Q78="MT"),'CARGA DOCENTE'!$G1381," ")</f>
        <v xml:space="preserve"> </v>
      </c>
      <c r="V78" s="372">
        <f>'CARGA DOCENTE'!$H1382</f>
        <v>0</v>
      </c>
      <c r="W78" s="373" t="str">
        <f>IF(OR(V78="TC",V78="MT"),'CARGA DOCENTE'!$A1382," ")</f>
        <v xml:space="preserve"> </v>
      </c>
      <c r="X78" s="374" t="str">
        <f>IF(OR(V78="TC",V78="MT"),'CARGA DOCENTE'!$B1382," ")</f>
        <v xml:space="preserve"> </v>
      </c>
      <c r="Y78" s="374" t="str">
        <f>IF(OR(V78="TC",V78="MT"),'CARGA DOCENTE'!$C1382," ")</f>
        <v xml:space="preserve"> </v>
      </c>
      <c r="Z78" s="374" t="str">
        <f>IF(OR(V78="TC",V78="MT"),'CARGA DOCENTE'!$G1382," ")</f>
        <v xml:space="preserve"> </v>
      </c>
      <c r="AA78" s="372">
        <f>'CARGA DOCENTE'!$H1383</f>
        <v>0</v>
      </c>
      <c r="AB78" s="373" t="str">
        <f>IF(OR(AA78="TC",AA78="MT"),'CARGA DOCENTE'!$A1383," ")</f>
        <v xml:space="preserve"> </v>
      </c>
      <c r="AC78" s="374" t="str">
        <f>IF(OR(AA78="TC",AA78="MT"),'CARGA DOCENTE'!$B1383," ")</f>
        <v xml:space="preserve"> </v>
      </c>
      <c r="AD78" s="374" t="str">
        <f>IF(OR(AA78="TC",AA78="MT"),'CARGA DOCENTE'!$C1383," ")</f>
        <v xml:space="preserve"> </v>
      </c>
      <c r="AE78" s="374" t="str">
        <f>IF(OR(AA78="TC",AA78="MT"),'CARGA DOCENTE'!$G1383," ")</f>
        <v xml:space="preserve"> </v>
      </c>
      <c r="AF78" s="372">
        <f>'CARGA DOCENTE'!$H1384</f>
        <v>0</v>
      </c>
      <c r="AG78" s="373" t="str">
        <f>IF(OR(AF78="TC",AF78="MT"),'CARGA DOCENTE'!$A1384," ")</f>
        <v xml:space="preserve"> </v>
      </c>
      <c r="AH78" s="374" t="str">
        <f>IF(OR(AF78="TC",AF78="MT"),'CARGA DOCENTE'!$B1384," ")</f>
        <v xml:space="preserve"> </v>
      </c>
      <c r="AI78" s="374" t="str">
        <f>IF(OR(AF78="TC",AF78="MT"),'CARGA DOCENTE'!$C1384," ")</f>
        <v xml:space="preserve"> </v>
      </c>
      <c r="AJ78" s="374" t="str">
        <f>IF(OR(AF78="TC",AF78="MT"),'CARGA DOCENTE'!$G1384," ")</f>
        <v xml:space="preserve"> </v>
      </c>
      <c r="AK78" s="372">
        <f>'CARGA DOCENTE'!$H1385</f>
        <v>0</v>
      </c>
      <c r="AL78" s="373" t="str">
        <f>IF(OR(AK78="TC",AK78="MT"),'CARGA DOCENTE'!$A1385," ")</f>
        <v xml:space="preserve"> </v>
      </c>
      <c r="AM78" s="374" t="str">
        <f>IF(OR(AK78="TC",AK78="MT"),'CARGA DOCENTE'!$B1385," ")</f>
        <v xml:space="preserve"> </v>
      </c>
      <c r="AN78" s="374" t="str">
        <f>IF(OR(AK78="TC",AK78="MT"),'CARGA DOCENTE'!$C1385," ")</f>
        <v xml:space="preserve"> </v>
      </c>
      <c r="AO78" s="374" t="str">
        <f>IF(OR(AK78="TC",AK78="MT"),'CARGA DOCENTE'!$G1385," ")</f>
        <v xml:space="preserve"> </v>
      </c>
      <c r="AP78" s="372">
        <f>'CARGA DOCENTE'!$H1386</f>
        <v>0</v>
      </c>
      <c r="AQ78" s="379" t="str">
        <f>IF(OR(AP78="TC",AP78="MT"),'CARGA DOCENTE'!$A1386," ")</f>
        <v xml:space="preserve"> </v>
      </c>
      <c r="AR78" s="380" t="str">
        <f>IF(OR(AP78="TC",AP78="MT"),'CARGA DOCENTE'!$B1386," ")</f>
        <v xml:space="preserve"> </v>
      </c>
      <c r="AS78" s="380" t="str">
        <f>IF(OR(AP78="TC",AP78="MT"),'CARGA DOCENTE'!$C1386," ")</f>
        <v xml:space="preserve"> </v>
      </c>
      <c r="AT78" s="380" t="str">
        <f>IF(OR(AP78="TC",AP78="MT"),'CARGA DOCENTE'!$G1386," ")</f>
        <v xml:space="preserve"> </v>
      </c>
      <c r="AU78" s="372">
        <f>'CARGA DOCENTE'!$H1387</f>
        <v>0</v>
      </c>
      <c r="AV78" s="373" t="str">
        <f>IF(OR(AU78="TC",AU78="MT"),'CARGA DOCENTE'!$A1387," ")</f>
        <v xml:space="preserve"> </v>
      </c>
      <c r="AW78" s="374" t="str">
        <f>IF(OR(AU78="TC",AU78="MT"),'CARGA DOCENTE'!$B1387," ")</f>
        <v xml:space="preserve"> </v>
      </c>
      <c r="AX78" s="374" t="str">
        <f>IF(OR(AU78="TC",AU78="MT"),'CARGA DOCENTE'!$C1387," ")</f>
        <v xml:space="preserve"> </v>
      </c>
      <c r="AY78" s="374" t="str">
        <f>IF(OR(AU78="TC",AU78="MT"),'CARGA DOCENTE'!$G1387," ")</f>
        <v xml:space="preserve"> </v>
      </c>
      <c r="AZ78" s="372">
        <f>'CARGA DOCENTE'!$H1388</f>
        <v>0</v>
      </c>
      <c r="BA78" s="373" t="str">
        <f>IF(OR(AZ78="TC",AZ78="MT"),'CARGA DOCENTE'!$A1388," ")</f>
        <v xml:space="preserve"> </v>
      </c>
      <c r="BB78" s="374" t="str">
        <f>IF(OR(AZ78="TC",AZ78="MT"),'CARGA DOCENTE'!$B1388," ")</f>
        <v xml:space="preserve"> </v>
      </c>
      <c r="BC78" s="374" t="str">
        <f>IF(OR(AZ78="TC",AZ78="MT"),'CARGA DOCENTE'!$C1388," ")</f>
        <v xml:space="preserve"> </v>
      </c>
      <c r="BD78" s="374" t="str">
        <f>IF(OR(AZ78="TC",AZ78="MT"),'CARGA DOCENTE'!$G1388," ")</f>
        <v xml:space="preserve"> </v>
      </c>
      <c r="BE78" s="372">
        <f>'CARGA DOCENTE'!$H1389</f>
        <v>0</v>
      </c>
      <c r="BF78" s="373" t="str">
        <f>IF(OR(BE78="TC",BE78="MT"),'CARGA DOCENTE'!$A1389," ")</f>
        <v xml:space="preserve"> </v>
      </c>
      <c r="BG78" s="374" t="str">
        <f>IF(OR(BE78="TC",BE78="MT"),'CARGA DOCENTE'!$B1389," ")</f>
        <v xml:space="preserve"> </v>
      </c>
      <c r="BH78" s="374" t="str">
        <f>IF(OR(BE78="TC",BE78="MT"),'CARGA DOCENTE'!$C1389," ")</f>
        <v xml:space="preserve"> </v>
      </c>
      <c r="BI78" s="374" t="str">
        <f>IF(OR(BE78="TC",BE78="MT"),'CARGA DOCENTE'!$G1389," ")</f>
        <v xml:space="preserve"> </v>
      </c>
      <c r="BJ78" s="372">
        <f>'CARGA DOCENTE'!$H1390</f>
        <v>0</v>
      </c>
      <c r="BK78" s="373" t="str">
        <f>IF(OR(BJ78="TC",BJ78="MT"),'CARGA DOCENTE'!$A1390," ")</f>
        <v xml:space="preserve"> </v>
      </c>
      <c r="BL78" s="374" t="str">
        <f>IF(OR(BJ78="TC",BJ78="MT"),'CARGA DOCENTE'!$B1390," ")</f>
        <v xml:space="preserve"> </v>
      </c>
      <c r="BM78" s="374" t="str">
        <f>IF(OR(BJ78="TC",BJ78="MT"),'CARGA DOCENTE'!$C1390," ")</f>
        <v xml:space="preserve"> </v>
      </c>
      <c r="BN78" s="374" t="str">
        <f>IF(OR(BJ78="TC",BJ78="MT"),'CARGA DOCENTE'!$G1390," ")</f>
        <v xml:space="preserve"> </v>
      </c>
      <c r="BO78" s="372">
        <f>'CARGA DOCENTE'!$H1391</f>
        <v>0</v>
      </c>
      <c r="BP78" s="373" t="str">
        <f>IF(OR(BO78="TC",BO78="MT"),'CARGA DOCENTE'!$A1391," ")</f>
        <v xml:space="preserve"> </v>
      </c>
      <c r="BQ78" s="374" t="str">
        <f>IF(OR(BO78="TC",BO78="MT"),'CARGA DOCENTE'!$B1391," ")</f>
        <v xml:space="preserve"> </v>
      </c>
      <c r="BR78" s="374" t="str">
        <f>IF(OR(BO78="TC",BO78="MT"),'CARGA DOCENTE'!$C1391," ")</f>
        <v xml:space="preserve"> </v>
      </c>
      <c r="BS78" s="374" t="str">
        <f>IF(OR(BO78="TC",BO78="MT"),'CARGA DOCENTE'!$G1391," ")</f>
        <v xml:space="preserve"> </v>
      </c>
      <c r="BT78" s="372">
        <f>'CARGA DOCENTE'!$H1392</f>
        <v>0</v>
      </c>
      <c r="BU78" s="373" t="str">
        <f>IF(OR(BT78="TC",BT78="MT"),'CARGA DOCENTE'!$A1392," ")</f>
        <v xml:space="preserve"> </v>
      </c>
      <c r="BV78" s="374" t="str">
        <f>IF(OR(BT78="TC",BT78="MT"),'CARGA DOCENTE'!$B1392," ")</f>
        <v xml:space="preserve"> </v>
      </c>
      <c r="BW78" s="374" t="str">
        <f>IF(OR(BT78="TC",BT78="MT"),'CARGA DOCENTE'!$C1392," ")</f>
        <v xml:space="preserve"> </v>
      </c>
      <c r="BX78" s="374" t="str">
        <f>IF(OR(BT78="TC",BT78="MT"),'CARGA DOCENTE'!$G1392," ")</f>
        <v xml:space="preserve"> </v>
      </c>
    </row>
    <row r="79" spans="1:76" x14ac:dyDescent="0.2">
      <c r="A79" s="378">
        <f>'CARGA DOCENTE'!J1396</f>
        <v>0</v>
      </c>
      <c r="B79" s="372">
        <f>'CARGA DOCENTE'!$H1396</f>
        <v>0</v>
      </c>
      <c r="C79" s="373" t="str">
        <f>IF(OR(B79="TC",B79="MT"),'CARGA DOCENTE'!$A1396," ")</f>
        <v xml:space="preserve"> </v>
      </c>
      <c r="D79" s="374" t="str">
        <f>IF(OR(B79="TC",B79="MT"),'CARGA DOCENTE'!$B1396," ")</f>
        <v xml:space="preserve"> </v>
      </c>
      <c r="E79" s="374" t="str">
        <f>IF(OR(B79="TC",B79="MT"),'CARGA DOCENTE'!$C1396," ")</f>
        <v xml:space="preserve"> </v>
      </c>
      <c r="F79" s="374" t="str">
        <f>IF(OR(B79="TC",B79="MT"),'CARGA DOCENTE'!$G1396," ")</f>
        <v xml:space="preserve"> </v>
      </c>
      <c r="G79" s="372">
        <f>'CARGA DOCENTE'!$H1397</f>
        <v>0</v>
      </c>
      <c r="H79" s="373" t="str">
        <f>IF(OR(G79="TC",G79="MT"),'CARGA DOCENTE'!$A1397," ")</f>
        <v xml:space="preserve"> </v>
      </c>
      <c r="I79" s="374" t="str">
        <f>IF(OR(G79="TC",G79="MT"),'CARGA DOCENTE'!$B1397," ")</f>
        <v xml:space="preserve"> </v>
      </c>
      <c r="J79" s="374" t="str">
        <f>IF(OR(G79="TC",G79="MT"),'CARGA DOCENTE'!$C1397," ")</f>
        <v xml:space="preserve"> </v>
      </c>
      <c r="K79" s="374" t="str">
        <f>IF(OR(G79="TC",G79="MT"),'CARGA DOCENTE'!$G1397," ")</f>
        <v xml:space="preserve"> </v>
      </c>
      <c r="L79" s="372">
        <f>'CARGA DOCENTE'!$H1398</f>
        <v>0</v>
      </c>
      <c r="M79" s="373" t="str">
        <f>IF(OR(L79="TC",L79="MT"),'CARGA DOCENTE'!$A1398," ")</f>
        <v xml:space="preserve"> </v>
      </c>
      <c r="N79" s="374" t="str">
        <f>IF(OR(L79="TC",L79="MT"),'CARGA DOCENTE'!$B1398," ")</f>
        <v xml:space="preserve"> </v>
      </c>
      <c r="O79" s="374" t="str">
        <f>IF(OR(L79="TC",L79="MT"),'CARGA DOCENTE'!$C1398," ")</f>
        <v xml:space="preserve"> </v>
      </c>
      <c r="P79" s="374" t="str">
        <f>IF(OR(L79="TC",L79="MT"),'CARGA DOCENTE'!$G1398," ")</f>
        <v xml:space="preserve"> </v>
      </c>
      <c r="Q79" s="372">
        <f>'CARGA DOCENTE'!$H1399</f>
        <v>0</v>
      </c>
      <c r="R79" s="373" t="str">
        <f>IF(OR(Q79="TC",Q79="MT"),'CARGA DOCENTE'!$A1399," ")</f>
        <v xml:space="preserve"> </v>
      </c>
      <c r="S79" s="374" t="str">
        <f>IF(OR(Q79="TC",Q79="MT"),'CARGA DOCENTE'!$B1399," ")</f>
        <v xml:space="preserve"> </v>
      </c>
      <c r="T79" s="374" t="str">
        <f>IF(OR(Q79="TC",Q79="MT"),'CARGA DOCENTE'!$C1399," ")</f>
        <v xml:space="preserve"> </v>
      </c>
      <c r="U79" s="374" t="str">
        <f>IF(OR(Q79="TC",Q79="MT"),'CARGA DOCENTE'!$G1399," ")</f>
        <v xml:space="preserve"> </v>
      </c>
      <c r="V79" s="372">
        <f>'CARGA DOCENTE'!$H1400</f>
        <v>0</v>
      </c>
      <c r="W79" s="373" t="str">
        <f>IF(OR(V79="TC",V79="MT"),'CARGA DOCENTE'!$A1400," ")</f>
        <v xml:space="preserve"> </v>
      </c>
      <c r="X79" s="374" t="str">
        <f>IF(OR(V79="TC",V79="MT"),'CARGA DOCENTE'!$B1400," ")</f>
        <v xml:space="preserve"> </v>
      </c>
      <c r="Y79" s="374" t="str">
        <f>IF(OR(V79="TC",V79="MT"),'CARGA DOCENTE'!$C1400," ")</f>
        <v xml:space="preserve"> </v>
      </c>
      <c r="Z79" s="374" t="str">
        <f>IF(OR(V79="TC",V79="MT"),'CARGA DOCENTE'!$G1400," ")</f>
        <v xml:space="preserve"> </v>
      </c>
      <c r="AA79" s="372">
        <f>'CARGA DOCENTE'!$H1401</f>
        <v>0</v>
      </c>
      <c r="AB79" s="373" t="str">
        <f>IF(OR(AA79="TC",AA79="MT"),'CARGA DOCENTE'!$A1401," ")</f>
        <v xml:space="preserve"> </v>
      </c>
      <c r="AC79" s="374" t="str">
        <f>IF(OR(AA79="TC",AA79="MT"),'CARGA DOCENTE'!$B1401," ")</f>
        <v xml:space="preserve"> </v>
      </c>
      <c r="AD79" s="374" t="str">
        <f>IF(OR(AA79="TC",AA79="MT"),'CARGA DOCENTE'!$C1401," ")</f>
        <v xml:space="preserve"> </v>
      </c>
      <c r="AE79" s="374" t="str">
        <f>IF(OR(AA79="TC",AA79="MT"),'CARGA DOCENTE'!$G1401," ")</f>
        <v xml:space="preserve"> </v>
      </c>
      <c r="AF79" s="372">
        <f>'CARGA DOCENTE'!$H1402</f>
        <v>0</v>
      </c>
      <c r="AG79" s="373" t="str">
        <f>IF(OR(AF79="TC",AF79="MT"),'CARGA DOCENTE'!$A1402," ")</f>
        <v xml:space="preserve"> </v>
      </c>
      <c r="AH79" s="374" t="str">
        <f>IF(OR(AF79="TC",AF79="MT"),'CARGA DOCENTE'!$B1402," ")</f>
        <v xml:space="preserve"> </v>
      </c>
      <c r="AI79" s="374" t="str">
        <f>IF(OR(AF79="TC",AF79="MT"),'CARGA DOCENTE'!$C1402," ")</f>
        <v xml:space="preserve"> </v>
      </c>
      <c r="AJ79" s="374" t="str">
        <f>IF(OR(AF79="TC",AF79="MT"),'CARGA DOCENTE'!$G1402," ")</f>
        <v xml:space="preserve"> </v>
      </c>
      <c r="AK79" s="372">
        <f>'CARGA DOCENTE'!$H1403</f>
        <v>0</v>
      </c>
      <c r="AL79" s="373" t="str">
        <f>IF(OR(AK79="TC",AK79="MT"),'CARGA DOCENTE'!$A1403," ")</f>
        <v xml:space="preserve"> </v>
      </c>
      <c r="AM79" s="374" t="str">
        <f>IF(OR(AK79="TC",AK79="MT"),'CARGA DOCENTE'!$B1403," ")</f>
        <v xml:space="preserve"> </v>
      </c>
      <c r="AN79" s="374" t="str">
        <f>IF(OR(AK79="TC",AK79="MT"),'CARGA DOCENTE'!$C1403," ")</f>
        <v xml:space="preserve"> </v>
      </c>
      <c r="AO79" s="374" t="str">
        <f>IF(OR(AK79="TC",AK79="MT"),'CARGA DOCENTE'!$G1403," ")</f>
        <v xml:space="preserve"> </v>
      </c>
      <c r="AP79" s="372">
        <f>'CARGA DOCENTE'!$H1404</f>
        <v>0</v>
      </c>
      <c r="AQ79" s="379" t="str">
        <f>IF(OR(AP79="TC",AP79="MT"),'CARGA DOCENTE'!$A1404," ")</f>
        <v xml:space="preserve"> </v>
      </c>
      <c r="AR79" s="380" t="str">
        <f>IF(OR(AP79="TC",AP79="MT"),'CARGA DOCENTE'!$B1404," ")</f>
        <v xml:space="preserve"> </v>
      </c>
      <c r="AS79" s="380" t="str">
        <f>IF(OR(AP79="TC",AP79="MT"),'CARGA DOCENTE'!$C1404," ")</f>
        <v xml:space="preserve"> </v>
      </c>
      <c r="AT79" s="380" t="str">
        <f>IF(OR(AP79="TC",AP79="MT"),'CARGA DOCENTE'!$G1404," ")</f>
        <v xml:space="preserve"> </v>
      </c>
      <c r="AU79" s="372">
        <f>'CARGA DOCENTE'!$H1405</f>
        <v>0</v>
      </c>
      <c r="AV79" s="373" t="str">
        <f>IF(OR(AU79="TC",AU79="MT"),'CARGA DOCENTE'!$A1405," ")</f>
        <v xml:space="preserve"> </v>
      </c>
      <c r="AW79" s="374" t="str">
        <f>IF(OR(AU79="TC",AU79="MT"),'CARGA DOCENTE'!$B1405," ")</f>
        <v xml:space="preserve"> </v>
      </c>
      <c r="AX79" s="374" t="str">
        <f>IF(OR(AU79="TC",AU79="MT"),'CARGA DOCENTE'!$C1405," ")</f>
        <v xml:space="preserve"> </v>
      </c>
      <c r="AY79" s="374" t="str">
        <f>IF(OR(AU79="TC",AU79="MT"),'CARGA DOCENTE'!$G1405," ")</f>
        <v xml:space="preserve"> </v>
      </c>
      <c r="AZ79" s="372">
        <f>'CARGA DOCENTE'!$H1406</f>
        <v>0</v>
      </c>
      <c r="BA79" s="373" t="str">
        <f>IF(OR(AZ79="TC",AZ79="MT"),'CARGA DOCENTE'!$A1406," ")</f>
        <v xml:space="preserve"> </v>
      </c>
      <c r="BB79" s="374" t="str">
        <f>IF(OR(AZ79="TC",AZ79="MT"),'CARGA DOCENTE'!$B1406," ")</f>
        <v xml:space="preserve"> </v>
      </c>
      <c r="BC79" s="374" t="str">
        <f>IF(OR(AZ79="TC",AZ79="MT"),'CARGA DOCENTE'!$C1406," ")</f>
        <v xml:space="preserve"> </v>
      </c>
      <c r="BD79" s="374" t="str">
        <f>IF(OR(AZ79="TC",AZ79="MT"),'CARGA DOCENTE'!$G1406," ")</f>
        <v xml:space="preserve"> </v>
      </c>
      <c r="BE79" s="372">
        <f>'CARGA DOCENTE'!$H1407</f>
        <v>0</v>
      </c>
      <c r="BF79" s="373" t="str">
        <f>IF(OR(BE79="TC",BE79="MT"),'CARGA DOCENTE'!$A1407," ")</f>
        <v xml:space="preserve"> </v>
      </c>
      <c r="BG79" s="374" t="str">
        <f>IF(OR(BE79="TC",BE79="MT"),'CARGA DOCENTE'!$B1407," ")</f>
        <v xml:space="preserve"> </v>
      </c>
      <c r="BH79" s="374" t="str">
        <f>IF(OR(BE79="TC",BE79="MT"),'CARGA DOCENTE'!$C1407," ")</f>
        <v xml:space="preserve"> </v>
      </c>
      <c r="BI79" s="374" t="str">
        <f>IF(OR(BE79="TC",BE79="MT"),'CARGA DOCENTE'!$G1407," ")</f>
        <v xml:space="preserve"> </v>
      </c>
      <c r="BJ79" s="372">
        <f>'CARGA DOCENTE'!$H1408</f>
        <v>0</v>
      </c>
      <c r="BK79" s="373" t="str">
        <f>IF(OR(BJ79="TC",BJ79="MT"),'CARGA DOCENTE'!$A1408," ")</f>
        <v xml:space="preserve"> </v>
      </c>
      <c r="BL79" s="374" t="str">
        <f>IF(OR(BJ79="TC",BJ79="MT"),'CARGA DOCENTE'!$B1408," ")</f>
        <v xml:space="preserve"> </v>
      </c>
      <c r="BM79" s="374" t="str">
        <f>IF(OR(BJ79="TC",BJ79="MT"),'CARGA DOCENTE'!$C1408," ")</f>
        <v xml:space="preserve"> </v>
      </c>
      <c r="BN79" s="374" t="str">
        <f>IF(OR(BJ79="TC",BJ79="MT"),'CARGA DOCENTE'!$G1408," ")</f>
        <v xml:space="preserve"> </v>
      </c>
      <c r="BO79" s="372">
        <f>'CARGA DOCENTE'!$H1409</f>
        <v>0</v>
      </c>
      <c r="BP79" s="373" t="str">
        <f>IF(OR(BO79="TC",BO79="MT"),'CARGA DOCENTE'!$A1409," ")</f>
        <v xml:space="preserve"> </v>
      </c>
      <c r="BQ79" s="374" t="str">
        <f>IF(OR(BO79="TC",BO79="MT"),'CARGA DOCENTE'!$B1409," ")</f>
        <v xml:space="preserve"> </v>
      </c>
      <c r="BR79" s="374" t="str">
        <f>IF(OR(BO79="TC",BO79="MT"),'CARGA DOCENTE'!$C1409," ")</f>
        <v xml:space="preserve"> </v>
      </c>
      <c r="BS79" s="374" t="str">
        <f>IF(OR(BO79="TC",BO79="MT"),'CARGA DOCENTE'!$G1409," ")</f>
        <v xml:space="preserve"> </v>
      </c>
      <c r="BT79" s="372">
        <f>'CARGA DOCENTE'!$H1410</f>
        <v>0</v>
      </c>
      <c r="BU79" s="373" t="str">
        <f>IF(OR(BT79="TC",BT79="MT"),'CARGA DOCENTE'!$A1410," ")</f>
        <v xml:space="preserve"> </v>
      </c>
      <c r="BV79" s="374" t="str">
        <f>IF(OR(BT79="TC",BT79="MT"),'CARGA DOCENTE'!$B1410," ")</f>
        <v xml:space="preserve"> </v>
      </c>
      <c r="BW79" s="374" t="str">
        <f>IF(OR(BT79="TC",BT79="MT"),'CARGA DOCENTE'!$C1410," ")</f>
        <v xml:space="preserve"> </v>
      </c>
      <c r="BX79" s="374" t="str">
        <f>IF(OR(BT79="TC",BT79="MT"),'CARGA DOCENTE'!$G1410," ")</f>
        <v xml:space="preserve"> </v>
      </c>
    </row>
    <row r="80" spans="1:76" x14ac:dyDescent="0.2">
      <c r="A80" s="378">
        <f>'CARGA DOCENTE'!J1414</f>
        <v>0</v>
      </c>
      <c r="B80" s="372">
        <f>'CARGA DOCENTE'!$H1414</f>
        <v>0</v>
      </c>
      <c r="C80" s="373" t="str">
        <f>IF(OR(B80="TC",B80="MT"),'CARGA DOCENTE'!$A1414," ")</f>
        <v xml:space="preserve"> </v>
      </c>
      <c r="D80" s="374" t="str">
        <f>IF(OR(B80="TC",B80="MT"),'CARGA DOCENTE'!$B1414," ")</f>
        <v xml:space="preserve"> </v>
      </c>
      <c r="E80" s="374" t="str">
        <f>IF(OR(B80="TC",B80="MT"),'CARGA DOCENTE'!$C1414," ")</f>
        <v xml:space="preserve"> </v>
      </c>
      <c r="F80" s="374" t="str">
        <f>IF(OR(B80="TC",B80="MT"),'CARGA DOCENTE'!$G1414," ")</f>
        <v xml:space="preserve"> </v>
      </c>
      <c r="G80" s="372">
        <f>'CARGA DOCENTE'!$H1415</f>
        <v>0</v>
      </c>
      <c r="H80" s="373" t="str">
        <f>IF(OR(G80="TC",G80="MT"),'CARGA DOCENTE'!$A1415," ")</f>
        <v xml:space="preserve"> </v>
      </c>
      <c r="I80" s="374" t="str">
        <f>IF(OR(G80="TC",G80="MT"),'CARGA DOCENTE'!$B1415," ")</f>
        <v xml:space="preserve"> </v>
      </c>
      <c r="J80" s="374" t="str">
        <f>IF(OR(G80="TC",G80="MT"),'CARGA DOCENTE'!$C1415," ")</f>
        <v xml:space="preserve"> </v>
      </c>
      <c r="K80" s="374" t="str">
        <f>IF(OR(G80="TC",G80="MT"),'CARGA DOCENTE'!$G1415," ")</f>
        <v xml:space="preserve"> </v>
      </c>
      <c r="L80" s="372">
        <f>'CARGA DOCENTE'!$H1416</f>
        <v>0</v>
      </c>
      <c r="M80" s="373" t="str">
        <f>IF(OR(L80="TC",L80="MT"),'CARGA DOCENTE'!$A1416," ")</f>
        <v xml:space="preserve"> </v>
      </c>
      <c r="N80" s="374" t="str">
        <f>IF(OR(L80="TC",L80="MT"),'CARGA DOCENTE'!$B1416," ")</f>
        <v xml:space="preserve"> </v>
      </c>
      <c r="O80" s="374" t="str">
        <f>IF(OR(L80="TC",L80="MT"),'CARGA DOCENTE'!$C1416," ")</f>
        <v xml:space="preserve"> </v>
      </c>
      <c r="P80" s="374" t="str">
        <f>IF(OR(L80="TC",L80="MT"),'CARGA DOCENTE'!$G1416," ")</f>
        <v xml:space="preserve"> </v>
      </c>
      <c r="Q80" s="372">
        <f>'CARGA DOCENTE'!$H1417</f>
        <v>0</v>
      </c>
      <c r="R80" s="373" t="str">
        <f>IF(OR(Q80="TC",Q80="MT"),'CARGA DOCENTE'!$A1417," ")</f>
        <v xml:space="preserve"> </v>
      </c>
      <c r="S80" s="374" t="str">
        <f>IF(OR(Q80="TC",Q80="MT"),'CARGA DOCENTE'!$B1417," ")</f>
        <v xml:space="preserve"> </v>
      </c>
      <c r="T80" s="374" t="str">
        <f>IF(OR(Q80="TC",Q80="MT"),'CARGA DOCENTE'!$C1417," ")</f>
        <v xml:space="preserve"> </v>
      </c>
      <c r="U80" s="374" t="str">
        <f>IF(OR(Q80="TC",Q80="MT"),'CARGA DOCENTE'!$G1417," ")</f>
        <v xml:space="preserve"> </v>
      </c>
      <c r="V80" s="372">
        <f>'CARGA DOCENTE'!$H1418</f>
        <v>0</v>
      </c>
      <c r="W80" s="373" t="str">
        <f>IF(OR(V80="TC",V80="MT"),'CARGA DOCENTE'!$A1418," ")</f>
        <v xml:space="preserve"> </v>
      </c>
      <c r="X80" s="374" t="str">
        <f>IF(OR(V80="TC",V80="MT"),'CARGA DOCENTE'!$B1418," ")</f>
        <v xml:space="preserve"> </v>
      </c>
      <c r="Y80" s="374" t="str">
        <f>IF(OR(V80="TC",V80="MT"),'CARGA DOCENTE'!$C1418," ")</f>
        <v xml:space="preserve"> </v>
      </c>
      <c r="Z80" s="374" t="str">
        <f>IF(OR(V80="TC",V80="MT"),'CARGA DOCENTE'!$G1418," ")</f>
        <v xml:space="preserve"> </v>
      </c>
      <c r="AA80" s="372">
        <f>'CARGA DOCENTE'!$H1419</f>
        <v>0</v>
      </c>
      <c r="AB80" s="373" t="str">
        <f>IF(OR(AA80="TC",AA80="MT"),'CARGA DOCENTE'!$A1419," ")</f>
        <v xml:space="preserve"> </v>
      </c>
      <c r="AC80" s="374" t="str">
        <f>IF(OR(AA80="TC",AA80="MT"),'CARGA DOCENTE'!$B1419," ")</f>
        <v xml:space="preserve"> </v>
      </c>
      <c r="AD80" s="374" t="str">
        <f>IF(OR(AA80="TC",AA80="MT"),'CARGA DOCENTE'!$C1419," ")</f>
        <v xml:space="preserve"> </v>
      </c>
      <c r="AE80" s="374" t="str">
        <f>IF(OR(AA80="TC",AA80="MT"),'CARGA DOCENTE'!$G1419," ")</f>
        <v xml:space="preserve"> </v>
      </c>
      <c r="AF80" s="372">
        <f>'CARGA DOCENTE'!$H1420</f>
        <v>0</v>
      </c>
      <c r="AG80" s="373" t="str">
        <f>IF(OR(AF80="TC",AF80="MT"),'CARGA DOCENTE'!$A1420," ")</f>
        <v xml:space="preserve"> </v>
      </c>
      <c r="AH80" s="374" t="str">
        <f>IF(OR(AF80="TC",AF80="MT"),'CARGA DOCENTE'!$B1420," ")</f>
        <v xml:space="preserve"> </v>
      </c>
      <c r="AI80" s="374" t="str">
        <f>IF(OR(AF80="TC",AF80="MT"),'CARGA DOCENTE'!$C1420," ")</f>
        <v xml:space="preserve"> </v>
      </c>
      <c r="AJ80" s="374" t="str">
        <f>IF(OR(AF80="TC",AF80="MT"),'CARGA DOCENTE'!$G1420," ")</f>
        <v xml:space="preserve"> </v>
      </c>
      <c r="AK80" s="372">
        <f>'CARGA DOCENTE'!$H1421</f>
        <v>0</v>
      </c>
      <c r="AL80" s="373" t="str">
        <f>IF(OR(AK80="TC",AK80="MT"),'CARGA DOCENTE'!$A1421," ")</f>
        <v xml:space="preserve"> </v>
      </c>
      <c r="AM80" s="374" t="str">
        <f>IF(OR(AK80="TC",AK80="MT"),'CARGA DOCENTE'!$B1421," ")</f>
        <v xml:space="preserve"> </v>
      </c>
      <c r="AN80" s="374" t="str">
        <f>IF(OR(AK80="TC",AK80="MT"),'CARGA DOCENTE'!$C1421," ")</f>
        <v xml:space="preserve"> </v>
      </c>
      <c r="AO80" s="374" t="str">
        <f>IF(OR(AK80="TC",AK80="MT"),'CARGA DOCENTE'!$G1421," ")</f>
        <v xml:space="preserve"> </v>
      </c>
      <c r="AP80" s="372">
        <f>'CARGA DOCENTE'!$H1422</f>
        <v>0</v>
      </c>
      <c r="AQ80" s="379" t="str">
        <f>IF(OR(AP80="TC",AP80="MT"),'CARGA DOCENTE'!$A1422," ")</f>
        <v xml:space="preserve"> </v>
      </c>
      <c r="AR80" s="380" t="str">
        <f>IF(OR(AP80="TC",AP80="MT"),'CARGA DOCENTE'!$B1422," ")</f>
        <v xml:space="preserve"> </v>
      </c>
      <c r="AS80" s="380" t="str">
        <f>IF(OR(AP80="TC",AP80="MT"),'CARGA DOCENTE'!$C1422," ")</f>
        <v xml:space="preserve"> </v>
      </c>
      <c r="AT80" s="380" t="str">
        <f>IF(OR(AP80="TC",AP80="MT"),'CARGA DOCENTE'!$G1422," ")</f>
        <v xml:space="preserve"> </v>
      </c>
      <c r="AU80" s="372">
        <f>'CARGA DOCENTE'!$H1423</f>
        <v>0</v>
      </c>
      <c r="AV80" s="373" t="str">
        <f>IF(OR(AU80="TC",AU80="MT"),'CARGA DOCENTE'!$A1423," ")</f>
        <v xml:space="preserve"> </v>
      </c>
      <c r="AW80" s="374" t="str">
        <f>IF(OR(AU80="TC",AU80="MT"),'CARGA DOCENTE'!$B1423," ")</f>
        <v xml:space="preserve"> </v>
      </c>
      <c r="AX80" s="374" t="str">
        <f>IF(OR(AU80="TC",AU80="MT"),'CARGA DOCENTE'!$C1423," ")</f>
        <v xml:space="preserve"> </v>
      </c>
      <c r="AY80" s="374" t="str">
        <f>IF(OR(AU80="TC",AU80="MT"),'CARGA DOCENTE'!$G1423," ")</f>
        <v xml:space="preserve"> </v>
      </c>
      <c r="AZ80" s="372">
        <f>'CARGA DOCENTE'!$H1424</f>
        <v>0</v>
      </c>
      <c r="BA80" s="373" t="str">
        <f>IF(OR(AZ80="TC",AZ80="MT"),'CARGA DOCENTE'!$A1424," ")</f>
        <v xml:space="preserve"> </v>
      </c>
      <c r="BB80" s="374" t="str">
        <f>IF(OR(AZ80="TC",AZ80="MT"),'CARGA DOCENTE'!$B1424," ")</f>
        <v xml:space="preserve"> </v>
      </c>
      <c r="BC80" s="374" t="str">
        <f>IF(OR(AZ80="TC",AZ80="MT"),'CARGA DOCENTE'!$C1424," ")</f>
        <v xml:space="preserve"> </v>
      </c>
      <c r="BD80" s="374" t="str">
        <f>IF(OR(AZ80="TC",AZ80="MT"),'CARGA DOCENTE'!$G1424," ")</f>
        <v xml:space="preserve"> </v>
      </c>
      <c r="BE80" s="372">
        <f>'CARGA DOCENTE'!$H1425</f>
        <v>0</v>
      </c>
      <c r="BF80" s="373" t="str">
        <f>IF(OR(BE80="TC",BE80="MT"),'CARGA DOCENTE'!$A1425," ")</f>
        <v xml:space="preserve"> </v>
      </c>
      <c r="BG80" s="374" t="str">
        <f>IF(OR(BE80="TC",BE80="MT"),'CARGA DOCENTE'!$B1425," ")</f>
        <v xml:space="preserve"> </v>
      </c>
      <c r="BH80" s="374" t="str">
        <f>IF(OR(BE80="TC",BE80="MT"),'CARGA DOCENTE'!$C1425," ")</f>
        <v xml:space="preserve"> </v>
      </c>
      <c r="BI80" s="374" t="str">
        <f>IF(OR(BE80="TC",BE80="MT"),'CARGA DOCENTE'!$G1425," ")</f>
        <v xml:space="preserve"> </v>
      </c>
      <c r="BJ80" s="372">
        <f>'CARGA DOCENTE'!$H1426</f>
        <v>0</v>
      </c>
      <c r="BK80" s="373" t="str">
        <f>IF(OR(BJ80="TC",BJ80="MT"),'CARGA DOCENTE'!$A1426," ")</f>
        <v xml:space="preserve"> </v>
      </c>
      <c r="BL80" s="374" t="str">
        <f>IF(OR(BJ80="TC",BJ80="MT"),'CARGA DOCENTE'!$B1426," ")</f>
        <v xml:space="preserve"> </v>
      </c>
      <c r="BM80" s="374" t="str">
        <f>IF(OR(BJ80="TC",BJ80="MT"),'CARGA DOCENTE'!$C1426," ")</f>
        <v xml:space="preserve"> </v>
      </c>
      <c r="BN80" s="374" t="str">
        <f>IF(OR(BJ80="TC",BJ80="MT"),'CARGA DOCENTE'!$G1426," ")</f>
        <v xml:space="preserve"> </v>
      </c>
      <c r="BO80" s="372">
        <f>'CARGA DOCENTE'!$H1427</f>
        <v>0</v>
      </c>
      <c r="BP80" s="373" t="str">
        <f>IF(OR(BO80="TC",BO80="MT"),'CARGA DOCENTE'!$A1427," ")</f>
        <v xml:space="preserve"> </v>
      </c>
      <c r="BQ80" s="374" t="str">
        <f>IF(OR(BO80="TC",BO80="MT"),'CARGA DOCENTE'!$B1427," ")</f>
        <v xml:space="preserve"> </v>
      </c>
      <c r="BR80" s="374" t="str">
        <f>IF(OR(BO80="TC",BO80="MT"),'CARGA DOCENTE'!$C1427," ")</f>
        <v xml:space="preserve"> </v>
      </c>
      <c r="BS80" s="374" t="str">
        <f>IF(OR(BO80="TC",BO80="MT"),'CARGA DOCENTE'!$G1427," ")</f>
        <v xml:space="preserve"> </v>
      </c>
      <c r="BT80" s="372">
        <f>'CARGA DOCENTE'!$H1428</f>
        <v>0</v>
      </c>
      <c r="BU80" s="373" t="str">
        <f>IF(OR(BT80="TC",BT80="MT"),'CARGA DOCENTE'!$A1428," ")</f>
        <v xml:space="preserve"> </v>
      </c>
      <c r="BV80" s="374" t="str">
        <f>IF(OR(BT80="TC",BT80="MT"),'CARGA DOCENTE'!$B1428," ")</f>
        <v xml:space="preserve"> </v>
      </c>
      <c r="BW80" s="374" t="str">
        <f>IF(OR(BT80="TC",BT80="MT"),'CARGA DOCENTE'!$C1428," ")</f>
        <v xml:space="preserve"> </v>
      </c>
      <c r="BX80" s="374" t="str">
        <f>IF(OR(BT80="TC",BT80="MT"),'CARGA DOCENTE'!$G1428," ")</f>
        <v xml:space="preserve"> </v>
      </c>
    </row>
    <row r="81" spans="1:76" x14ac:dyDescent="0.2">
      <c r="A81" s="378">
        <f>'CARGA DOCENTE'!J1432</f>
        <v>0</v>
      </c>
      <c r="B81" s="372">
        <f>'CARGA DOCENTE'!$H1432</f>
        <v>0</v>
      </c>
      <c r="C81" s="373" t="str">
        <f>IF(OR(B81="TC",B81="MT"),'CARGA DOCENTE'!$A1432," ")</f>
        <v xml:space="preserve"> </v>
      </c>
      <c r="D81" s="374" t="str">
        <f>IF(OR(B81="TC",B81="MT"),'CARGA DOCENTE'!$B1432," ")</f>
        <v xml:space="preserve"> </v>
      </c>
      <c r="E81" s="374" t="str">
        <f>IF(OR(B81="TC",B81="MT"),'CARGA DOCENTE'!$C1432," ")</f>
        <v xml:space="preserve"> </v>
      </c>
      <c r="F81" s="374" t="str">
        <f>IF(OR(B81="TC",B81="MT"),'CARGA DOCENTE'!$G1432," ")</f>
        <v xml:space="preserve"> </v>
      </c>
      <c r="G81" s="372">
        <f>'CARGA DOCENTE'!$H1433</f>
        <v>0</v>
      </c>
      <c r="H81" s="373" t="str">
        <f>IF(OR(G81="TC",G81="MT"),'CARGA DOCENTE'!$A1433," ")</f>
        <v xml:space="preserve"> </v>
      </c>
      <c r="I81" s="374" t="str">
        <f>IF(OR(G81="TC",G81="MT"),'CARGA DOCENTE'!$B1433," ")</f>
        <v xml:space="preserve"> </v>
      </c>
      <c r="J81" s="374" t="str">
        <f>IF(OR(G81="TC",G81="MT"),'CARGA DOCENTE'!$C1433," ")</f>
        <v xml:space="preserve"> </v>
      </c>
      <c r="K81" s="374" t="str">
        <f>IF(OR(G81="TC",G81="MT"),'CARGA DOCENTE'!$G1433," ")</f>
        <v xml:space="preserve"> </v>
      </c>
      <c r="L81" s="372">
        <f>'CARGA DOCENTE'!$H1434</f>
        <v>0</v>
      </c>
      <c r="M81" s="373" t="str">
        <f>IF(OR(L81="TC",L81="MT"),'CARGA DOCENTE'!$A1434," ")</f>
        <v xml:space="preserve"> </v>
      </c>
      <c r="N81" s="374" t="str">
        <f>IF(OR(L81="TC",L81="MT"),'CARGA DOCENTE'!$B1434," ")</f>
        <v xml:space="preserve"> </v>
      </c>
      <c r="O81" s="374" t="str">
        <f>IF(OR(L81="TC",L81="MT"),'CARGA DOCENTE'!$C1434," ")</f>
        <v xml:space="preserve"> </v>
      </c>
      <c r="P81" s="374" t="str">
        <f>IF(OR(L81="TC",L81="MT"),'CARGA DOCENTE'!$G1434," ")</f>
        <v xml:space="preserve"> </v>
      </c>
      <c r="Q81" s="372">
        <f>'CARGA DOCENTE'!$H1435</f>
        <v>0</v>
      </c>
      <c r="R81" s="373" t="str">
        <f>IF(OR(Q81="TC",Q81="MT"),'CARGA DOCENTE'!$A1435," ")</f>
        <v xml:space="preserve"> </v>
      </c>
      <c r="S81" s="374" t="str">
        <f>IF(OR(Q81="TC",Q81="MT"),'CARGA DOCENTE'!$B1435," ")</f>
        <v xml:space="preserve"> </v>
      </c>
      <c r="T81" s="374" t="str">
        <f>IF(OR(Q81="TC",Q81="MT"),'CARGA DOCENTE'!$C1435," ")</f>
        <v xml:space="preserve"> </v>
      </c>
      <c r="U81" s="374" t="str">
        <f>IF(OR(Q81="TC",Q81="MT"),'CARGA DOCENTE'!$G1435," ")</f>
        <v xml:space="preserve"> </v>
      </c>
      <c r="V81" s="372">
        <f>'CARGA DOCENTE'!$H1436</f>
        <v>0</v>
      </c>
      <c r="W81" s="373" t="str">
        <f>IF(OR(V81="TC",V81="MT"),'CARGA DOCENTE'!$A1436," ")</f>
        <v xml:space="preserve"> </v>
      </c>
      <c r="X81" s="374" t="str">
        <f>IF(OR(V81="TC",V81="MT"),'CARGA DOCENTE'!$B1436," ")</f>
        <v xml:space="preserve"> </v>
      </c>
      <c r="Y81" s="374" t="str">
        <f>IF(OR(V81="TC",V81="MT"),'CARGA DOCENTE'!$C1436," ")</f>
        <v xml:space="preserve"> </v>
      </c>
      <c r="Z81" s="374" t="str">
        <f>IF(OR(V81="TC",V81="MT"),'CARGA DOCENTE'!$G1436," ")</f>
        <v xml:space="preserve"> </v>
      </c>
      <c r="AA81" s="372">
        <f>'CARGA DOCENTE'!$H1437</f>
        <v>0</v>
      </c>
      <c r="AB81" s="373" t="str">
        <f>IF(OR(AA81="TC",AA81="MT"),'CARGA DOCENTE'!$A1437," ")</f>
        <v xml:space="preserve"> </v>
      </c>
      <c r="AC81" s="374" t="str">
        <f>IF(OR(AA81="TC",AA81="MT"),'CARGA DOCENTE'!$B1437," ")</f>
        <v xml:space="preserve"> </v>
      </c>
      <c r="AD81" s="374" t="str">
        <f>IF(OR(AA81="TC",AA81="MT"),'CARGA DOCENTE'!$C1437," ")</f>
        <v xml:space="preserve"> </v>
      </c>
      <c r="AE81" s="374" t="str">
        <f>IF(OR(AA81="TC",AA81="MT"),'CARGA DOCENTE'!$G1437," ")</f>
        <v xml:space="preserve"> </v>
      </c>
      <c r="AF81" s="372">
        <f>'CARGA DOCENTE'!$H1438</f>
        <v>0</v>
      </c>
      <c r="AG81" s="373" t="str">
        <f>IF(OR(AF81="TC",AF81="MT"),'CARGA DOCENTE'!$A1438," ")</f>
        <v xml:space="preserve"> </v>
      </c>
      <c r="AH81" s="374" t="str">
        <f>IF(OR(AF81="TC",AF81="MT"),'CARGA DOCENTE'!$B1438," ")</f>
        <v xml:space="preserve"> </v>
      </c>
      <c r="AI81" s="374" t="str">
        <f>IF(OR(AF81="TC",AF81="MT"),'CARGA DOCENTE'!$C1438," ")</f>
        <v xml:space="preserve"> </v>
      </c>
      <c r="AJ81" s="374" t="str">
        <f>IF(OR(AF81="TC",AF81="MT"),'CARGA DOCENTE'!$G1438," ")</f>
        <v xml:space="preserve"> </v>
      </c>
      <c r="AK81" s="372">
        <f>'CARGA DOCENTE'!$H1439</f>
        <v>0</v>
      </c>
      <c r="AL81" s="373" t="str">
        <f>IF(OR(AK81="TC",AK81="MT"),'CARGA DOCENTE'!$A1439," ")</f>
        <v xml:space="preserve"> </v>
      </c>
      <c r="AM81" s="374" t="str">
        <f>IF(OR(AK81="TC",AK81="MT"),'CARGA DOCENTE'!$B1439," ")</f>
        <v xml:space="preserve"> </v>
      </c>
      <c r="AN81" s="374" t="str">
        <f>IF(OR(AK81="TC",AK81="MT"),'CARGA DOCENTE'!$C1439," ")</f>
        <v xml:space="preserve"> </v>
      </c>
      <c r="AO81" s="374" t="str">
        <f>IF(OR(AK81="TC",AK81="MT"),'CARGA DOCENTE'!$G1439," ")</f>
        <v xml:space="preserve"> </v>
      </c>
      <c r="AP81" s="372">
        <f>'CARGA DOCENTE'!$H1440</f>
        <v>0</v>
      </c>
      <c r="AQ81" s="379" t="str">
        <f>IF(OR(AP81="TC",AP81="MT"),'CARGA DOCENTE'!$A1440," ")</f>
        <v xml:space="preserve"> </v>
      </c>
      <c r="AR81" s="380" t="str">
        <f>IF(OR(AP81="TC",AP81="MT"),'CARGA DOCENTE'!$B1440," ")</f>
        <v xml:space="preserve"> </v>
      </c>
      <c r="AS81" s="380" t="str">
        <f>IF(OR(AP81="TC",AP81="MT"),'CARGA DOCENTE'!$C1440," ")</f>
        <v xml:space="preserve"> </v>
      </c>
      <c r="AT81" s="380" t="str">
        <f>IF(OR(AP81="TC",AP81="MT"),'CARGA DOCENTE'!$G1440," ")</f>
        <v xml:space="preserve"> </v>
      </c>
      <c r="AU81" s="372">
        <f>'CARGA DOCENTE'!$H1441</f>
        <v>0</v>
      </c>
      <c r="AV81" s="373" t="str">
        <f>IF(OR(AU81="TC",AU81="MT"),'CARGA DOCENTE'!$A1441," ")</f>
        <v xml:space="preserve"> </v>
      </c>
      <c r="AW81" s="374" t="str">
        <f>IF(OR(AU81="TC",AU81="MT"),'CARGA DOCENTE'!$B1441," ")</f>
        <v xml:space="preserve"> </v>
      </c>
      <c r="AX81" s="374" t="str">
        <f>IF(OR(AU81="TC",AU81="MT"),'CARGA DOCENTE'!$C1441," ")</f>
        <v xml:space="preserve"> </v>
      </c>
      <c r="AY81" s="374" t="str">
        <f>IF(OR(AU81="TC",AU81="MT"),'CARGA DOCENTE'!$G1441," ")</f>
        <v xml:space="preserve"> </v>
      </c>
      <c r="AZ81" s="372">
        <f>'CARGA DOCENTE'!$H1442</f>
        <v>0</v>
      </c>
      <c r="BA81" s="373" t="str">
        <f>IF(OR(AZ81="TC",AZ81="MT"),'CARGA DOCENTE'!$A1442," ")</f>
        <v xml:space="preserve"> </v>
      </c>
      <c r="BB81" s="374" t="str">
        <f>IF(OR(AZ81="TC",AZ81="MT"),'CARGA DOCENTE'!$B1442," ")</f>
        <v xml:space="preserve"> </v>
      </c>
      <c r="BC81" s="374" t="str">
        <f>IF(OR(AZ81="TC",AZ81="MT"),'CARGA DOCENTE'!$C1442," ")</f>
        <v xml:space="preserve"> </v>
      </c>
      <c r="BD81" s="374" t="str">
        <f>IF(OR(AZ81="TC",AZ81="MT"),'CARGA DOCENTE'!$G1442," ")</f>
        <v xml:space="preserve"> </v>
      </c>
      <c r="BE81" s="372">
        <f>'CARGA DOCENTE'!$H1443</f>
        <v>0</v>
      </c>
      <c r="BF81" s="373" t="str">
        <f>IF(OR(BE81="TC",BE81="MT"),'CARGA DOCENTE'!$A1443," ")</f>
        <v xml:space="preserve"> </v>
      </c>
      <c r="BG81" s="374" t="str">
        <f>IF(OR(BE81="TC",BE81="MT"),'CARGA DOCENTE'!$B1443," ")</f>
        <v xml:space="preserve"> </v>
      </c>
      <c r="BH81" s="374" t="str">
        <f>IF(OR(BE81="TC",BE81="MT"),'CARGA DOCENTE'!$C1443," ")</f>
        <v xml:space="preserve"> </v>
      </c>
      <c r="BI81" s="374" t="str">
        <f>IF(OR(BE81="TC",BE81="MT"),'CARGA DOCENTE'!$G1443," ")</f>
        <v xml:space="preserve"> </v>
      </c>
      <c r="BJ81" s="372">
        <f>'CARGA DOCENTE'!$H1444</f>
        <v>0</v>
      </c>
      <c r="BK81" s="373" t="str">
        <f>IF(OR(BJ81="TC",BJ81="MT"),'CARGA DOCENTE'!$A1444," ")</f>
        <v xml:space="preserve"> </v>
      </c>
      <c r="BL81" s="374" t="str">
        <f>IF(OR(BJ81="TC",BJ81="MT"),'CARGA DOCENTE'!$B1444," ")</f>
        <v xml:space="preserve"> </v>
      </c>
      <c r="BM81" s="374" t="str">
        <f>IF(OR(BJ81="TC",BJ81="MT"),'CARGA DOCENTE'!$C1444," ")</f>
        <v xml:space="preserve"> </v>
      </c>
      <c r="BN81" s="374" t="str">
        <f>IF(OR(BJ81="TC",BJ81="MT"),'CARGA DOCENTE'!$G1444," ")</f>
        <v xml:space="preserve"> </v>
      </c>
      <c r="BO81" s="372">
        <f>'CARGA DOCENTE'!$H1445</f>
        <v>0</v>
      </c>
      <c r="BP81" s="373" t="str">
        <f>IF(OR(BO81="TC",BO81="MT"),'CARGA DOCENTE'!$A1445," ")</f>
        <v xml:space="preserve"> </v>
      </c>
      <c r="BQ81" s="374" t="str">
        <f>IF(OR(BO81="TC",BO81="MT"),'CARGA DOCENTE'!$B1445," ")</f>
        <v xml:space="preserve"> </v>
      </c>
      <c r="BR81" s="374" t="str">
        <f>IF(OR(BO81="TC",BO81="MT"),'CARGA DOCENTE'!$C1445," ")</f>
        <v xml:space="preserve"> </v>
      </c>
      <c r="BS81" s="374" t="str">
        <f>IF(OR(BO81="TC",BO81="MT"),'CARGA DOCENTE'!$G1445," ")</f>
        <v xml:space="preserve"> </v>
      </c>
      <c r="BT81" s="372">
        <f>'CARGA DOCENTE'!$H1446</f>
        <v>0</v>
      </c>
      <c r="BU81" s="373" t="str">
        <f>IF(OR(BT81="TC",BT81="MT"),'CARGA DOCENTE'!$A1446," ")</f>
        <v xml:space="preserve"> </v>
      </c>
      <c r="BV81" s="374" t="str">
        <f>IF(OR(BT81="TC",BT81="MT"),'CARGA DOCENTE'!$B1446," ")</f>
        <v xml:space="preserve"> </v>
      </c>
      <c r="BW81" s="374" t="str">
        <f>IF(OR(BT81="TC",BT81="MT"),'CARGA DOCENTE'!$C1446," ")</f>
        <v xml:space="preserve"> </v>
      </c>
      <c r="BX81" s="374" t="str">
        <f>IF(OR(BT81="TC",BT81="MT"),'CARGA DOCENTE'!$G1446," ")</f>
        <v xml:space="preserve"> </v>
      </c>
    </row>
    <row r="82" spans="1:76" x14ac:dyDescent="0.2">
      <c r="A82" s="378">
        <f>'CARGA DOCENTE'!J1450</f>
        <v>0</v>
      </c>
      <c r="B82" s="372">
        <f>'CARGA DOCENTE'!$H1450</f>
        <v>0</v>
      </c>
      <c r="C82" s="373" t="str">
        <f>IF(OR(B82="TC",B82="MT"),'CARGA DOCENTE'!$A1450," ")</f>
        <v xml:space="preserve"> </v>
      </c>
      <c r="D82" s="374" t="str">
        <f>IF(OR(B82="TC",B82="MT"),'CARGA DOCENTE'!$B1450," ")</f>
        <v xml:space="preserve"> </v>
      </c>
      <c r="E82" s="374" t="str">
        <f>IF(OR(B82="TC",B82="MT"),'CARGA DOCENTE'!$C1450," ")</f>
        <v xml:space="preserve"> </v>
      </c>
      <c r="F82" s="374" t="str">
        <f>IF(OR(B82="TC",B82="MT"),'CARGA DOCENTE'!$G1450," ")</f>
        <v xml:space="preserve"> </v>
      </c>
      <c r="G82" s="372">
        <f>'CARGA DOCENTE'!$H1451</f>
        <v>0</v>
      </c>
      <c r="H82" s="373" t="str">
        <f>IF(OR(G82="TC",G82="MT"),'CARGA DOCENTE'!$A1451," ")</f>
        <v xml:space="preserve"> </v>
      </c>
      <c r="I82" s="374" t="str">
        <f>IF(OR(G82="TC",G82="MT"),'CARGA DOCENTE'!$B1451," ")</f>
        <v xml:space="preserve"> </v>
      </c>
      <c r="J82" s="374" t="str">
        <f>IF(OR(G82="TC",G82="MT"),'CARGA DOCENTE'!$C1451," ")</f>
        <v xml:space="preserve"> </v>
      </c>
      <c r="K82" s="374" t="str">
        <f>IF(OR(G82="TC",G82="MT"),'CARGA DOCENTE'!$G1451," ")</f>
        <v xml:space="preserve"> </v>
      </c>
      <c r="L82" s="372">
        <f>'CARGA DOCENTE'!$H1452</f>
        <v>0</v>
      </c>
      <c r="M82" s="373" t="str">
        <f>IF(OR(L82="TC",L82="MT"),'CARGA DOCENTE'!$A1452," ")</f>
        <v xml:space="preserve"> </v>
      </c>
      <c r="N82" s="374" t="str">
        <f>IF(OR(L82="TC",L82="MT"),'CARGA DOCENTE'!$B1452," ")</f>
        <v xml:space="preserve"> </v>
      </c>
      <c r="O82" s="374" t="str">
        <f>IF(OR(L82="TC",L82="MT"),'CARGA DOCENTE'!$C1452," ")</f>
        <v xml:space="preserve"> </v>
      </c>
      <c r="P82" s="374" t="str">
        <f>IF(OR(L82="TC",L82="MT"),'CARGA DOCENTE'!$G1452," ")</f>
        <v xml:space="preserve"> </v>
      </c>
      <c r="Q82" s="372">
        <f>'CARGA DOCENTE'!$H1453</f>
        <v>0</v>
      </c>
      <c r="R82" s="373" t="str">
        <f>IF(OR(Q82="TC",Q82="MT"),'CARGA DOCENTE'!$A1453," ")</f>
        <v xml:space="preserve"> </v>
      </c>
      <c r="S82" s="374" t="str">
        <f>IF(OR(Q82="TC",Q82="MT"),'CARGA DOCENTE'!$B1453," ")</f>
        <v xml:space="preserve"> </v>
      </c>
      <c r="T82" s="374" t="str">
        <f>IF(OR(Q82="TC",Q82="MT"),'CARGA DOCENTE'!$C1453," ")</f>
        <v xml:space="preserve"> </v>
      </c>
      <c r="U82" s="374" t="str">
        <f>IF(OR(Q82="TC",Q82="MT"),'CARGA DOCENTE'!$G1453," ")</f>
        <v xml:space="preserve"> </v>
      </c>
      <c r="V82" s="372">
        <f>'CARGA DOCENTE'!$H1454</f>
        <v>0</v>
      </c>
      <c r="W82" s="373" t="str">
        <f>IF(OR(V82="TC",V82="MT"),'CARGA DOCENTE'!$A1454," ")</f>
        <v xml:space="preserve"> </v>
      </c>
      <c r="X82" s="374" t="str">
        <f>IF(OR(V82="TC",V82="MT"),'CARGA DOCENTE'!$B1454," ")</f>
        <v xml:space="preserve"> </v>
      </c>
      <c r="Y82" s="374" t="str">
        <f>IF(OR(V82="TC",V82="MT"),'CARGA DOCENTE'!$C1454," ")</f>
        <v xml:space="preserve"> </v>
      </c>
      <c r="Z82" s="374" t="str">
        <f>IF(OR(V82="TC",V82="MT"),'CARGA DOCENTE'!$G1454," ")</f>
        <v xml:space="preserve"> </v>
      </c>
      <c r="AA82" s="372">
        <f>'CARGA DOCENTE'!$H1455</f>
        <v>0</v>
      </c>
      <c r="AB82" s="373" t="str">
        <f>IF(OR(AA82="TC",AA82="MT"),'CARGA DOCENTE'!$A1455," ")</f>
        <v xml:space="preserve"> </v>
      </c>
      <c r="AC82" s="374" t="str">
        <f>IF(OR(AA82="TC",AA82="MT"),'CARGA DOCENTE'!$B1455," ")</f>
        <v xml:space="preserve"> </v>
      </c>
      <c r="AD82" s="374" t="str">
        <f>IF(OR(AA82="TC",AA82="MT"),'CARGA DOCENTE'!$C1455," ")</f>
        <v xml:space="preserve"> </v>
      </c>
      <c r="AE82" s="374" t="str">
        <f>IF(OR(AA82="TC",AA82="MT"),'CARGA DOCENTE'!$G1455," ")</f>
        <v xml:space="preserve"> </v>
      </c>
      <c r="AF82" s="372">
        <f>'CARGA DOCENTE'!$H1456</f>
        <v>0</v>
      </c>
      <c r="AG82" s="373" t="str">
        <f>IF(OR(AF82="TC",AF82="MT"),'CARGA DOCENTE'!$A1456," ")</f>
        <v xml:space="preserve"> </v>
      </c>
      <c r="AH82" s="374" t="str">
        <f>IF(OR(AF82="TC",AF82="MT"),'CARGA DOCENTE'!$B1456," ")</f>
        <v xml:space="preserve"> </v>
      </c>
      <c r="AI82" s="374" t="str">
        <f>IF(OR(AF82="TC",AF82="MT"),'CARGA DOCENTE'!$C1456," ")</f>
        <v xml:space="preserve"> </v>
      </c>
      <c r="AJ82" s="374" t="str">
        <f>IF(OR(AF82="TC",AF82="MT"),'CARGA DOCENTE'!$G1456," ")</f>
        <v xml:space="preserve"> </v>
      </c>
      <c r="AK82" s="372">
        <f>'CARGA DOCENTE'!$H1457</f>
        <v>0</v>
      </c>
      <c r="AL82" s="373" t="str">
        <f>IF(OR(AK82="TC",AK82="MT"),'CARGA DOCENTE'!$A1457," ")</f>
        <v xml:space="preserve"> </v>
      </c>
      <c r="AM82" s="374" t="str">
        <f>IF(OR(AK82="TC",AK82="MT"),'CARGA DOCENTE'!$B1457," ")</f>
        <v xml:space="preserve"> </v>
      </c>
      <c r="AN82" s="374" t="str">
        <f>IF(OR(AK82="TC",AK82="MT"),'CARGA DOCENTE'!$C1457," ")</f>
        <v xml:space="preserve"> </v>
      </c>
      <c r="AO82" s="374" t="str">
        <f>IF(OR(AK82="TC",AK82="MT"),'CARGA DOCENTE'!$G1457," ")</f>
        <v xml:space="preserve"> </v>
      </c>
      <c r="AP82" s="372">
        <f>'CARGA DOCENTE'!$H1458</f>
        <v>0</v>
      </c>
      <c r="AQ82" s="379" t="str">
        <f>IF(OR(AP82="TC",AP82="MT"),'CARGA DOCENTE'!$A1458," ")</f>
        <v xml:space="preserve"> </v>
      </c>
      <c r="AR82" s="380" t="str">
        <f>IF(OR(AP82="TC",AP82="MT"),'CARGA DOCENTE'!$B1458," ")</f>
        <v xml:space="preserve"> </v>
      </c>
      <c r="AS82" s="380" t="str">
        <f>IF(OR(AP82="TC",AP82="MT"),'CARGA DOCENTE'!$C1458," ")</f>
        <v xml:space="preserve"> </v>
      </c>
      <c r="AT82" s="380" t="str">
        <f>IF(OR(AP82="TC",AP82="MT"),'CARGA DOCENTE'!$G1458," ")</f>
        <v xml:space="preserve"> </v>
      </c>
      <c r="AU82" s="372">
        <f>'CARGA DOCENTE'!$H1459</f>
        <v>0</v>
      </c>
      <c r="AV82" s="373" t="str">
        <f>IF(OR(AU82="TC",AU82="MT"),'CARGA DOCENTE'!$A1459," ")</f>
        <v xml:space="preserve"> </v>
      </c>
      <c r="AW82" s="374" t="str">
        <f>IF(OR(AU82="TC",AU82="MT"),'CARGA DOCENTE'!$B1459," ")</f>
        <v xml:space="preserve"> </v>
      </c>
      <c r="AX82" s="374" t="str">
        <f>IF(OR(AU82="TC",AU82="MT"),'CARGA DOCENTE'!$C1459," ")</f>
        <v xml:space="preserve"> </v>
      </c>
      <c r="AY82" s="374" t="str">
        <f>IF(OR(AU82="TC",AU82="MT"),'CARGA DOCENTE'!$G1459," ")</f>
        <v xml:space="preserve"> </v>
      </c>
      <c r="AZ82" s="372">
        <f>'CARGA DOCENTE'!$H1460</f>
        <v>0</v>
      </c>
      <c r="BA82" s="373" t="str">
        <f>IF(OR(AZ82="TC",AZ82="MT"),'CARGA DOCENTE'!$A1460," ")</f>
        <v xml:space="preserve"> </v>
      </c>
      <c r="BB82" s="374" t="str">
        <f>IF(OR(AZ82="TC",AZ82="MT"),'CARGA DOCENTE'!$B1460," ")</f>
        <v xml:space="preserve"> </v>
      </c>
      <c r="BC82" s="374" t="str">
        <f>IF(OR(AZ82="TC",AZ82="MT"),'CARGA DOCENTE'!$C1460," ")</f>
        <v xml:space="preserve"> </v>
      </c>
      <c r="BD82" s="374" t="str">
        <f>IF(OR(AZ82="TC",AZ82="MT"),'CARGA DOCENTE'!$G1460," ")</f>
        <v xml:space="preserve"> </v>
      </c>
      <c r="BE82" s="372">
        <f>'CARGA DOCENTE'!$H1461</f>
        <v>0</v>
      </c>
      <c r="BF82" s="373" t="str">
        <f>IF(OR(BE82="TC",BE82="MT"),'CARGA DOCENTE'!$A1461," ")</f>
        <v xml:space="preserve"> </v>
      </c>
      <c r="BG82" s="374" t="str">
        <f>IF(OR(BE82="TC",BE82="MT"),'CARGA DOCENTE'!$B1461," ")</f>
        <v xml:space="preserve"> </v>
      </c>
      <c r="BH82" s="374" t="str">
        <f>IF(OR(BE82="TC",BE82="MT"),'CARGA DOCENTE'!$C1461," ")</f>
        <v xml:space="preserve"> </v>
      </c>
      <c r="BI82" s="374" t="str">
        <f>IF(OR(BE82="TC",BE82="MT"),'CARGA DOCENTE'!$G1461," ")</f>
        <v xml:space="preserve"> </v>
      </c>
      <c r="BJ82" s="372">
        <f>'CARGA DOCENTE'!$H1462</f>
        <v>0</v>
      </c>
      <c r="BK82" s="373" t="str">
        <f>IF(OR(BJ82="TC",BJ82="MT"),'CARGA DOCENTE'!$A1462," ")</f>
        <v xml:space="preserve"> </v>
      </c>
      <c r="BL82" s="374" t="str">
        <f>IF(OR(BJ82="TC",BJ82="MT"),'CARGA DOCENTE'!$B1462," ")</f>
        <v xml:space="preserve"> </v>
      </c>
      <c r="BM82" s="374" t="str">
        <f>IF(OR(BJ82="TC",BJ82="MT"),'CARGA DOCENTE'!$C1462," ")</f>
        <v xml:space="preserve"> </v>
      </c>
      <c r="BN82" s="374" t="str">
        <f>IF(OR(BJ82="TC",BJ82="MT"),'CARGA DOCENTE'!$G1462," ")</f>
        <v xml:space="preserve"> </v>
      </c>
      <c r="BO82" s="372">
        <f>'CARGA DOCENTE'!$H1463</f>
        <v>0</v>
      </c>
      <c r="BP82" s="373" t="str">
        <f>IF(OR(BO82="TC",BO82="MT"),'CARGA DOCENTE'!$A1463," ")</f>
        <v xml:space="preserve"> </v>
      </c>
      <c r="BQ82" s="374" t="str">
        <f>IF(OR(BO82="TC",BO82="MT"),'CARGA DOCENTE'!$B1463," ")</f>
        <v xml:space="preserve"> </v>
      </c>
      <c r="BR82" s="374" t="str">
        <f>IF(OR(BO82="TC",BO82="MT"),'CARGA DOCENTE'!$C1463," ")</f>
        <v xml:space="preserve"> </v>
      </c>
      <c r="BS82" s="374" t="str">
        <f>IF(OR(BO82="TC",BO82="MT"),'CARGA DOCENTE'!$G1463," ")</f>
        <v xml:space="preserve"> </v>
      </c>
      <c r="BT82" s="372">
        <f>'CARGA DOCENTE'!$H1464</f>
        <v>0</v>
      </c>
      <c r="BU82" s="373" t="str">
        <f>IF(OR(BT82="TC",BT82="MT"),'CARGA DOCENTE'!$A1464," ")</f>
        <v xml:space="preserve"> </v>
      </c>
      <c r="BV82" s="374" t="str">
        <f>IF(OR(BT82="TC",BT82="MT"),'CARGA DOCENTE'!$B1464," ")</f>
        <v xml:space="preserve"> </v>
      </c>
      <c r="BW82" s="374" t="str">
        <f>IF(OR(BT82="TC",BT82="MT"),'CARGA DOCENTE'!$C1464," ")</f>
        <v xml:space="preserve"> </v>
      </c>
      <c r="BX82" s="374" t="str">
        <f>IF(OR(BT82="TC",BT82="MT"),'CARGA DOCENTE'!$G1464," ")</f>
        <v xml:space="preserve"> </v>
      </c>
    </row>
    <row r="83" spans="1:76" x14ac:dyDescent="0.2">
      <c r="A83" s="378">
        <f>'CARGA DOCENTE'!J1468</f>
        <v>0</v>
      </c>
      <c r="B83" s="372">
        <f>'CARGA DOCENTE'!$H1468</f>
        <v>0</v>
      </c>
      <c r="C83" s="373" t="str">
        <f>IF(OR(B83="TC",B83="MT"),'CARGA DOCENTE'!$A1468," ")</f>
        <v xml:space="preserve"> </v>
      </c>
      <c r="D83" s="374" t="str">
        <f>IF(OR(B83="TC",B83="MT"),'CARGA DOCENTE'!$B1468," ")</f>
        <v xml:space="preserve"> </v>
      </c>
      <c r="E83" s="374" t="str">
        <f>IF(OR(B83="TC",B83="MT"),'CARGA DOCENTE'!$C1468," ")</f>
        <v xml:space="preserve"> </v>
      </c>
      <c r="F83" s="374" t="str">
        <f>IF(OR(B83="TC",B83="MT"),'CARGA DOCENTE'!$G1468," ")</f>
        <v xml:space="preserve"> </v>
      </c>
      <c r="G83" s="372">
        <f>'CARGA DOCENTE'!$H1469</f>
        <v>0</v>
      </c>
      <c r="H83" s="373" t="str">
        <f>IF(OR(G83="TC",G83="MT"),'CARGA DOCENTE'!$A1469," ")</f>
        <v xml:space="preserve"> </v>
      </c>
      <c r="I83" s="374" t="str">
        <f>IF(OR(G83="TC",G83="MT"),'CARGA DOCENTE'!$B1469," ")</f>
        <v xml:space="preserve"> </v>
      </c>
      <c r="J83" s="374" t="str">
        <f>IF(OR(G83="TC",G83="MT"),'CARGA DOCENTE'!$C1469," ")</f>
        <v xml:space="preserve"> </v>
      </c>
      <c r="K83" s="374" t="str">
        <f>IF(OR(G83="TC",G83="MT"),'CARGA DOCENTE'!$G1469," ")</f>
        <v xml:space="preserve"> </v>
      </c>
      <c r="L83" s="372">
        <f>'CARGA DOCENTE'!$H1470</f>
        <v>0</v>
      </c>
      <c r="M83" s="373" t="str">
        <f>IF(OR(L83="TC",L83="MT"),'CARGA DOCENTE'!$A1470," ")</f>
        <v xml:space="preserve"> </v>
      </c>
      <c r="N83" s="374" t="str">
        <f>IF(OR(L83="TC",L83="MT"),'CARGA DOCENTE'!$B1470," ")</f>
        <v xml:space="preserve"> </v>
      </c>
      <c r="O83" s="374" t="str">
        <f>IF(OR(L83="TC",L83="MT"),'CARGA DOCENTE'!$C1470," ")</f>
        <v xml:space="preserve"> </v>
      </c>
      <c r="P83" s="374" t="str">
        <f>IF(OR(L83="TC",L83="MT"),'CARGA DOCENTE'!$G1470," ")</f>
        <v xml:space="preserve"> </v>
      </c>
      <c r="Q83" s="372">
        <f>'CARGA DOCENTE'!$H1471</f>
        <v>0</v>
      </c>
      <c r="R83" s="373" t="str">
        <f>IF(OR(Q83="TC",Q83="MT"),'CARGA DOCENTE'!$A1471," ")</f>
        <v xml:space="preserve"> </v>
      </c>
      <c r="S83" s="374" t="str">
        <f>IF(OR(Q83="TC",Q83="MT"),'CARGA DOCENTE'!$B1471," ")</f>
        <v xml:space="preserve"> </v>
      </c>
      <c r="T83" s="374" t="str">
        <f>IF(OR(Q83="TC",Q83="MT"),'CARGA DOCENTE'!$C1471," ")</f>
        <v xml:space="preserve"> </v>
      </c>
      <c r="U83" s="374" t="str">
        <f>IF(OR(Q83="TC",Q83="MT"),'CARGA DOCENTE'!$G1471," ")</f>
        <v xml:space="preserve"> </v>
      </c>
      <c r="V83" s="372">
        <f>'CARGA DOCENTE'!$H1472</f>
        <v>0</v>
      </c>
      <c r="W83" s="373" t="str">
        <f>IF(OR(V83="TC",V83="MT"),'CARGA DOCENTE'!$A1472," ")</f>
        <v xml:space="preserve"> </v>
      </c>
      <c r="X83" s="374" t="str">
        <f>IF(OR(V83="TC",V83="MT"),'CARGA DOCENTE'!$B1472," ")</f>
        <v xml:space="preserve"> </v>
      </c>
      <c r="Y83" s="374" t="str">
        <f>IF(OR(V83="TC",V83="MT"),'CARGA DOCENTE'!$C1472," ")</f>
        <v xml:space="preserve"> </v>
      </c>
      <c r="Z83" s="374" t="str">
        <f>IF(OR(V83="TC",V83="MT"),'CARGA DOCENTE'!$G1472," ")</f>
        <v xml:space="preserve"> </v>
      </c>
      <c r="AA83" s="372">
        <f>'CARGA DOCENTE'!$H1473</f>
        <v>0</v>
      </c>
      <c r="AB83" s="373" t="str">
        <f>IF(OR(AA83="TC",AA83="MT"),'CARGA DOCENTE'!$A1473," ")</f>
        <v xml:space="preserve"> </v>
      </c>
      <c r="AC83" s="374" t="str">
        <f>IF(OR(AA83="TC",AA83="MT"),'CARGA DOCENTE'!$B1473," ")</f>
        <v xml:space="preserve"> </v>
      </c>
      <c r="AD83" s="374" t="str">
        <f>IF(OR(AA83="TC",AA83="MT"),'CARGA DOCENTE'!$C1473," ")</f>
        <v xml:space="preserve"> </v>
      </c>
      <c r="AE83" s="374" t="str">
        <f>IF(OR(AA83="TC",AA83="MT"),'CARGA DOCENTE'!$G1473," ")</f>
        <v xml:space="preserve"> </v>
      </c>
      <c r="AF83" s="372">
        <f>'CARGA DOCENTE'!$H1474</f>
        <v>0</v>
      </c>
      <c r="AG83" s="373" t="str">
        <f>IF(OR(AF83="TC",AF83="MT"),'CARGA DOCENTE'!$A1474," ")</f>
        <v xml:space="preserve"> </v>
      </c>
      <c r="AH83" s="374" t="str">
        <f>IF(OR(AF83="TC",AF83="MT"),'CARGA DOCENTE'!$B1474," ")</f>
        <v xml:space="preserve"> </v>
      </c>
      <c r="AI83" s="374" t="str">
        <f>IF(OR(AF83="TC",AF83="MT"),'CARGA DOCENTE'!$C1474," ")</f>
        <v xml:space="preserve"> </v>
      </c>
      <c r="AJ83" s="374" t="str">
        <f>IF(OR(AF83="TC",AF83="MT"),'CARGA DOCENTE'!$G1474," ")</f>
        <v xml:space="preserve"> </v>
      </c>
      <c r="AK83" s="372">
        <f>'CARGA DOCENTE'!$H1475</f>
        <v>0</v>
      </c>
      <c r="AL83" s="373" t="str">
        <f>IF(OR(AK83="TC",AK83="MT"),'CARGA DOCENTE'!$A1475," ")</f>
        <v xml:space="preserve"> </v>
      </c>
      <c r="AM83" s="374" t="str">
        <f>IF(OR(AK83="TC",AK83="MT"),'CARGA DOCENTE'!$B1475," ")</f>
        <v xml:space="preserve"> </v>
      </c>
      <c r="AN83" s="374" t="str">
        <f>IF(OR(AK83="TC",AK83="MT"),'CARGA DOCENTE'!$C1475," ")</f>
        <v xml:space="preserve"> </v>
      </c>
      <c r="AO83" s="374" t="str">
        <f>IF(OR(AK83="TC",AK83="MT"),'CARGA DOCENTE'!$G1475," ")</f>
        <v xml:space="preserve"> </v>
      </c>
      <c r="AP83" s="372">
        <f>'CARGA DOCENTE'!$H1476</f>
        <v>0</v>
      </c>
      <c r="AQ83" s="379" t="str">
        <f>IF(OR(AP83="TC",AP83="MT"),'CARGA DOCENTE'!$A1476," ")</f>
        <v xml:space="preserve"> </v>
      </c>
      <c r="AR83" s="380" t="str">
        <f>IF(OR(AP83="TC",AP83="MT"),'CARGA DOCENTE'!$B1476," ")</f>
        <v xml:space="preserve"> </v>
      </c>
      <c r="AS83" s="380" t="str">
        <f>IF(OR(AP83="TC",AP83="MT"),'CARGA DOCENTE'!$C1476," ")</f>
        <v xml:space="preserve"> </v>
      </c>
      <c r="AT83" s="380" t="str">
        <f>IF(OR(AP83="TC",AP83="MT"),'CARGA DOCENTE'!$G1476," ")</f>
        <v xml:space="preserve"> </v>
      </c>
      <c r="AU83" s="372">
        <f>'CARGA DOCENTE'!$H1477</f>
        <v>0</v>
      </c>
      <c r="AV83" s="373" t="str">
        <f>IF(OR(AU83="TC",AU83="MT"),'CARGA DOCENTE'!$A1477," ")</f>
        <v xml:space="preserve"> </v>
      </c>
      <c r="AW83" s="374" t="str">
        <f>IF(OR(AU83="TC",AU83="MT"),'CARGA DOCENTE'!$B1477," ")</f>
        <v xml:space="preserve"> </v>
      </c>
      <c r="AX83" s="374" t="str">
        <f>IF(OR(AU83="TC",AU83="MT"),'CARGA DOCENTE'!$C1477," ")</f>
        <v xml:space="preserve"> </v>
      </c>
      <c r="AY83" s="374" t="str">
        <f>IF(OR(AU83="TC",AU83="MT"),'CARGA DOCENTE'!$G1477," ")</f>
        <v xml:space="preserve"> </v>
      </c>
      <c r="AZ83" s="372">
        <f>'CARGA DOCENTE'!$H1478</f>
        <v>0</v>
      </c>
      <c r="BA83" s="373" t="str">
        <f>IF(OR(AZ83="TC",AZ83="MT"),'CARGA DOCENTE'!$A1478," ")</f>
        <v xml:space="preserve"> </v>
      </c>
      <c r="BB83" s="374" t="str">
        <f>IF(OR(AZ83="TC",AZ83="MT"),'CARGA DOCENTE'!$B1478," ")</f>
        <v xml:space="preserve"> </v>
      </c>
      <c r="BC83" s="374" t="str">
        <f>IF(OR(AZ83="TC",AZ83="MT"),'CARGA DOCENTE'!$C1478," ")</f>
        <v xml:space="preserve"> </v>
      </c>
      <c r="BD83" s="374" t="str">
        <f>IF(OR(AZ83="TC",AZ83="MT"),'CARGA DOCENTE'!$G1478," ")</f>
        <v xml:space="preserve"> </v>
      </c>
      <c r="BE83" s="372">
        <f>'CARGA DOCENTE'!$H1479</f>
        <v>0</v>
      </c>
      <c r="BF83" s="373" t="str">
        <f>IF(OR(BE83="TC",BE83="MT"),'CARGA DOCENTE'!$A1479," ")</f>
        <v xml:space="preserve"> </v>
      </c>
      <c r="BG83" s="374" t="str">
        <f>IF(OR(BE83="TC",BE83="MT"),'CARGA DOCENTE'!$B1479," ")</f>
        <v xml:space="preserve"> </v>
      </c>
      <c r="BH83" s="374" t="str">
        <f>IF(OR(BE83="TC",BE83="MT"),'CARGA DOCENTE'!$C1479," ")</f>
        <v xml:space="preserve"> </v>
      </c>
      <c r="BI83" s="374" t="str">
        <f>IF(OR(BE83="TC",BE83="MT"),'CARGA DOCENTE'!$G1479," ")</f>
        <v xml:space="preserve"> </v>
      </c>
      <c r="BJ83" s="372">
        <f>'CARGA DOCENTE'!$H1480</f>
        <v>0</v>
      </c>
      <c r="BK83" s="373" t="str">
        <f>IF(OR(BJ83="TC",BJ83="MT"),'CARGA DOCENTE'!$A1480," ")</f>
        <v xml:space="preserve"> </v>
      </c>
      <c r="BL83" s="374" t="str">
        <f>IF(OR(BJ83="TC",BJ83="MT"),'CARGA DOCENTE'!$B1480," ")</f>
        <v xml:space="preserve"> </v>
      </c>
      <c r="BM83" s="374" t="str">
        <f>IF(OR(BJ83="TC",BJ83="MT"),'CARGA DOCENTE'!$C1480," ")</f>
        <v xml:space="preserve"> </v>
      </c>
      <c r="BN83" s="374" t="str">
        <f>IF(OR(BJ83="TC",BJ83="MT"),'CARGA DOCENTE'!$G1480," ")</f>
        <v xml:space="preserve"> </v>
      </c>
      <c r="BO83" s="372">
        <f>'CARGA DOCENTE'!$H1481</f>
        <v>0</v>
      </c>
      <c r="BP83" s="373" t="str">
        <f>IF(OR(BO83="TC",BO83="MT"),'CARGA DOCENTE'!$A1481," ")</f>
        <v xml:space="preserve"> </v>
      </c>
      <c r="BQ83" s="374" t="str">
        <f>IF(OR(BO83="TC",BO83="MT"),'CARGA DOCENTE'!$B1481," ")</f>
        <v xml:space="preserve"> </v>
      </c>
      <c r="BR83" s="374" t="str">
        <f>IF(OR(BO83="TC",BO83="MT"),'CARGA DOCENTE'!$C1481," ")</f>
        <v xml:space="preserve"> </v>
      </c>
      <c r="BS83" s="374" t="str">
        <f>IF(OR(BO83="TC",BO83="MT"),'CARGA DOCENTE'!$G1481," ")</f>
        <v xml:space="preserve"> </v>
      </c>
      <c r="BT83" s="372">
        <f>'CARGA DOCENTE'!$H1482</f>
        <v>0</v>
      </c>
      <c r="BU83" s="373" t="str">
        <f>IF(OR(BT83="TC",BT83="MT"),'CARGA DOCENTE'!$A1482," ")</f>
        <v xml:space="preserve"> </v>
      </c>
      <c r="BV83" s="374" t="str">
        <f>IF(OR(BT83="TC",BT83="MT"),'CARGA DOCENTE'!$B1482," ")</f>
        <v xml:space="preserve"> </v>
      </c>
      <c r="BW83" s="374" t="str">
        <f>IF(OR(BT83="TC",BT83="MT"),'CARGA DOCENTE'!$C1482," ")</f>
        <v xml:space="preserve"> </v>
      </c>
      <c r="BX83" s="374" t="str">
        <f>IF(OR(BT83="TC",BT83="MT"),'CARGA DOCENTE'!$G1482," ")</f>
        <v xml:space="preserve"> </v>
      </c>
    </row>
    <row r="84" spans="1:76" x14ac:dyDescent="0.2">
      <c r="A84" s="378">
        <f>'CARGA DOCENTE'!J1486</f>
        <v>0</v>
      </c>
      <c r="B84" s="372">
        <f>'CARGA DOCENTE'!$H1486</f>
        <v>0</v>
      </c>
      <c r="C84" s="373" t="str">
        <f>IF(OR(B84="TC",B84="MT"),'CARGA DOCENTE'!$A1486," ")</f>
        <v xml:space="preserve"> </v>
      </c>
      <c r="D84" s="374" t="str">
        <f>IF(OR(B84="TC",B84="MT"),'CARGA DOCENTE'!$B1486," ")</f>
        <v xml:space="preserve"> </v>
      </c>
      <c r="E84" s="374" t="str">
        <f>IF(OR(B84="TC",B84="MT"),'CARGA DOCENTE'!$C1486," ")</f>
        <v xml:space="preserve"> </v>
      </c>
      <c r="F84" s="374" t="str">
        <f>IF(OR(B84="TC",B84="MT"),'CARGA DOCENTE'!$G1486," ")</f>
        <v xml:space="preserve"> </v>
      </c>
      <c r="G84" s="372">
        <f>'CARGA DOCENTE'!$H1487</f>
        <v>0</v>
      </c>
      <c r="H84" s="373" t="str">
        <f>IF(OR(G84="TC",G84="MT"),'CARGA DOCENTE'!$A1487," ")</f>
        <v xml:space="preserve"> </v>
      </c>
      <c r="I84" s="374" t="str">
        <f>IF(OR(G84="TC",G84="MT"),'CARGA DOCENTE'!$B1487," ")</f>
        <v xml:space="preserve"> </v>
      </c>
      <c r="J84" s="374" t="str">
        <f>IF(OR(G84="TC",G84="MT"),'CARGA DOCENTE'!$C1487," ")</f>
        <v xml:space="preserve"> </v>
      </c>
      <c r="K84" s="374" t="str">
        <f>IF(OR(G84="TC",G84="MT"),'CARGA DOCENTE'!$G1487," ")</f>
        <v xml:space="preserve"> </v>
      </c>
      <c r="L84" s="372">
        <f>'CARGA DOCENTE'!$H1488</f>
        <v>0</v>
      </c>
      <c r="M84" s="373" t="str">
        <f>IF(OR(L84="TC",L84="MT"),'CARGA DOCENTE'!$A1488," ")</f>
        <v xml:space="preserve"> </v>
      </c>
      <c r="N84" s="374" t="str">
        <f>IF(OR(L84="TC",L84="MT"),'CARGA DOCENTE'!$B1488," ")</f>
        <v xml:space="preserve"> </v>
      </c>
      <c r="O84" s="374" t="str">
        <f>IF(OR(L84="TC",L84="MT"),'CARGA DOCENTE'!$C1488," ")</f>
        <v xml:space="preserve"> </v>
      </c>
      <c r="P84" s="374" t="str">
        <f>IF(OR(L84="TC",L84="MT"),'CARGA DOCENTE'!$G1488," ")</f>
        <v xml:space="preserve"> </v>
      </c>
      <c r="Q84" s="372">
        <f>'CARGA DOCENTE'!$H1489</f>
        <v>0</v>
      </c>
      <c r="R84" s="373" t="str">
        <f>IF(OR(Q84="TC",Q84="MT"),'CARGA DOCENTE'!$A1489," ")</f>
        <v xml:space="preserve"> </v>
      </c>
      <c r="S84" s="374" t="str">
        <f>IF(OR(Q84="TC",Q84="MT"),'CARGA DOCENTE'!$B1489," ")</f>
        <v xml:space="preserve"> </v>
      </c>
      <c r="T84" s="374" t="str">
        <f>IF(OR(Q84="TC",Q84="MT"),'CARGA DOCENTE'!$C1489," ")</f>
        <v xml:space="preserve"> </v>
      </c>
      <c r="U84" s="374" t="str">
        <f>IF(OR(Q84="TC",Q84="MT"),'CARGA DOCENTE'!$G1489," ")</f>
        <v xml:space="preserve"> </v>
      </c>
      <c r="V84" s="372">
        <f>'CARGA DOCENTE'!$H1490</f>
        <v>0</v>
      </c>
      <c r="W84" s="373" t="str">
        <f>IF(OR(V84="TC",V84="MT"),'CARGA DOCENTE'!$A1490," ")</f>
        <v xml:space="preserve"> </v>
      </c>
      <c r="X84" s="374" t="str">
        <f>IF(OR(V84="TC",V84="MT"),'CARGA DOCENTE'!$B1490," ")</f>
        <v xml:space="preserve"> </v>
      </c>
      <c r="Y84" s="374" t="str">
        <f>IF(OR(V84="TC",V84="MT"),'CARGA DOCENTE'!$C1490," ")</f>
        <v xml:space="preserve"> </v>
      </c>
      <c r="Z84" s="374" t="str">
        <f>IF(OR(V84="TC",V84="MT"),'CARGA DOCENTE'!$G1490," ")</f>
        <v xml:space="preserve"> </v>
      </c>
      <c r="AA84" s="372">
        <f>'CARGA DOCENTE'!$H1491</f>
        <v>0</v>
      </c>
      <c r="AB84" s="373" t="str">
        <f>IF(OR(AA84="TC",AA84="MT"),'CARGA DOCENTE'!$A1491," ")</f>
        <v xml:space="preserve"> </v>
      </c>
      <c r="AC84" s="374" t="str">
        <f>IF(OR(AA84="TC",AA84="MT"),'CARGA DOCENTE'!$B1491," ")</f>
        <v xml:space="preserve"> </v>
      </c>
      <c r="AD84" s="374" t="str">
        <f>IF(OR(AA84="TC",AA84="MT"),'CARGA DOCENTE'!$C1491," ")</f>
        <v xml:space="preserve"> </v>
      </c>
      <c r="AE84" s="374" t="str">
        <f>IF(OR(AA84="TC",AA84="MT"),'CARGA DOCENTE'!$G1491," ")</f>
        <v xml:space="preserve"> </v>
      </c>
      <c r="AF84" s="372">
        <f>'CARGA DOCENTE'!$H1492</f>
        <v>0</v>
      </c>
      <c r="AG84" s="373" t="str">
        <f>IF(OR(AF84="TC",AF84="MT"),'CARGA DOCENTE'!$A1492," ")</f>
        <v xml:space="preserve"> </v>
      </c>
      <c r="AH84" s="374" t="str">
        <f>IF(OR(AF84="TC",AF84="MT"),'CARGA DOCENTE'!$B1492," ")</f>
        <v xml:space="preserve"> </v>
      </c>
      <c r="AI84" s="374" t="str">
        <f>IF(OR(AF84="TC",AF84="MT"),'CARGA DOCENTE'!$C1492," ")</f>
        <v xml:space="preserve"> </v>
      </c>
      <c r="AJ84" s="374" t="str">
        <f>IF(OR(AF84="TC",AF84="MT"),'CARGA DOCENTE'!$G1492," ")</f>
        <v xml:space="preserve"> </v>
      </c>
      <c r="AK84" s="372">
        <f>'CARGA DOCENTE'!$H1493</f>
        <v>0</v>
      </c>
      <c r="AL84" s="373" t="str">
        <f>IF(OR(AK84="TC",AK84="MT"),'CARGA DOCENTE'!$A1493," ")</f>
        <v xml:space="preserve"> </v>
      </c>
      <c r="AM84" s="374" t="str">
        <f>IF(OR(AK84="TC",AK84="MT"),'CARGA DOCENTE'!$B1493," ")</f>
        <v xml:space="preserve"> </v>
      </c>
      <c r="AN84" s="374" t="str">
        <f>IF(OR(AK84="TC",AK84="MT"),'CARGA DOCENTE'!$C1493," ")</f>
        <v xml:space="preserve"> </v>
      </c>
      <c r="AO84" s="374" t="str">
        <f>IF(OR(AK84="TC",AK84="MT"),'CARGA DOCENTE'!$G1493," ")</f>
        <v xml:space="preserve"> </v>
      </c>
      <c r="AP84" s="372">
        <f>'CARGA DOCENTE'!$H1494</f>
        <v>0</v>
      </c>
      <c r="AQ84" s="379" t="str">
        <f>IF(OR(AP84="TC",AP84="MT"),'CARGA DOCENTE'!$A1494," ")</f>
        <v xml:space="preserve"> </v>
      </c>
      <c r="AR84" s="380" t="str">
        <f>IF(OR(AP84="TC",AP84="MT"),'CARGA DOCENTE'!$B1494," ")</f>
        <v xml:space="preserve"> </v>
      </c>
      <c r="AS84" s="380" t="str">
        <f>IF(OR(AP84="TC",AP84="MT"),'CARGA DOCENTE'!$C1494," ")</f>
        <v xml:space="preserve"> </v>
      </c>
      <c r="AT84" s="380" t="str">
        <f>IF(OR(AP84="TC",AP84="MT"),'CARGA DOCENTE'!$G1494," ")</f>
        <v xml:space="preserve"> </v>
      </c>
      <c r="AU84" s="372">
        <f>'CARGA DOCENTE'!$H1495</f>
        <v>0</v>
      </c>
      <c r="AV84" s="373" t="str">
        <f>IF(OR(AU84="TC",AU84="MT"),'CARGA DOCENTE'!$A1495," ")</f>
        <v xml:space="preserve"> </v>
      </c>
      <c r="AW84" s="374" t="str">
        <f>IF(OR(AU84="TC",AU84="MT"),'CARGA DOCENTE'!$B1495," ")</f>
        <v xml:space="preserve"> </v>
      </c>
      <c r="AX84" s="374" t="str">
        <f>IF(OR(AU84="TC",AU84="MT"),'CARGA DOCENTE'!$C1495," ")</f>
        <v xml:space="preserve"> </v>
      </c>
      <c r="AY84" s="374" t="str">
        <f>IF(OR(AU84="TC",AU84="MT"),'CARGA DOCENTE'!$G1495," ")</f>
        <v xml:space="preserve"> </v>
      </c>
      <c r="AZ84" s="372">
        <f>'CARGA DOCENTE'!$H1496</f>
        <v>0</v>
      </c>
      <c r="BA84" s="373" t="str">
        <f>IF(OR(AZ84="TC",AZ84="MT"),'CARGA DOCENTE'!$A1496," ")</f>
        <v xml:space="preserve"> </v>
      </c>
      <c r="BB84" s="374" t="str">
        <f>IF(OR(AZ84="TC",AZ84="MT"),'CARGA DOCENTE'!$B1496," ")</f>
        <v xml:space="preserve"> </v>
      </c>
      <c r="BC84" s="374" t="str">
        <f>IF(OR(AZ84="TC",AZ84="MT"),'CARGA DOCENTE'!$C1496," ")</f>
        <v xml:space="preserve"> </v>
      </c>
      <c r="BD84" s="374" t="str">
        <f>IF(OR(AZ84="TC",AZ84="MT"),'CARGA DOCENTE'!$G1496," ")</f>
        <v xml:space="preserve"> </v>
      </c>
      <c r="BE84" s="372">
        <f>'CARGA DOCENTE'!$H1497</f>
        <v>0</v>
      </c>
      <c r="BF84" s="373" t="str">
        <f>IF(OR(BE84="TC",BE84="MT"),'CARGA DOCENTE'!$A1497," ")</f>
        <v xml:space="preserve"> </v>
      </c>
      <c r="BG84" s="374" t="str">
        <f>IF(OR(BE84="TC",BE84="MT"),'CARGA DOCENTE'!$B1497," ")</f>
        <v xml:space="preserve"> </v>
      </c>
      <c r="BH84" s="374" t="str">
        <f>IF(OR(BE84="TC",BE84="MT"),'CARGA DOCENTE'!$C1497," ")</f>
        <v xml:space="preserve"> </v>
      </c>
      <c r="BI84" s="374" t="str">
        <f>IF(OR(BE84="TC",BE84="MT"),'CARGA DOCENTE'!$G1497," ")</f>
        <v xml:space="preserve"> </v>
      </c>
      <c r="BJ84" s="372">
        <f>'CARGA DOCENTE'!$H1498</f>
        <v>0</v>
      </c>
      <c r="BK84" s="373" t="str">
        <f>IF(OR(BJ84="TC",BJ84="MT"),'CARGA DOCENTE'!$A1498," ")</f>
        <v xml:space="preserve"> </v>
      </c>
      <c r="BL84" s="374" t="str">
        <f>IF(OR(BJ84="TC",BJ84="MT"),'CARGA DOCENTE'!$B1498," ")</f>
        <v xml:space="preserve"> </v>
      </c>
      <c r="BM84" s="374" t="str">
        <f>IF(OR(BJ84="TC",BJ84="MT"),'CARGA DOCENTE'!$C1498," ")</f>
        <v xml:space="preserve"> </v>
      </c>
      <c r="BN84" s="374" t="str">
        <f>IF(OR(BJ84="TC",BJ84="MT"),'CARGA DOCENTE'!$G1498," ")</f>
        <v xml:space="preserve"> </v>
      </c>
      <c r="BO84" s="372">
        <f>'CARGA DOCENTE'!$H1499</f>
        <v>0</v>
      </c>
      <c r="BP84" s="373" t="str">
        <f>IF(OR(BO84="TC",BO84="MT"),'CARGA DOCENTE'!$A1499," ")</f>
        <v xml:space="preserve"> </v>
      </c>
      <c r="BQ84" s="374" t="str">
        <f>IF(OR(BO84="TC",BO84="MT"),'CARGA DOCENTE'!$B1499," ")</f>
        <v xml:space="preserve"> </v>
      </c>
      <c r="BR84" s="374" t="str">
        <f>IF(OR(BO84="TC",BO84="MT"),'CARGA DOCENTE'!$C1499," ")</f>
        <v xml:space="preserve"> </v>
      </c>
      <c r="BS84" s="374" t="str">
        <f>IF(OR(BO84="TC",BO84="MT"),'CARGA DOCENTE'!$G1499," ")</f>
        <v xml:space="preserve"> </v>
      </c>
      <c r="BT84" s="372">
        <f>'CARGA DOCENTE'!$H1500</f>
        <v>0</v>
      </c>
      <c r="BU84" s="373" t="str">
        <f>IF(OR(BT84="TC",BT84="MT"),'CARGA DOCENTE'!$A1500," ")</f>
        <v xml:space="preserve"> </v>
      </c>
      <c r="BV84" s="374" t="str">
        <f>IF(OR(BT84="TC",BT84="MT"),'CARGA DOCENTE'!$B1500," ")</f>
        <v xml:space="preserve"> </v>
      </c>
      <c r="BW84" s="374" t="str">
        <f>IF(OR(BT84="TC",BT84="MT"),'CARGA DOCENTE'!$C1500," ")</f>
        <v xml:space="preserve"> </v>
      </c>
      <c r="BX84" s="374" t="str">
        <f>IF(OR(BT84="TC",BT84="MT"),'CARGA DOCENTE'!$G1500," ")</f>
        <v xml:space="preserve"> </v>
      </c>
    </row>
    <row r="85" spans="1:76" x14ac:dyDescent="0.2">
      <c r="A85" s="378">
        <f>'CARGA DOCENTE'!J1504</f>
        <v>0</v>
      </c>
      <c r="B85" s="372">
        <f>'CARGA DOCENTE'!$H1504</f>
        <v>0</v>
      </c>
      <c r="C85" s="373" t="str">
        <f>IF(OR(B85="TC",B85="MT"),'CARGA DOCENTE'!$A1504," ")</f>
        <v xml:space="preserve"> </v>
      </c>
      <c r="D85" s="374" t="str">
        <f>IF(OR(B85="TC",B85="MT"),'CARGA DOCENTE'!$B1504," ")</f>
        <v xml:space="preserve"> </v>
      </c>
      <c r="E85" s="374" t="str">
        <f>IF(OR(B85="TC",B85="MT"),'CARGA DOCENTE'!$C1504," ")</f>
        <v xml:space="preserve"> </v>
      </c>
      <c r="F85" s="374" t="str">
        <f>IF(OR(B85="TC",B85="MT"),'CARGA DOCENTE'!$G1504," ")</f>
        <v xml:space="preserve"> </v>
      </c>
      <c r="G85" s="372">
        <f>'CARGA DOCENTE'!$H1505</f>
        <v>0</v>
      </c>
      <c r="H85" s="373" t="str">
        <f>IF(OR(G85="TC",G85="MT"),'CARGA DOCENTE'!$A1505," ")</f>
        <v xml:space="preserve"> </v>
      </c>
      <c r="I85" s="374" t="str">
        <f>IF(OR(G85="TC",G85="MT"),'CARGA DOCENTE'!$B1505," ")</f>
        <v xml:space="preserve"> </v>
      </c>
      <c r="J85" s="374" t="str">
        <f>IF(OR(G85="TC",G85="MT"),'CARGA DOCENTE'!$C1505," ")</f>
        <v xml:space="preserve"> </v>
      </c>
      <c r="K85" s="374" t="str">
        <f>IF(OR(G85="TC",G85="MT"),'CARGA DOCENTE'!$G1505," ")</f>
        <v xml:space="preserve"> </v>
      </c>
      <c r="L85" s="372">
        <f>'CARGA DOCENTE'!$H1506</f>
        <v>0</v>
      </c>
      <c r="M85" s="373" t="str">
        <f>IF(OR(L85="TC",L85="MT"),'CARGA DOCENTE'!$A1506," ")</f>
        <v xml:space="preserve"> </v>
      </c>
      <c r="N85" s="374" t="str">
        <f>IF(OR(L85="TC",L85="MT"),'CARGA DOCENTE'!$B1506," ")</f>
        <v xml:space="preserve"> </v>
      </c>
      <c r="O85" s="374" t="str">
        <f>IF(OR(L85="TC",L85="MT"),'CARGA DOCENTE'!$C1506," ")</f>
        <v xml:space="preserve"> </v>
      </c>
      <c r="P85" s="374" t="str">
        <f>IF(OR(L85="TC",L85="MT"),'CARGA DOCENTE'!$G1506," ")</f>
        <v xml:space="preserve"> </v>
      </c>
      <c r="Q85" s="372">
        <f>'CARGA DOCENTE'!$H1507</f>
        <v>0</v>
      </c>
      <c r="R85" s="373" t="str">
        <f>IF(OR(Q85="TC",Q85="MT"),'CARGA DOCENTE'!$A1507," ")</f>
        <v xml:space="preserve"> </v>
      </c>
      <c r="S85" s="374" t="str">
        <f>IF(OR(Q85="TC",Q85="MT"),'CARGA DOCENTE'!$B1507," ")</f>
        <v xml:space="preserve"> </v>
      </c>
      <c r="T85" s="374" t="str">
        <f>IF(OR(Q85="TC",Q85="MT"),'CARGA DOCENTE'!$C1507," ")</f>
        <v xml:space="preserve"> </v>
      </c>
      <c r="U85" s="374" t="str">
        <f>IF(OR(Q85="TC",Q85="MT"),'CARGA DOCENTE'!$G1507," ")</f>
        <v xml:space="preserve"> </v>
      </c>
      <c r="V85" s="372">
        <f>'CARGA DOCENTE'!$H1508</f>
        <v>0</v>
      </c>
      <c r="W85" s="373" t="str">
        <f>IF(OR(V85="TC",V85="MT"),'CARGA DOCENTE'!$A1508," ")</f>
        <v xml:space="preserve"> </v>
      </c>
      <c r="X85" s="374" t="str">
        <f>IF(OR(V85="TC",V85="MT"),'CARGA DOCENTE'!$B1508," ")</f>
        <v xml:space="preserve"> </v>
      </c>
      <c r="Y85" s="374" t="str">
        <f>IF(OR(V85="TC",V85="MT"),'CARGA DOCENTE'!$C1508," ")</f>
        <v xml:space="preserve"> </v>
      </c>
      <c r="Z85" s="374" t="str">
        <f>IF(OR(V85="TC",V85="MT"),'CARGA DOCENTE'!$G1508," ")</f>
        <v xml:space="preserve"> </v>
      </c>
      <c r="AA85" s="372">
        <f>'CARGA DOCENTE'!$H1509</f>
        <v>0</v>
      </c>
      <c r="AB85" s="373" t="str">
        <f>IF(OR(AA85="TC",AA85="MT"),'CARGA DOCENTE'!$A1509," ")</f>
        <v xml:space="preserve"> </v>
      </c>
      <c r="AC85" s="374" t="str">
        <f>IF(OR(AA85="TC",AA85="MT"),'CARGA DOCENTE'!$B1509," ")</f>
        <v xml:space="preserve"> </v>
      </c>
      <c r="AD85" s="374" t="str">
        <f>IF(OR(AA85="TC",AA85="MT"),'CARGA DOCENTE'!$C1509," ")</f>
        <v xml:space="preserve"> </v>
      </c>
      <c r="AE85" s="374" t="str">
        <f>IF(OR(AA85="TC",AA85="MT"),'CARGA DOCENTE'!$G1509," ")</f>
        <v xml:space="preserve"> </v>
      </c>
      <c r="AF85" s="372">
        <f>'CARGA DOCENTE'!$H1510</f>
        <v>0</v>
      </c>
      <c r="AG85" s="373" t="str">
        <f>IF(OR(AF85="TC",AF85="MT"),'CARGA DOCENTE'!$A1510," ")</f>
        <v xml:space="preserve"> </v>
      </c>
      <c r="AH85" s="374" t="str">
        <f>IF(OR(AF85="TC",AF85="MT"),'CARGA DOCENTE'!$B1510," ")</f>
        <v xml:space="preserve"> </v>
      </c>
      <c r="AI85" s="374" t="str">
        <f>IF(OR(AF85="TC",AF85="MT"),'CARGA DOCENTE'!$C1510," ")</f>
        <v xml:space="preserve"> </v>
      </c>
      <c r="AJ85" s="374" t="str">
        <f>IF(OR(AF85="TC",AF85="MT"),'CARGA DOCENTE'!$G1510," ")</f>
        <v xml:space="preserve"> </v>
      </c>
      <c r="AK85" s="372">
        <f>'CARGA DOCENTE'!$H1511</f>
        <v>0</v>
      </c>
      <c r="AL85" s="373" t="str">
        <f>IF(OR(AK85="TC",AK85="MT"),'CARGA DOCENTE'!$A1511," ")</f>
        <v xml:space="preserve"> </v>
      </c>
      <c r="AM85" s="374" t="str">
        <f>IF(OR(AK85="TC",AK85="MT"),'CARGA DOCENTE'!$B1511," ")</f>
        <v xml:space="preserve"> </v>
      </c>
      <c r="AN85" s="374" t="str">
        <f>IF(OR(AK85="TC",AK85="MT"),'CARGA DOCENTE'!$C1511," ")</f>
        <v xml:space="preserve"> </v>
      </c>
      <c r="AO85" s="374" t="str">
        <f>IF(OR(AK85="TC",AK85="MT"),'CARGA DOCENTE'!$G1511," ")</f>
        <v xml:space="preserve"> </v>
      </c>
      <c r="AP85" s="372">
        <f>'CARGA DOCENTE'!$H1512</f>
        <v>0</v>
      </c>
      <c r="AQ85" s="379" t="str">
        <f>IF(OR(AP85="TC",AP85="MT"),'CARGA DOCENTE'!$A1512," ")</f>
        <v xml:space="preserve"> </v>
      </c>
      <c r="AR85" s="380" t="str">
        <f>IF(OR(AP85="TC",AP85="MT"),'CARGA DOCENTE'!$B1512," ")</f>
        <v xml:space="preserve"> </v>
      </c>
      <c r="AS85" s="380" t="str">
        <f>IF(OR(AP85="TC",AP85="MT"),'CARGA DOCENTE'!$C1512," ")</f>
        <v xml:space="preserve"> </v>
      </c>
      <c r="AT85" s="380" t="str">
        <f>IF(OR(AP85="TC",AP85="MT"),'CARGA DOCENTE'!$G1512," ")</f>
        <v xml:space="preserve"> </v>
      </c>
      <c r="AU85" s="372">
        <f>'CARGA DOCENTE'!$H1513</f>
        <v>0</v>
      </c>
      <c r="AV85" s="373" t="str">
        <f>IF(OR(AU85="TC",AU85="MT"),'CARGA DOCENTE'!$A1513," ")</f>
        <v xml:space="preserve"> </v>
      </c>
      <c r="AW85" s="374" t="str">
        <f>IF(OR(AU85="TC",AU85="MT"),'CARGA DOCENTE'!$B1513," ")</f>
        <v xml:space="preserve"> </v>
      </c>
      <c r="AX85" s="374" t="str">
        <f>IF(OR(AU85="TC",AU85="MT"),'CARGA DOCENTE'!$C1513," ")</f>
        <v xml:space="preserve"> </v>
      </c>
      <c r="AY85" s="374" t="str">
        <f>IF(OR(AU85="TC",AU85="MT"),'CARGA DOCENTE'!$G1513," ")</f>
        <v xml:space="preserve"> </v>
      </c>
      <c r="AZ85" s="372">
        <f>'CARGA DOCENTE'!$H1514</f>
        <v>0</v>
      </c>
      <c r="BA85" s="373" t="str">
        <f>IF(OR(AZ85="TC",AZ85="MT"),'CARGA DOCENTE'!$A1514," ")</f>
        <v xml:space="preserve"> </v>
      </c>
      <c r="BB85" s="374" t="str">
        <f>IF(OR(AZ85="TC",AZ85="MT"),'CARGA DOCENTE'!$B1514," ")</f>
        <v xml:space="preserve"> </v>
      </c>
      <c r="BC85" s="374" t="str">
        <f>IF(OR(AZ85="TC",AZ85="MT"),'CARGA DOCENTE'!$C1514," ")</f>
        <v xml:space="preserve"> </v>
      </c>
      <c r="BD85" s="374" t="str">
        <f>IF(OR(AZ85="TC",AZ85="MT"),'CARGA DOCENTE'!$G1514," ")</f>
        <v xml:space="preserve"> </v>
      </c>
      <c r="BE85" s="372">
        <f>'CARGA DOCENTE'!$H1515</f>
        <v>0</v>
      </c>
      <c r="BF85" s="373" t="str">
        <f>IF(OR(BE85="TC",BE85="MT"),'CARGA DOCENTE'!$A1515," ")</f>
        <v xml:space="preserve"> </v>
      </c>
      <c r="BG85" s="374" t="str">
        <f>IF(OR(BE85="TC",BE85="MT"),'CARGA DOCENTE'!$B1515," ")</f>
        <v xml:space="preserve"> </v>
      </c>
      <c r="BH85" s="374" t="str">
        <f>IF(OR(BE85="TC",BE85="MT"),'CARGA DOCENTE'!$C1515," ")</f>
        <v xml:space="preserve"> </v>
      </c>
      <c r="BI85" s="374" t="str">
        <f>IF(OR(BE85="TC",BE85="MT"),'CARGA DOCENTE'!$G1515," ")</f>
        <v xml:space="preserve"> </v>
      </c>
      <c r="BJ85" s="372">
        <f>'CARGA DOCENTE'!$H1516</f>
        <v>0</v>
      </c>
      <c r="BK85" s="373" t="str">
        <f>IF(OR(BJ85="TC",BJ85="MT"),'CARGA DOCENTE'!$A1516," ")</f>
        <v xml:space="preserve"> </v>
      </c>
      <c r="BL85" s="374" t="str">
        <f>IF(OR(BJ85="TC",BJ85="MT"),'CARGA DOCENTE'!$B1516," ")</f>
        <v xml:space="preserve"> </v>
      </c>
      <c r="BM85" s="374" t="str">
        <f>IF(OR(BJ85="TC",BJ85="MT"),'CARGA DOCENTE'!$C1516," ")</f>
        <v xml:space="preserve"> </v>
      </c>
      <c r="BN85" s="374" t="str">
        <f>IF(OR(BJ85="TC",BJ85="MT"),'CARGA DOCENTE'!$G1516," ")</f>
        <v xml:space="preserve"> </v>
      </c>
      <c r="BO85" s="372">
        <f>'CARGA DOCENTE'!$H1517</f>
        <v>0</v>
      </c>
      <c r="BP85" s="373" t="str">
        <f>IF(OR(BO85="TC",BO85="MT"),'CARGA DOCENTE'!$A1517," ")</f>
        <v xml:space="preserve"> </v>
      </c>
      <c r="BQ85" s="374" t="str">
        <f>IF(OR(BO85="TC",BO85="MT"),'CARGA DOCENTE'!$B1517," ")</f>
        <v xml:space="preserve"> </v>
      </c>
      <c r="BR85" s="374" t="str">
        <f>IF(OR(BO85="TC",BO85="MT"),'CARGA DOCENTE'!$C1517," ")</f>
        <v xml:space="preserve"> </v>
      </c>
      <c r="BS85" s="374" t="str">
        <f>IF(OR(BO85="TC",BO85="MT"),'CARGA DOCENTE'!$G1517," ")</f>
        <v xml:space="preserve"> </v>
      </c>
      <c r="BT85" s="372">
        <f>'CARGA DOCENTE'!$H1518</f>
        <v>0</v>
      </c>
      <c r="BU85" s="373" t="str">
        <f>IF(OR(BT85="TC",BT85="MT"),'CARGA DOCENTE'!$A1518," ")</f>
        <v xml:space="preserve"> </v>
      </c>
      <c r="BV85" s="374" t="str">
        <f>IF(OR(BT85="TC",BT85="MT"),'CARGA DOCENTE'!$B1518," ")</f>
        <v xml:space="preserve"> </v>
      </c>
      <c r="BW85" s="374" t="str">
        <f>IF(OR(BT85="TC",BT85="MT"),'CARGA DOCENTE'!$C1518," ")</f>
        <v xml:space="preserve"> </v>
      </c>
      <c r="BX85" s="374" t="str">
        <f>IF(OR(BT85="TC",BT85="MT"),'CARGA DOCENTE'!$G1518," ")</f>
        <v xml:space="preserve"> </v>
      </c>
    </row>
    <row r="86" spans="1:76" x14ac:dyDescent="0.2">
      <c r="A86" s="378">
        <f>'CARGA DOCENTE'!J1522</f>
        <v>0</v>
      </c>
      <c r="B86" s="372">
        <f>'CARGA DOCENTE'!$H1522</f>
        <v>0</v>
      </c>
      <c r="C86" s="373" t="str">
        <f>IF(OR(B86="TC",B86="MT"),'CARGA DOCENTE'!$A1522," ")</f>
        <v xml:space="preserve"> </v>
      </c>
      <c r="D86" s="374" t="str">
        <f>IF(OR(B86="TC",B86="MT"),'CARGA DOCENTE'!$B1522," ")</f>
        <v xml:space="preserve"> </v>
      </c>
      <c r="E86" s="374" t="str">
        <f>IF(OR(B86="TC",B86="MT"),'CARGA DOCENTE'!$C1522," ")</f>
        <v xml:space="preserve"> </v>
      </c>
      <c r="F86" s="374" t="str">
        <f>IF(OR(B86="TC",B86="MT"),'CARGA DOCENTE'!$G1522," ")</f>
        <v xml:space="preserve"> </v>
      </c>
      <c r="G86" s="372">
        <f>'CARGA DOCENTE'!$H1523</f>
        <v>0</v>
      </c>
      <c r="H86" s="373" t="str">
        <f>IF(OR(G86="TC",G86="MT"),'CARGA DOCENTE'!$A1523," ")</f>
        <v xml:space="preserve"> </v>
      </c>
      <c r="I86" s="374" t="str">
        <f>IF(OR(G86="TC",G86="MT"),'CARGA DOCENTE'!$B1523," ")</f>
        <v xml:space="preserve"> </v>
      </c>
      <c r="J86" s="374" t="str">
        <f>IF(OR(G86="TC",G86="MT"),'CARGA DOCENTE'!$C1523," ")</f>
        <v xml:space="preserve"> </v>
      </c>
      <c r="K86" s="374" t="str">
        <f>IF(OR(G86="TC",G86="MT"),'CARGA DOCENTE'!$G1523," ")</f>
        <v xml:space="preserve"> </v>
      </c>
      <c r="L86" s="372">
        <f>'CARGA DOCENTE'!$H1524</f>
        <v>0</v>
      </c>
      <c r="M86" s="373" t="str">
        <f>IF(OR(L86="TC",L86="MT"),'CARGA DOCENTE'!$A1524," ")</f>
        <v xml:space="preserve"> </v>
      </c>
      <c r="N86" s="374" t="str">
        <f>IF(OR(L86="TC",L86="MT"),'CARGA DOCENTE'!$B1524," ")</f>
        <v xml:space="preserve"> </v>
      </c>
      <c r="O86" s="374" t="str">
        <f>IF(OR(L86="TC",L86="MT"),'CARGA DOCENTE'!$C1524," ")</f>
        <v xml:space="preserve"> </v>
      </c>
      <c r="P86" s="374" t="str">
        <f>IF(OR(L86="TC",L86="MT"),'CARGA DOCENTE'!$G1524," ")</f>
        <v xml:space="preserve"> </v>
      </c>
      <c r="Q86" s="372">
        <f>'CARGA DOCENTE'!$H1525</f>
        <v>0</v>
      </c>
      <c r="R86" s="373" t="str">
        <f>IF(OR(Q86="TC",Q86="MT"),'CARGA DOCENTE'!$A1525," ")</f>
        <v xml:space="preserve"> </v>
      </c>
      <c r="S86" s="374" t="str">
        <f>IF(OR(Q86="TC",Q86="MT"),'CARGA DOCENTE'!$B1525," ")</f>
        <v xml:space="preserve"> </v>
      </c>
      <c r="T86" s="374" t="str">
        <f>IF(OR(Q86="TC",Q86="MT"),'CARGA DOCENTE'!$C1525," ")</f>
        <v xml:space="preserve"> </v>
      </c>
      <c r="U86" s="374" t="str">
        <f>IF(OR(Q86="TC",Q86="MT"),'CARGA DOCENTE'!$G1525," ")</f>
        <v xml:space="preserve"> </v>
      </c>
      <c r="V86" s="372">
        <f>'CARGA DOCENTE'!$H1526</f>
        <v>0</v>
      </c>
      <c r="W86" s="373" t="str">
        <f>IF(OR(V86="TC",V86="MT"),'CARGA DOCENTE'!$A1526," ")</f>
        <v xml:space="preserve"> </v>
      </c>
      <c r="X86" s="374" t="str">
        <f>IF(OR(V86="TC",V86="MT"),'CARGA DOCENTE'!$B1526," ")</f>
        <v xml:space="preserve"> </v>
      </c>
      <c r="Y86" s="374" t="str">
        <f>IF(OR(V86="TC",V86="MT"),'CARGA DOCENTE'!$C1526," ")</f>
        <v xml:space="preserve"> </v>
      </c>
      <c r="Z86" s="374" t="str">
        <f>IF(OR(V86="TC",V86="MT"),'CARGA DOCENTE'!$G1526," ")</f>
        <v xml:space="preserve"> </v>
      </c>
      <c r="AA86" s="372">
        <f>'CARGA DOCENTE'!$H1527</f>
        <v>0</v>
      </c>
      <c r="AB86" s="373" t="str">
        <f>IF(OR(AA86="TC",AA86="MT"),'CARGA DOCENTE'!$A1527," ")</f>
        <v xml:space="preserve"> </v>
      </c>
      <c r="AC86" s="374" t="str">
        <f>IF(OR(AA86="TC",AA86="MT"),'CARGA DOCENTE'!$B1527," ")</f>
        <v xml:space="preserve"> </v>
      </c>
      <c r="AD86" s="374" t="str">
        <f>IF(OR(AA86="TC",AA86="MT"),'CARGA DOCENTE'!$C1527," ")</f>
        <v xml:space="preserve"> </v>
      </c>
      <c r="AE86" s="374" t="str">
        <f>IF(OR(AA86="TC",AA86="MT"),'CARGA DOCENTE'!$G1527," ")</f>
        <v xml:space="preserve"> </v>
      </c>
      <c r="AF86" s="372">
        <f>'CARGA DOCENTE'!$H1528</f>
        <v>0</v>
      </c>
      <c r="AG86" s="373" t="str">
        <f>IF(OR(AF86="TC",AF86="MT"),'CARGA DOCENTE'!$A1528," ")</f>
        <v xml:space="preserve"> </v>
      </c>
      <c r="AH86" s="374" t="str">
        <f>IF(OR(AF86="TC",AF86="MT"),'CARGA DOCENTE'!$B1528," ")</f>
        <v xml:space="preserve"> </v>
      </c>
      <c r="AI86" s="374" t="str">
        <f>IF(OR(AF86="TC",AF86="MT"),'CARGA DOCENTE'!$C1528," ")</f>
        <v xml:space="preserve"> </v>
      </c>
      <c r="AJ86" s="374" t="str">
        <f>IF(OR(AF86="TC",AF86="MT"),'CARGA DOCENTE'!$G1528," ")</f>
        <v xml:space="preserve"> </v>
      </c>
      <c r="AK86" s="372">
        <f>'CARGA DOCENTE'!$H1529</f>
        <v>0</v>
      </c>
      <c r="AL86" s="373" t="str">
        <f>IF(OR(AK86="TC",AK86="MT"),'CARGA DOCENTE'!$A1529," ")</f>
        <v xml:space="preserve"> </v>
      </c>
      <c r="AM86" s="374" t="str">
        <f>IF(OR(AK86="TC",AK86="MT"),'CARGA DOCENTE'!$B1529," ")</f>
        <v xml:space="preserve"> </v>
      </c>
      <c r="AN86" s="374" t="str">
        <f>IF(OR(AK86="TC",AK86="MT"),'CARGA DOCENTE'!$C1529," ")</f>
        <v xml:space="preserve"> </v>
      </c>
      <c r="AO86" s="374" t="str">
        <f>IF(OR(AK86="TC",AK86="MT"),'CARGA DOCENTE'!$G1529," ")</f>
        <v xml:space="preserve"> </v>
      </c>
      <c r="AP86" s="372">
        <f>'CARGA DOCENTE'!$H1530</f>
        <v>0</v>
      </c>
      <c r="AQ86" s="379" t="str">
        <f>IF(OR(AP86="TC",AP86="MT"),'CARGA DOCENTE'!$A1530," ")</f>
        <v xml:space="preserve"> </v>
      </c>
      <c r="AR86" s="380" t="str">
        <f>IF(OR(AP86="TC",AP86="MT"),'CARGA DOCENTE'!$B1530," ")</f>
        <v xml:space="preserve"> </v>
      </c>
      <c r="AS86" s="380" t="str">
        <f>IF(OR(AP86="TC",AP86="MT"),'CARGA DOCENTE'!$C1530," ")</f>
        <v xml:space="preserve"> </v>
      </c>
      <c r="AT86" s="380" t="str">
        <f>IF(OR(AP86="TC",AP86="MT"),'CARGA DOCENTE'!$G1530," ")</f>
        <v xml:space="preserve"> </v>
      </c>
      <c r="AU86" s="372">
        <f>'CARGA DOCENTE'!$H1531</f>
        <v>0</v>
      </c>
      <c r="AV86" s="373" t="str">
        <f>IF(OR(AU86="TC",AU86="MT"),'CARGA DOCENTE'!$A1531," ")</f>
        <v xml:space="preserve"> </v>
      </c>
      <c r="AW86" s="374" t="str">
        <f>IF(OR(AU86="TC",AU86="MT"),'CARGA DOCENTE'!$B1531," ")</f>
        <v xml:space="preserve"> </v>
      </c>
      <c r="AX86" s="374" t="str">
        <f>IF(OR(AU86="TC",AU86="MT"),'CARGA DOCENTE'!$C1531," ")</f>
        <v xml:space="preserve"> </v>
      </c>
      <c r="AY86" s="374" t="str">
        <f>IF(OR(AU86="TC",AU86="MT"),'CARGA DOCENTE'!$G1531," ")</f>
        <v xml:space="preserve"> </v>
      </c>
      <c r="AZ86" s="372">
        <f>'CARGA DOCENTE'!$H1532</f>
        <v>0</v>
      </c>
      <c r="BA86" s="373" t="str">
        <f>IF(OR(AZ86="TC",AZ86="MT"),'CARGA DOCENTE'!$A1532," ")</f>
        <v xml:space="preserve"> </v>
      </c>
      <c r="BB86" s="374" t="str">
        <f>IF(OR(AZ86="TC",AZ86="MT"),'CARGA DOCENTE'!$B1532," ")</f>
        <v xml:space="preserve"> </v>
      </c>
      <c r="BC86" s="374" t="str">
        <f>IF(OR(AZ86="TC",AZ86="MT"),'CARGA DOCENTE'!$C1532," ")</f>
        <v xml:space="preserve"> </v>
      </c>
      <c r="BD86" s="374" t="str">
        <f>IF(OR(AZ86="TC",AZ86="MT"),'CARGA DOCENTE'!$G1532," ")</f>
        <v xml:space="preserve"> </v>
      </c>
      <c r="BE86" s="372">
        <f>'CARGA DOCENTE'!$H1533</f>
        <v>0</v>
      </c>
      <c r="BF86" s="373" t="str">
        <f>IF(OR(BE86="TC",BE86="MT"),'CARGA DOCENTE'!$A1533," ")</f>
        <v xml:space="preserve"> </v>
      </c>
      <c r="BG86" s="374" t="str">
        <f>IF(OR(BE86="TC",BE86="MT"),'CARGA DOCENTE'!$B1533," ")</f>
        <v xml:space="preserve"> </v>
      </c>
      <c r="BH86" s="374" t="str">
        <f>IF(OR(BE86="TC",BE86="MT"),'CARGA DOCENTE'!$C1533," ")</f>
        <v xml:space="preserve"> </v>
      </c>
      <c r="BI86" s="374" t="str">
        <f>IF(OR(BE86="TC",BE86="MT"),'CARGA DOCENTE'!$G1533," ")</f>
        <v xml:space="preserve"> </v>
      </c>
      <c r="BJ86" s="372">
        <f>'CARGA DOCENTE'!$H1534</f>
        <v>0</v>
      </c>
      <c r="BK86" s="373" t="str">
        <f>IF(OR(BJ86="TC",BJ86="MT"),'CARGA DOCENTE'!$A1534," ")</f>
        <v xml:space="preserve"> </v>
      </c>
      <c r="BL86" s="374" t="str">
        <f>IF(OR(BJ86="TC",BJ86="MT"),'CARGA DOCENTE'!$B1534," ")</f>
        <v xml:space="preserve"> </v>
      </c>
      <c r="BM86" s="374" t="str">
        <f>IF(OR(BJ86="TC",BJ86="MT"),'CARGA DOCENTE'!$C1534," ")</f>
        <v xml:space="preserve"> </v>
      </c>
      <c r="BN86" s="374" t="str">
        <f>IF(OR(BJ86="TC",BJ86="MT"),'CARGA DOCENTE'!$G1534," ")</f>
        <v xml:space="preserve"> </v>
      </c>
      <c r="BO86" s="372">
        <f>'CARGA DOCENTE'!$H1535</f>
        <v>0</v>
      </c>
      <c r="BP86" s="373" t="str">
        <f>IF(OR(BO86="TC",BO86="MT"),'CARGA DOCENTE'!$A1535," ")</f>
        <v xml:space="preserve"> </v>
      </c>
      <c r="BQ86" s="374" t="str">
        <f>IF(OR(BO86="TC",BO86="MT"),'CARGA DOCENTE'!$B1535," ")</f>
        <v xml:space="preserve"> </v>
      </c>
      <c r="BR86" s="374" t="str">
        <f>IF(OR(BO86="TC",BO86="MT"),'CARGA DOCENTE'!$C1535," ")</f>
        <v xml:space="preserve"> </v>
      </c>
      <c r="BS86" s="374" t="str">
        <f>IF(OR(BO86="TC",BO86="MT"),'CARGA DOCENTE'!$G1535," ")</f>
        <v xml:space="preserve"> </v>
      </c>
      <c r="BT86" s="372">
        <f>'CARGA DOCENTE'!$H1536</f>
        <v>0</v>
      </c>
      <c r="BU86" s="373" t="str">
        <f>IF(OR(BT86="TC",BT86="MT"),'CARGA DOCENTE'!$A1536," ")</f>
        <v xml:space="preserve"> </v>
      </c>
      <c r="BV86" s="374" t="str">
        <f>IF(OR(BT86="TC",BT86="MT"),'CARGA DOCENTE'!$B1536," ")</f>
        <v xml:space="preserve"> </v>
      </c>
      <c r="BW86" s="374" t="str">
        <f>IF(OR(BT86="TC",BT86="MT"),'CARGA DOCENTE'!$C1536," ")</f>
        <v xml:space="preserve"> </v>
      </c>
      <c r="BX86" s="374" t="str">
        <f>IF(OR(BT86="TC",BT86="MT"),'CARGA DOCENTE'!$G1536," ")</f>
        <v xml:space="preserve"> </v>
      </c>
    </row>
    <row r="87" spans="1:76" x14ac:dyDescent="0.2">
      <c r="A87" s="378">
        <f>'CARGA DOCENTE'!J1540</f>
        <v>0</v>
      </c>
      <c r="B87" s="372">
        <f>'CARGA DOCENTE'!$H1540</f>
        <v>0</v>
      </c>
      <c r="C87" s="373" t="str">
        <f>IF(OR(B87="TC",B87="MT"),'CARGA DOCENTE'!$A1540," ")</f>
        <v xml:space="preserve"> </v>
      </c>
      <c r="D87" s="374" t="str">
        <f>IF(OR(B87="TC",B87="MT"),'CARGA DOCENTE'!$B1540," ")</f>
        <v xml:space="preserve"> </v>
      </c>
      <c r="E87" s="374" t="str">
        <f>IF(OR(B87="TC",B87="MT"),'CARGA DOCENTE'!$C1540," ")</f>
        <v xml:space="preserve"> </v>
      </c>
      <c r="F87" s="374" t="str">
        <f>IF(OR(B87="TC",B87="MT"),'CARGA DOCENTE'!$G1540," ")</f>
        <v xml:space="preserve"> </v>
      </c>
      <c r="G87" s="372">
        <f>'CARGA DOCENTE'!$H1541</f>
        <v>0</v>
      </c>
      <c r="H87" s="373" t="str">
        <f>IF(OR(G87="TC",G87="MT"),'CARGA DOCENTE'!$A1541," ")</f>
        <v xml:space="preserve"> </v>
      </c>
      <c r="I87" s="374" t="str">
        <f>IF(OR(G87="TC",G87="MT"),'CARGA DOCENTE'!$B1541," ")</f>
        <v xml:space="preserve"> </v>
      </c>
      <c r="J87" s="374" t="str">
        <f>IF(OR(G87="TC",G87="MT"),'CARGA DOCENTE'!$C1541," ")</f>
        <v xml:space="preserve"> </v>
      </c>
      <c r="K87" s="374" t="str">
        <f>IF(OR(G87="TC",G87="MT"),'CARGA DOCENTE'!$G1541," ")</f>
        <v xml:space="preserve"> </v>
      </c>
      <c r="L87" s="372">
        <f>'CARGA DOCENTE'!$H1542</f>
        <v>0</v>
      </c>
      <c r="M87" s="373" t="str">
        <f>IF(OR(L87="TC",L87="MT"),'CARGA DOCENTE'!$A1542," ")</f>
        <v xml:space="preserve"> </v>
      </c>
      <c r="N87" s="374" t="str">
        <f>IF(OR(L87="TC",L87="MT"),'CARGA DOCENTE'!$B1542," ")</f>
        <v xml:space="preserve"> </v>
      </c>
      <c r="O87" s="374" t="str">
        <f>IF(OR(L87="TC",L87="MT"),'CARGA DOCENTE'!$C1542," ")</f>
        <v xml:space="preserve"> </v>
      </c>
      <c r="P87" s="374" t="str">
        <f>IF(OR(L87="TC",L87="MT"),'CARGA DOCENTE'!$G1542," ")</f>
        <v xml:space="preserve"> </v>
      </c>
      <c r="Q87" s="372">
        <f>'CARGA DOCENTE'!$H1543</f>
        <v>0</v>
      </c>
      <c r="R87" s="373" t="str">
        <f>IF(OR(Q87="TC",Q87="MT"),'CARGA DOCENTE'!$A1543," ")</f>
        <v xml:space="preserve"> </v>
      </c>
      <c r="S87" s="374" t="str">
        <f>IF(OR(Q87="TC",Q87="MT"),'CARGA DOCENTE'!$B1543," ")</f>
        <v xml:space="preserve"> </v>
      </c>
      <c r="T87" s="374" t="str">
        <f>IF(OR(Q87="TC",Q87="MT"),'CARGA DOCENTE'!$C1543," ")</f>
        <v xml:space="preserve"> </v>
      </c>
      <c r="U87" s="374" t="str">
        <f>IF(OR(Q87="TC",Q87="MT"),'CARGA DOCENTE'!$G1543," ")</f>
        <v xml:space="preserve"> </v>
      </c>
      <c r="V87" s="372">
        <f>'CARGA DOCENTE'!$H1544</f>
        <v>0</v>
      </c>
      <c r="W87" s="373" t="str">
        <f>IF(OR(V87="TC",V87="MT"),'CARGA DOCENTE'!$A1544," ")</f>
        <v xml:space="preserve"> </v>
      </c>
      <c r="X87" s="374" t="str">
        <f>IF(OR(V87="TC",V87="MT"),'CARGA DOCENTE'!$B1544," ")</f>
        <v xml:space="preserve"> </v>
      </c>
      <c r="Y87" s="374" t="str">
        <f>IF(OR(V87="TC",V87="MT"),'CARGA DOCENTE'!$C1544," ")</f>
        <v xml:space="preserve"> </v>
      </c>
      <c r="Z87" s="374" t="str">
        <f>IF(OR(V87="TC",V87="MT"),'CARGA DOCENTE'!$G1544," ")</f>
        <v xml:space="preserve"> </v>
      </c>
      <c r="AA87" s="372">
        <f>'CARGA DOCENTE'!$H1545</f>
        <v>0</v>
      </c>
      <c r="AB87" s="373" t="str">
        <f>IF(OR(AA87="TC",AA87="MT"),'CARGA DOCENTE'!$A1545," ")</f>
        <v xml:space="preserve"> </v>
      </c>
      <c r="AC87" s="374" t="str">
        <f>IF(OR(AA87="TC",AA87="MT"),'CARGA DOCENTE'!$B1545," ")</f>
        <v xml:space="preserve"> </v>
      </c>
      <c r="AD87" s="374" t="str">
        <f>IF(OR(AA87="TC",AA87="MT"),'CARGA DOCENTE'!$C1545," ")</f>
        <v xml:space="preserve"> </v>
      </c>
      <c r="AE87" s="374" t="str">
        <f>IF(OR(AA87="TC",AA87="MT"),'CARGA DOCENTE'!$G1545," ")</f>
        <v xml:space="preserve"> </v>
      </c>
      <c r="AF87" s="372">
        <f>'CARGA DOCENTE'!$H1546</f>
        <v>0</v>
      </c>
      <c r="AG87" s="373" t="str">
        <f>IF(OR(AF87="TC",AF87="MT"),'CARGA DOCENTE'!$A1546," ")</f>
        <v xml:space="preserve"> </v>
      </c>
      <c r="AH87" s="374" t="str">
        <f>IF(OR(AF87="TC",AF87="MT"),'CARGA DOCENTE'!$B1546," ")</f>
        <v xml:space="preserve"> </v>
      </c>
      <c r="AI87" s="374" t="str">
        <f>IF(OR(AF87="TC",AF87="MT"),'CARGA DOCENTE'!$C1546," ")</f>
        <v xml:space="preserve"> </v>
      </c>
      <c r="AJ87" s="374" t="str">
        <f>IF(OR(AF87="TC",AF87="MT"),'CARGA DOCENTE'!$G1546," ")</f>
        <v xml:space="preserve"> </v>
      </c>
      <c r="AK87" s="372">
        <f>'CARGA DOCENTE'!$H1547</f>
        <v>0</v>
      </c>
      <c r="AL87" s="373" t="str">
        <f>IF(OR(AK87="TC",AK87="MT"),'CARGA DOCENTE'!$A1547," ")</f>
        <v xml:space="preserve"> </v>
      </c>
      <c r="AM87" s="374" t="str">
        <f>IF(OR(AK87="TC",AK87="MT"),'CARGA DOCENTE'!$B1547," ")</f>
        <v xml:space="preserve"> </v>
      </c>
      <c r="AN87" s="374" t="str">
        <f>IF(OR(AK87="TC",AK87="MT"),'CARGA DOCENTE'!$C1547," ")</f>
        <v xml:space="preserve"> </v>
      </c>
      <c r="AO87" s="374" t="str">
        <f>IF(OR(AK87="TC",AK87="MT"),'CARGA DOCENTE'!$G1547," ")</f>
        <v xml:space="preserve"> </v>
      </c>
      <c r="AP87" s="372">
        <f>'CARGA DOCENTE'!$H1548</f>
        <v>0</v>
      </c>
      <c r="AQ87" s="379" t="str">
        <f>IF(OR(AP87="TC",AP87="MT"),'CARGA DOCENTE'!$A1548," ")</f>
        <v xml:space="preserve"> </v>
      </c>
      <c r="AR87" s="380" t="str">
        <f>IF(OR(AP87="TC",AP87="MT"),'CARGA DOCENTE'!$B1548," ")</f>
        <v xml:space="preserve"> </v>
      </c>
      <c r="AS87" s="380" t="str">
        <f>IF(OR(AP87="TC",AP87="MT"),'CARGA DOCENTE'!$C1548," ")</f>
        <v xml:space="preserve"> </v>
      </c>
      <c r="AT87" s="380" t="str">
        <f>IF(OR(AP87="TC",AP87="MT"),'CARGA DOCENTE'!$G1548," ")</f>
        <v xml:space="preserve"> </v>
      </c>
      <c r="AU87" s="372">
        <f>'CARGA DOCENTE'!$H1549</f>
        <v>0</v>
      </c>
      <c r="AV87" s="373" t="str">
        <f>IF(OR(AU87="TC",AU87="MT"),'CARGA DOCENTE'!$A1549," ")</f>
        <v xml:space="preserve"> </v>
      </c>
      <c r="AW87" s="374" t="str">
        <f>IF(OR(AU87="TC",AU87="MT"),'CARGA DOCENTE'!$B1549," ")</f>
        <v xml:space="preserve"> </v>
      </c>
      <c r="AX87" s="374" t="str">
        <f>IF(OR(AU87="TC",AU87="MT"),'CARGA DOCENTE'!$C1549," ")</f>
        <v xml:space="preserve"> </v>
      </c>
      <c r="AY87" s="374" t="str">
        <f>IF(OR(AU87="TC",AU87="MT"),'CARGA DOCENTE'!$G1549," ")</f>
        <v xml:space="preserve"> </v>
      </c>
      <c r="AZ87" s="372">
        <f>'CARGA DOCENTE'!$H1550</f>
        <v>0</v>
      </c>
      <c r="BA87" s="373" t="str">
        <f>IF(OR(AZ87="TC",AZ87="MT"),'CARGA DOCENTE'!$A1550," ")</f>
        <v xml:space="preserve"> </v>
      </c>
      <c r="BB87" s="374" t="str">
        <f>IF(OR(AZ87="TC",AZ87="MT"),'CARGA DOCENTE'!$B1550," ")</f>
        <v xml:space="preserve"> </v>
      </c>
      <c r="BC87" s="374" t="str">
        <f>IF(OR(AZ87="TC",AZ87="MT"),'CARGA DOCENTE'!$C1550," ")</f>
        <v xml:space="preserve"> </v>
      </c>
      <c r="BD87" s="374" t="str">
        <f>IF(OR(AZ87="TC",AZ87="MT"),'CARGA DOCENTE'!$G1550," ")</f>
        <v xml:space="preserve"> </v>
      </c>
      <c r="BE87" s="372">
        <f>'CARGA DOCENTE'!$H1551</f>
        <v>0</v>
      </c>
      <c r="BF87" s="373" t="str">
        <f>IF(OR(BE87="TC",BE87="MT"),'CARGA DOCENTE'!$A1551," ")</f>
        <v xml:space="preserve"> </v>
      </c>
      <c r="BG87" s="374" t="str">
        <f>IF(OR(BE87="TC",BE87="MT"),'CARGA DOCENTE'!$B1551," ")</f>
        <v xml:space="preserve"> </v>
      </c>
      <c r="BH87" s="374" t="str">
        <f>IF(OR(BE87="TC",BE87="MT"),'CARGA DOCENTE'!$C1551," ")</f>
        <v xml:space="preserve"> </v>
      </c>
      <c r="BI87" s="374" t="str">
        <f>IF(OR(BE87="TC",BE87="MT"),'CARGA DOCENTE'!$G1551," ")</f>
        <v xml:space="preserve"> </v>
      </c>
      <c r="BJ87" s="372">
        <f>'CARGA DOCENTE'!$H1552</f>
        <v>0</v>
      </c>
      <c r="BK87" s="373" t="str">
        <f>IF(OR(BJ87="TC",BJ87="MT"),'CARGA DOCENTE'!$A1552," ")</f>
        <v xml:space="preserve"> </v>
      </c>
      <c r="BL87" s="374" t="str">
        <f>IF(OR(BJ87="TC",BJ87="MT"),'CARGA DOCENTE'!$B1552," ")</f>
        <v xml:space="preserve"> </v>
      </c>
      <c r="BM87" s="374" t="str">
        <f>IF(OR(BJ87="TC",BJ87="MT"),'CARGA DOCENTE'!$C1552," ")</f>
        <v xml:space="preserve"> </v>
      </c>
      <c r="BN87" s="374" t="str">
        <f>IF(OR(BJ87="TC",BJ87="MT"),'CARGA DOCENTE'!$G1552," ")</f>
        <v xml:space="preserve"> </v>
      </c>
      <c r="BO87" s="372">
        <f>'CARGA DOCENTE'!$H1553</f>
        <v>0</v>
      </c>
      <c r="BP87" s="373" t="str">
        <f>IF(OR(BO87="TC",BO87="MT"),'CARGA DOCENTE'!$A1553," ")</f>
        <v xml:space="preserve"> </v>
      </c>
      <c r="BQ87" s="374" t="str">
        <f>IF(OR(BO87="TC",BO87="MT"),'CARGA DOCENTE'!$B1553," ")</f>
        <v xml:space="preserve"> </v>
      </c>
      <c r="BR87" s="374" t="str">
        <f>IF(OR(BO87="TC",BO87="MT"),'CARGA DOCENTE'!$C1553," ")</f>
        <v xml:space="preserve"> </v>
      </c>
      <c r="BS87" s="374" t="str">
        <f>IF(OR(BO87="TC",BO87="MT"),'CARGA DOCENTE'!$G1553," ")</f>
        <v xml:space="preserve"> </v>
      </c>
      <c r="BT87" s="372">
        <f>'CARGA DOCENTE'!$H1554</f>
        <v>0</v>
      </c>
      <c r="BU87" s="373" t="str">
        <f>IF(OR(BT87="TC",BT87="MT"),'CARGA DOCENTE'!$A1554," ")</f>
        <v xml:space="preserve"> </v>
      </c>
      <c r="BV87" s="374" t="str">
        <f>IF(OR(BT87="TC",BT87="MT"),'CARGA DOCENTE'!$B1554," ")</f>
        <v xml:space="preserve"> </v>
      </c>
      <c r="BW87" s="374" t="str">
        <f>IF(OR(BT87="TC",BT87="MT"),'CARGA DOCENTE'!$C1554," ")</f>
        <v xml:space="preserve"> </v>
      </c>
      <c r="BX87" s="374" t="str">
        <f>IF(OR(BT87="TC",BT87="MT"),'CARGA DOCENTE'!$G1554," ")</f>
        <v xml:space="preserve"> </v>
      </c>
    </row>
    <row r="88" spans="1:76" x14ac:dyDescent="0.2">
      <c r="A88" s="378">
        <f>'CARGA DOCENTE'!J1558</f>
        <v>0</v>
      </c>
      <c r="B88" s="372">
        <f>'CARGA DOCENTE'!$H1558</f>
        <v>0</v>
      </c>
      <c r="C88" s="373" t="str">
        <f>IF(OR(B88="TC",B88="MT"),'CARGA DOCENTE'!$A1558," ")</f>
        <v xml:space="preserve"> </v>
      </c>
      <c r="D88" s="374" t="str">
        <f>IF(OR(B88="TC",B88="MT"),'CARGA DOCENTE'!$B1558," ")</f>
        <v xml:space="preserve"> </v>
      </c>
      <c r="E88" s="374" t="str">
        <f>IF(OR(B88="TC",B88="MT"),'CARGA DOCENTE'!$C1558," ")</f>
        <v xml:space="preserve"> </v>
      </c>
      <c r="F88" s="374" t="str">
        <f>IF(OR(B88="TC",B88="MT"),'CARGA DOCENTE'!$G1558," ")</f>
        <v xml:space="preserve"> </v>
      </c>
      <c r="G88" s="372">
        <f>'CARGA DOCENTE'!$H1559</f>
        <v>0</v>
      </c>
      <c r="H88" s="373" t="str">
        <f>IF(OR(G88="TC",G88="MT"),'CARGA DOCENTE'!$A1559," ")</f>
        <v xml:space="preserve"> </v>
      </c>
      <c r="I88" s="374" t="str">
        <f>IF(OR(G88="TC",G88="MT"),'CARGA DOCENTE'!$B1559," ")</f>
        <v xml:space="preserve"> </v>
      </c>
      <c r="J88" s="374" t="str">
        <f>IF(OR(G88="TC",G88="MT"),'CARGA DOCENTE'!$C1559," ")</f>
        <v xml:space="preserve"> </v>
      </c>
      <c r="K88" s="374" t="str">
        <f>IF(OR(G88="TC",G88="MT"),'CARGA DOCENTE'!$G1559," ")</f>
        <v xml:space="preserve"> </v>
      </c>
      <c r="L88" s="372">
        <f>'CARGA DOCENTE'!$H1560</f>
        <v>0</v>
      </c>
      <c r="M88" s="373" t="str">
        <f>IF(OR(L88="TC",L88="MT"),'CARGA DOCENTE'!$A1560," ")</f>
        <v xml:space="preserve"> </v>
      </c>
      <c r="N88" s="374" t="str">
        <f>IF(OR(L88="TC",L88="MT"),'CARGA DOCENTE'!$B1560," ")</f>
        <v xml:space="preserve"> </v>
      </c>
      <c r="O88" s="374" t="str">
        <f>IF(OR(L88="TC",L88="MT"),'CARGA DOCENTE'!$C1560," ")</f>
        <v xml:space="preserve"> </v>
      </c>
      <c r="P88" s="374" t="str">
        <f>IF(OR(L88="TC",L88="MT"),'CARGA DOCENTE'!$G1560," ")</f>
        <v xml:space="preserve"> </v>
      </c>
      <c r="Q88" s="372">
        <f>'CARGA DOCENTE'!$H1561</f>
        <v>0</v>
      </c>
      <c r="R88" s="373" t="str">
        <f>IF(OR(Q88="TC",Q88="MT"),'CARGA DOCENTE'!$A1561," ")</f>
        <v xml:space="preserve"> </v>
      </c>
      <c r="S88" s="374" t="str">
        <f>IF(OR(Q88="TC",Q88="MT"),'CARGA DOCENTE'!$B1561," ")</f>
        <v xml:space="preserve"> </v>
      </c>
      <c r="T88" s="374" t="str">
        <f>IF(OR(Q88="TC",Q88="MT"),'CARGA DOCENTE'!$C1561," ")</f>
        <v xml:space="preserve"> </v>
      </c>
      <c r="U88" s="374" t="str">
        <f>IF(OR(Q88="TC",Q88="MT"),'CARGA DOCENTE'!$G1561," ")</f>
        <v xml:space="preserve"> </v>
      </c>
      <c r="V88" s="372">
        <f>'CARGA DOCENTE'!$H1562</f>
        <v>0</v>
      </c>
      <c r="W88" s="373" t="str">
        <f>IF(OR(V88="TC",V88="MT"),'CARGA DOCENTE'!$A1562," ")</f>
        <v xml:space="preserve"> </v>
      </c>
      <c r="X88" s="374" t="str">
        <f>IF(OR(V88="TC",V88="MT"),'CARGA DOCENTE'!$B1562," ")</f>
        <v xml:space="preserve"> </v>
      </c>
      <c r="Y88" s="374" t="str">
        <f>IF(OR(V88="TC",V88="MT"),'CARGA DOCENTE'!$C1562," ")</f>
        <v xml:space="preserve"> </v>
      </c>
      <c r="Z88" s="374" t="str">
        <f>IF(OR(V88="TC",V88="MT"),'CARGA DOCENTE'!$G1562," ")</f>
        <v xml:space="preserve"> </v>
      </c>
      <c r="AA88" s="372">
        <f>'CARGA DOCENTE'!$H1563</f>
        <v>0</v>
      </c>
      <c r="AB88" s="373" t="str">
        <f>IF(OR(AA88="TC",AA88="MT"),'CARGA DOCENTE'!$A1563," ")</f>
        <v xml:space="preserve"> </v>
      </c>
      <c r="AC88" s="374" t="str">
        <f>IF(OR(AA88="TC",AA88="MT"),'CARGA DOCENTE'!$B1563," ")</f>
        <v xml:space="preserve"> </v>
      </c>
      <c r="AD88" s="374" t="str">
        <f>IF(OR(AA88="TC",AA88="MT"),'CARGA DOCENTE'!$C1563," ")</f>
        <v xml:space="preserve"> </v>
      </c>
      <c r="AE88" s="374" t="str">
        <f>IF(OR(AA88="TC",AA88="MT"),'CARGA DOCENTE'!$G1563," ")</f>
        <v xml:space="preserve"> </v>
      </c>
      <c r="AF88" s="372">
        <f>'CARGA DOCENTE'!$H1564</f>
        <v>0</v>
      </c>
      <c r="AG88" s="373" t="str">
        <f>IF(OR(AF88="TC",AF88="MT"),'CARGA DOCENTE'!$A1564," ")</f>
        <v xml:space="preserve"> </v>
      </c>
      <c r="AH88" s="374" t="str">
        <f>IF(OR(AF88="TC",AF88="MT"),'CARGA DOCENTE'!$B1564," ")</f>
        <v xml:space="preserve"> </v>
      </c>
      <c r="AI88" s="374" t="str">
        <f>IF(OR(AF88="TC",AF88="MT"),'CARGA DOCENTE'!$C1564," ")</f>
        <v xml:space="preserve"> </v>
      </c>
      <c r="AJ88" s="374" t="str">
        <f>IF(OR(AF88="TC",AF88="MT"),'CARGA DOCENTE'!$G1564," ")</f>
        <v xml:space="preserve"> </v>
      </c>
      <c r="AK88" s="372">
        <f>'CARGA DOCENTE'!$H1565</f>
        <v>0</v>
      </c>
      <c r="AL88" s="373" t="str">
        <f>IF(OR(AK88="TC",AK88="MT"),'CARGA DOCENTE'!$A1565," ")</f>
        <v xml:space="preserve"> </v>
      </c>
      <c r="AM88" s="374" t="str">
        <f>IF(OR(AK88="TC",AK88="MT"),'CARGA DOCENTE'!$B1565," ")</f>
        <v xml:space="preserve"> </v>
      </c>
      <c r="AN88" s="374" t="str">
        <f>IF(OR(AK88="TC",AK88="MT"),'CARGA DOCENTE'!$C1565," ")</f>
        <v xml:space="preserve"> </v>
      </c>
      <c r="AO88" s="374" t="str">
        <f>IF(OR(AK88="TC",AK88="MT"),'CARGA DOCENTE'!$G1565," ")</f>
        <v xml:space="preserve"> </v>
      </c>
      <c r="AP88" s="372">
        <f>'CARGA DOCENTE'!$H1566</f>
        <v>0</v>
      </c>
      <c r="AQ88" s="379" t="str">
        <f>IF(OR(AP88="TC",AP88="MT"),'CARGA DOCENTE'!$A1566," ")</f>
        <v xml:space="preserve"> </v>
      </c>
      <c r="AR88" s="380" t="str">
        <f>IF(OR(AP88="TC",AP88="MT"),'CARGA DOCENTE'!$B1566," ")</f>
        <v xml:space="preserve"> </v>
      </c>
      <c r="AS88" s="380" t="str">
        <f>IF(OR(AP88="TC",AP88="MT"),'CARGA DOCENTE'!$C1566," ")</f>
        <v xml:space="preserve"> </v>
      </c>
      <c r="AT88" s="380" t="str">
        <f>IF(OR(AP88="TC",AP88="MT"),'CARGA DOCENTE'!$G1566," ")</f>
        <v xml:space="preserve"> </v>
      </c>
      <c r="AU88" s="372">
        <f>'CARGA DOCENTE'!$H1567</f>
        <v>0</v>
      </c>
      <c r="AV88" s="373" t="str">
        <f>IF(OR(AU88="TC",AU88="MT"),'CARGA DOCENTE'!$A1567," ")</f>
        <v xml:space="preserve"> </v>
      </c>
      <c r="AW88" s="374" t="str">
        <f>IF(OR(AU88="TC",AU88="MT"),'CARGA DOCENTE'!$B1567," ")</f>
        <v xml:space="preserve"> </v>
      </c>
      <c r="AX88" s="374" t="str">
        <f>IF(OR(AU88="TC",AU88="MT"),'CARGA DOCENTE'!$C1567," ")</f>
        <v xml:space="preserve"> </v>
      </c>
      <c r="AY88" s="374" t="str">
        <f>IF(OR(AU88="TC",AU88="MT"),'CARGA DOCENTE'!$G1567," ")</f>
        <v xml:space="preserve"> </v>
      </c>
      <c r="AZ88" s="372">
        <f>'CARGA DOCENTE'!$H1568</f>
        <v>0</v>
      </c>
      <c r="BA88" s="373" t="str">
        <f>IF(OR(AZ88="TC",AZ88="MT"),'CARGA DOCENTE'!$A1568," ")</f>
        <v xml:space="preserve"> </v>
      </c>
      <c r="BB88" s="374" t="str">
        <f>IF(OR(AZ88="TC",AZ88="MT"),'CARGA DOCENTE'!$B1568," ")</f>
        <v xml:space="preserve"> </v>
      </c>
      <c r="BC88" s="374" t="str">
        <f>IF(OR(AZ88="TC",AZ88="MT"),'CARGA DOCENTE'!$C1568," ")</f>
        <v xml:space="preserve"> </v>
      </c>
      <c r="BD88" s="374" t="str">
        <f>IF(OR(AZ88="TC",AZ88="MT"),'CARGA DOCENTE'!$G1568," ")</f>
        <v xml:space="preserve"> </v>
      </c>
      <c r="BE88" s="372">
        <f>'CARGA DOCENTE'!$H1569</f>
        <v>0</v>
      </c>
      <c r="BF88" s="373" t="str">
        <f>IF(OR(BE88="TC",BE88="MT"),'CARGA DOCENTE'!$A1569," ")</f>
        <v xml:space="preserve"> </v>
      </c>
      <c r="BG88" s="374" t="str">
        <f>IF(OR(BE88="TC",BE88="MT"),'CARGA DOCENTE'!$B1569," ")</f>
        <v xml:space="preserve"> </v>
      </c>
      <c r="BH88" s="374" t="str">
        <f>IF(OR(BE88="TC",BE88="MT"),'CARGA DOCENTE'!$C1569," ")</f>
        <v xml:space="preserve"> </v>
      </c>
      <c r="BI88" s="374" t="str">
        <f>IF(OR(BE88="TC",BE88="MT"),'CARGA DOCENTE'!$G1569," ")</f>
        <v xml:space="preserve"> </v>
      </c>
      <c r="BJ88" s="372">
        <f>'CARGA DOCENTE'!$H1570</f>
        <v>0</v>
      </c>
      <c r="BK88" s="373" t="str">
        <f>IF(OR(BJ88="TC",BJ88="MT"),'CARGA DOCENTE'!$A1570," ")</f>
        <v xml:space="preserve"> </v>
      </c>
      <c r="BL88" s="374" t="str">
        <f>IF(OR(BJ88="TC",BJ88="MT"),'CARGA DOCENTE'!$B1570," ")</f>
        <v xml:space="preserve"> </v>
      </c>
      <c r="BM88" s="374" t="str">
        <f>IF(OR(BJ88="TC",BJ88="MT"),'CARGA DOCENTE'!$C1570," ")</f>
        <v xml:space="preserve"> </v>
      </c>
      <c r="BN88" s="374" t="str">
        <f>IF(OR(BJ88="TC",BJ88="MT"),'CARGA DOCENTE'!$G1570," ")</f>
        <v xml:space="preserve"> </v>
      </c>
      <c r="BO88" s="372">
        <f>'CARGA DOCENTE'!$H1571</f>
        <v>0</v>
      </c>
      <c r="BP88" s="373" t="str">
        <f>IF(OR(BO88="TC",BO88="MT"),'CARGA DOCENTE'!$A1571," ")</f>
        <v xml:space="preserve"> </v>
      </c>
      <c r="BQ88" s="374" t="str">
        <f>IF(OR(BO88="TC",BO88="MT"),'CARGA DOCENTE'!$B1571," ")</f>
        <v xml:space="preserve"> </v>
      </c>
      <c r="BR88" s="374" t="str">
        <f>IF(OR(BO88="TC",BO88="MT"),'CARGA DOCENTE'!$C1571," ")</f>
        <v xml:space="preserve"> </v>
      </c>
      <c r="BS88" s="374" t="str">
        <f>IF(OR(BO88="TC",BO88="MT"),'CARGA DOCENTE'!$G1571," ")</f>
        <v xml:space="preserve"> </v>
      </c>
      <c r="BT88" s="372">
        <f>'CARGA DOCENTE'!$H1572</f>
        <v>0</v>
      </c>
      <c r="BU88" s="373" t="str">
        <f>IF(OR(BT88="TC",BT88="MT"),'CARGA DOCENTE'!$A1572," ")</f>
        <v xml:space="preserve"> </v>
      </c>
      <c r="BV88" s="374" t="str">
        <f>IF(OR(BT88="TC",BT88="MT"),'CARGA DOCENTE'!$B1572," ")</f>
        <v xml:space="preserve"> </v>
      </c>
      <c r="BW88" s="374" t="str">
        <f>IF(OR(BT88="TC",BT88="MT"),'CARGA DOCENTE'!$C1572," ")</f>
        <v xml:space="preserve"> </v>
      </c>
      <c r="BX88" s="374" t="str">
        <f>IF(OR(BT88="TC",BT88="MT"),'CARGA DOCENTE'!$G1572," ")</f>
        <v xml:space="preserve"> </v>
      </c>
    </row>
    <row r="89" spans="1:76" x14ac:dyDescent="0.2">
      <c r="A89" s="378">
        <f>'CARGA DOCENTE'!J1576</f>
        <v>0</v>
      </c>
      <c r="B89" s="372">
        <f>'CARGA DOCENTE'!$H1576</f>
        <v>0</v>
      </c>
      <c r="C89" s="373" t="str">
        <f>IF(OR(B89="TC",B89="MT"),'CARGA DOCENTE'!$A1576," ")</f>
        <v xml:space="preserve"> </v>
      </c>
      <c r="D89" s="374" t="str">
        <f>IF(OR(B89="TC",B89="MT"),'CARGA DOCENTE'!$B1576," ")</f>
        <v xml:space="preserve"> </v>
      </c>
      <c r="E89" s="374" t="str">
        <f>IF(OR(B89="TC",B89="MT"),'CARGA DOCENTE'!$C1576," ")</f>
        <v xml:space="preserve"> </v>
      </c>
      <c r="F89" s="374" t="str">
        <f>IF(OR(B89="TC",B89="MT"),'CARGA DOCENTE'!$G1576," ")</f>
        <v xml:space="preserve"> </v>
      </c>
      <c r="G89" s="372">
        <f>'CARGA DOCENTE'!$H1577</f>
        <v>0</v>
      </c>
      <c r="H89" s="373" t="str">
        <f>IF(OR(G89="TC",G89="MT"),'CARGA DOCENTE'!$A1577," ")</f>
        <v xml:space="preserve"> </v>
      </c>
      <c r="I89" s="374" t="str">
        <f>IF(OR(G89="TC",G89="MT"),'CARGA DOCENTE'!$B1577," ")</f>
        <v xml:space="preserve"> </v>
      </c>
      <c r="J89" s="374" t="str">
        <f>IF(OR(G89="TC",G89="MT"),'CARGA DOCENTE'!$C1577," ")</f>
        <v xml:space="preserve"> </v>
      </c>
      <c r="K89" s="374" t="str">
        <f>IF(OR(G89="TC",G89="MT"),'CARGA DOCENTE'!$G1577," ")</f>
        <v xml:space="preserve"> </v>
      </c>
      <c r="L89" s="372">
        <f>'CARGA DOCENTE'!$H1578</f>
        <v>0</v>
      </c>
      <c r="M89" s="373" t="str">
        <f>IF(OR(L89="TC",L89="MT"),'CARGA DOCENTE'!$A1578," ")</f>
        <v xml:space="preserve"> </v>
      </c>
      <c r="N89" s="374" t="str">
        <f>IF(OR(L89="TC",L89="MT"),'CARGA DOCENTE'!$B1578," ")</f>
        <v xml:space="preserve"> </v>
      </c>
      <c r="O89" s="374" t="str">
        <f>IF(OR(L89="TC",L89="MT"),'CARGA DOCENTE'!$C1578," ")</f>
        <v xml:space="preserve"> </v>
      </c>
      <c r="P89" s="374" t="str">
        <f>IF(OR(L89="TC",L89="MT"),'CARGA DOCENTE'!$G1578," ")</f>
        <v xml:space="preserve"> </v>
      </c>
      <c r="Q89" s="372">
        <f>'CARGA DOCENTE'!$H1579</f>
        <v>0</v>
      </c>
      <c r="R89" s="373" t="str">
        <f>IF(OR(Q89="TC",Q89="MT"),'CARGA DOCENTE'!$A1579," ")</f>
        <v xml:space="preserve"> </v>
      </c>
      <c r="S89" s="374" t="str">
        <f>IF(OR(Q89="TC",Q89="MT"),'CARGA DOCENTE'!$B1579," ")</f>
        <v xml:space="preserve"> </v>
      </c>
      <c r="T89" s="374" t="str">
        <f>IF(OR(Q89="TC",Q89="MT"),'CARGA DOCENTE'!$C1579," ")</f>
        <v xml:space="preserve"> </v>
      </c>
      <c r="U89" s="374" t="str">
        <f>IF(OR(Q89="TC",Q89="MT"),'CARGA DOCENTE'!$G1579," ")</f>
        <v xml:space="preserve"> </v>
      </c>
      <c r="V89" s="372">
        <f>'CARGA DOCENTE'!$H1580</f>
        <v>0</v>
      </c>
      <c r="W89" s="373" t="str">
        <f>IF(OR(V89="TC",V89="MT"),'CARGA DOCENTE'!$A1580," ")</f>
        <v xml:space="preserve"> </v>
      </c>
      <c r="X89" s="374" t="str">
        <f>IF(OR(V89="TC",V89="MT"),'CARGA DOCENTE'!$B1580," ")</f>
        <v xml:space="preserve"> </v>
      </c>
      <c r="Y89" s="374" t="str">
        <f>IF(OR(V89="TC",V89="MT"),'CARGA DOCENTE'!$C1580," ")</f>
        <v xml:space="preserve"> </v>
      </c>
      <c r="Z89" s="374" t="str">
        <f>IF(OR(V89="TC",V89="MT"),'CARGA DOCENTE'!$G1580," ")</f>
        <v xml:space="preserve"> </v>
      </c>
      <c r="AA89" s="372">
        <f>'CARGA DOCENTE'!$H1581</f>
        <v>0</v>
      </c>
      <c r="AB89" s="373" t="str">
        <f>IF(OR(AA89="TC",AA89="MT"),'CARGA DOCENTE'!$A1581," ")</f>
        <v xml:space="preserve"> </v>
      </c>
      <c r="AC89" s="374" t="str">
        <f>IF(OR(AA89="TC",AA89="MT"),'CARGA DOCENTE'!$B1581," ")</f>
        <v xml:space="preserve"> </v>
      </c>
      <c r="AD89" s="374" t="str">
        <f>IF(OR(AA89="TC",AA89="MT"),'CARGA DOCENTE'!$C1581," ")</f>
        <v xml:space="preserve"> </v>
      </c>
      <c r="AE89" s="374" t="str">
        <f>IF(OR(AA89="TC",AA89="MT"),'CARGA DOCENTE'!$G1581," ")</f>
        <v xml:space="preserve"> </v>
      </c>
      <c r="AF89" s="372">
        <f>'CARGA DOCENTE'!$H1582</f>
        <v>0</v>
      </c>
      <c r="AG89" s="373" t="str">
        <f>IF(OR(AF89="TC",AF89="MT"),'CARGA DOCENTE'!$A1582," ")</f>
        <v xml:space="preserve"> </v>
      </c>
      <c r="AH89" s="374" t="str">
        <f>IF(OR(AF89="TC",AF89="MT"),'CARGA DOCENTE'!$B1582," ")</f>
        <v xml:space="preserve"> </v>
      </c>
      <c r="AI89" s="374" t="str">
        <f>IF(OR(AF89="TC",AF89="MT"),'CARGA DOCENTE'!$C1582," ")</f>
        <v xml:space="preserve"> </v>
      </c>
      <c r="AJ89" s="374" t="str">
        <f>IF(OR(AF89="TC",AF89="MT"),'CARGA DOCENTE'!$G1582," ")</f>
        <v xml:space="preserve"> </v>
      </c>
      <c r="AK89" s="372">
        <f>'CARGA DOCENTE'!$H1583</f>
        <v>0</v>
      </c>
      <c r="AL89" s="373" t="str">
        <f>IF(OR(AK89="TC",AK89="MT"),'CARGA DOCENTE'!$A1583," ")</f>
        <v xml:space="preserve"> </v>
      </c>
      <c r="AM89" s="374" t="str">
        <f>IF(OR(AK89="TC",AK89="MT"),'CARGA DOCENTE'!$B1583," ")</f>
        <v xml:space="preserve"> </v>
      </c>
      <c r="AN89" s="374" t="str">
        <f>IF(OR(AK89="TC",AK89="MT"),'CARGA DOCENTE'!$C1583," ")</f>
        <v xml:space="preserve"> </v>
      </c>
      <c r="AO89" s="374" t="str">
        <f>IF(OR(AK89="TC",AK89="MT"),'CARGA DOCENTE'!$G1583," ")</f>
        <v xml:space="preserve"> </v>
      </c>
      <c r="AP89" s="372">
        <f>'CARGA DOCENTE'!$H1584</f>
        <v>0</v>
      </c>
      <c r="AQ89" s="379" t="str">
        <f>IF(OR(AP89="TC",AP89="MT"),'CARGA DOCENTE'!$A1584," ")</f>
        <v xml:space="preserve"> </v>
      </c>
      <c r="AR89" s="380" t="str">
        <f>IF(OR(AP89="TC",AP89="MT"),'CARGA DOCENTE'!$B1584," ")</f>
        <v xml:space="preserve"> </v>
      </c>
      <c r="AS89" s="380" t="str">
        <f>IF(OR(AP89="TC",AP89="MT"),'CARGA DOCENTE'!$C1584," ")</f>
        <v xml:space="preserve"> </v>
      </c>
      <c r="AT89" s="380" t="str">
        <f>IF(OR(AP89="TC",AP89="MT"),'CARGA DOCENTE'!$G1584," ")</f>
        <v xml:space="preserve"> </v>
      </c>
      <c r="AU89" s="372">
        <f>'CARGA DOCENTE'!$H1585</f>
        <v>0</v>
      </c>
      <c r="AV89" s="373" t="str">
        <f>IF(OR(AU89="TC",AU89="MT"),'CARGA DOCENTE'!$A1585," ")</f>
        <v xml:space="preserve"> </v>
      </c>
      <c r="AW89" s="374" t="str">
        <f>IF(OR(AU89="TC",AU89="MT"),'CARGA DOCENTE'!$B1585," ")</f>
        <v xml:space="preserve"> </v>
      </c>
      <c r="AX89" s="374" t="str">
        <f>IF(OR(AU89="TC",AU89="MT"),'CARGA DOCENTE'!$C1585," ")</f>
        <v xml:space="preserve"> </v>
      </c>
      <c r="AY89" s="374" t="str">
        <f>IF(OR(AU89="TC",AU89="MT"),'CARGA DOCENTE'!$G1585," ")</f>
        <v xml:space="preserve"> </v>
      </c>
      <c r="AZ89" s="372">
        <f>'CARGA DOCENTE'!$H1586</f>
        <v>0</v>
      </c>
      <c r="BA89" s="373" t="str">
        <f>IF(OR(AZ89="TC",AZ89="MT"),'CARGA DOCENTE'!$A1586," ")</f>
        <v xml:space="preserve"> </v>
      </c>
      <c r="BB89" s="374" t="str">
        <f>IF(OR(AZ89="TC",AZ89="MT"),'CARGA DOCENTE'!$B1586," ")</f>
        <v xml:space="preserve"> </v>
      </c>
      <c r="BC89" s="374" t="str">
        <f>IF(OR(AZ89="TC",AZ89="MT"),'CARGA DOCENTE'!$C1586," ")</f>
        <v xml:space="preserve"> </v>
      </c>
      <c r="BD89" s="374" t="str">
        <f>IF(OR(AZ89="TC",AZ89="MT"),'CARGA DOCENTE'!$G1586," ")</f>
        <v xml:space="preserve"> </v>
      </c>
      <c r="BE89" s="372">
        <f>'CARGA DOCENTE'!$H1587</f>
        <v>0</v>
      </c>
      <c r="BF89" s="373" t="str">
        <f>IF(OR(BE89="TC",BE89="MT"),'CARGA DOCENTE'!$A1587," ")</f>
        <v xml:space="preserve"> </v>
      </c>
      <c r="BG89" s="374" t="str">
        <f>IF(OR(BE89="TC",BE89="MT"),'CARGA DOCENTE'!$B1587," ")</f>
        <v xml:space="preserve"> </v>
      </c>
      <c r="BH89" s="374" t="str">
        <f>IF(OR(BE89="TC",BE89="MT"),'CARGA DOCENTE'!$C1587," ")</f>
        <v xml:space="preserve"> </v>
      </c>
      <c r="BI89" s="374" t="str">
        <f>IF(OR(BE89="TC",BE89="MT"),'CARGA DOCENTE'!$G1587," ")</f>
        <v xml:space="preserve"> </v>
      </c>
      <c r="BJ89" s="372">
        <f>'CARGA DOCENTE'!$H1588</f>
        <v>0</v>
      </c>
      <c r="BK89" s="373" t="str">
        <f>IF(OR(BJ89="TC",BJ89="MT"),'CARGA DOCENTE'!$A1588," ")</f>
        <v xml:space="preserve"> </v>
      </c>
      <c r="BL89" s="374" t="str">
        <f>IF(OR(BJ89="TC",BJ89="MT"),'CARGA DOCENTE'!$B1588," ")</f>
        <v xml:space="preserve"> </v>
      </c>
      <c r="BM89" s="374" t="str">
        <f>IF(OR(BJ89="TC",BJ89="MT"),'CARGA DOCENTE'!$C1588," ")</f>
        <v xml:space="preserve"> </v>
      </c>
      <c r="BN89" s="374" t="str">
        <f>IF(OR(BJ89="TC",BJ89="MT"),'CARGA DOCENTE'!$G1588," ")</f>
        <v xml:space="preserve"> </v>
      </c>
      <c r="BO89" s="372">
        <f>'CARGA DOCENTE'!$H1589</f>
        <v>0</v>
      </c>
      <c r="BP89" s="373" t="str">
        <f>IF(OR(BO89="TC",BO89="MT"),'CARGA DOCENTE'!$A1589," ")</f>
        <v xml:space="preserve"> </v>
      </c>
      <c r="BQ89" s="374" t="str">
        <f>IF(OR(BO89="TC",BO89="MT"),'CARGA DOCENTE'!$B1589," ")</f>
        <v xml:space="preserve"> </v>
      </c>
      <c r="BR89" s="374" t="str">
        <f>IF(OR(BO89="TC",BO89="MT"),'CARGA DOCENTE'!$C1589," ")</f>
        <v xml:space="preserve"> </v>
      </c>
      <c r="BS89" s="374" t="str">
        <f>IF(OR(BO89="TC",BO89="MT"),'CARGA DOCENTE'!$G1589," ")</f>
        <v xml:space="preserve"> </v>
      </c>
      <c r="BT89" s="372">
        <f>'CARGA DOCENTE'!$H1590</f>
        <v>0</v>
      </c>
      <c r="BU89" s="373" t="str">
        <f>IF(OR(BT89="TC",BT89="MT"),'CARGA DOCENTE'!$A1590," ")</f>
        <v xml:space="preserve"> </v>
      </c>
      <c r="BV89" s="374" t="str">
        <f>IF(OR(BT89="TC",BT89="MT"),'CARGA DOCENTE'!$B1590," ")</f>
        <v xml:space="preserve"> </v>
      </c>
      <c r="BW89" s="374" t="str">
        <f>IF(OR(BT89="TC",BT89="MT"),'CARGA DOCENTE'!$C1590," ")</f>
        <v xml:space="preserve"> </v>
      </c>
      <c r="BX89" s="374" t="str">
        <f>IF(OR(BT89="TC",BT89="MT"),'CARGA DOCENTE'!$G1590," ")</f>
        <v xml:space="preserve"> </v>
      </c>
    </row>
    <row r="90" spans="1:76" x14ac:dyDescent="0.2">
      <c r="A90" s="378">
        <f>'CARGA DOCENTE'!J1594</f>
        <v>0</v>
      </c>
      <c r="B90" s="372">
        <f>'CARGA DOCENTE'!$H1594</f>
        <v>0</v>
      </c>
      <c r="C90" s="373" t="str">
        <f>IF(OR(B90="TC",B90="MT"),'CARGA DOCENTE'!$A1594," ")</f>
        <v xml:space="preserve"> </v>
      </c>
      <c r="D90" s="374" t="str">
        <f>IF(OR(B90="TC",B90="MT"),'CARGA DOCENTE'!$B1594," ")</f>
        <v xml:space="preserve"> </v>
      </c>
      <c r="E90" s="374" t="str">
        <f>IF(OR(B90="TC",B90="MT"),'CARGA DOCENTE'!$C1594," ")</f>
        <v xml:space="preserve"> </v>
      </c>
      <c r="F90" s="374" t="str">
        <f>IF(OR(B90="TC",B90="MT"),'CARGA DOCENTE'!$G1594," ")</f>
        <v xml:space="preserve"> </v>
      </c>
      <c r="G90" s="372">
        <f>'CARGA DOCENTE'!$H1595</f>
        <v>0</v>
      </c>
      <c r="H90" s="373" t="str">
        <f>IF(OR(G90="TC",G90="MT"),'CARGA DOCENTE'!$A1595," ")</f>
        <v xml:space="preserve"> </v>
      </c>
      <c r="I90" s="374" t="str">
        <f>IF(OR(G90="TC",G90="MT"),'CARGA DOCENTE'!$B1595," ")</f>
        <v xml:space="preserve"> </v>
      </c>
      <c r="J90" s="374" t="str">
        <f>IF(OR(G90="TC",G90="MT"),'CARGA DOCENTE'!$C1595," ")</f>
        <v xml:space="preserve"> </v>
      </c>
      <c r="K90" s="374" t="str">
        <f>IF(OR(G90="TC",G90="MT"),'CARGA DOCENTE'!$G1595," ")</f>
        <v xml:space="preserve"> </v>
      </c>
      <c r="L90" s="372">
        <f>'CARGA DOCENTE'!$H1596</f>
        <v>0</v>
      </c>
      <c r="M90" s="373" t="str">
        <f>IF(OR(L90="TC",L90="MT"),'CARGA DOCENTE'!$A1596," ")</f>
        <v xml:space="preserve"> </v>
      </c>
      <c r="N90" s="374" t="str">
        <f>IF(OR(L90="TC",L90="MT"),'CARGA DOCENTE'!$B1596," ")</f>
        <v xml:space="preserve"> </v>
      </c>
      <c r="O90" s="374" t="str">
        <f>IF(OR(L90="TC",L90="MT"),'CARGA DOCENTE'!$C1596," ")</f>
        <v xml:space="preserve"> </v>
      </c>
      <c r="P90" s="374" t="str">
        <f>IF(OR(L90="TC",L90="MT"),'CARGA DOCENTE'!$G1596," ")</f>
        <v xml:space="preserve"> </v>
      </c>
      <c r="Q90" s="372">
        <f>'CARGA DOCENTE'!$H1597</f>
        <v>0</v>
      </c>
      <c r="R90" s="373" t="str">
        <f>IF(OR(Q90="TC",Q90="MT"),'CARGA DOCENTE'!$A1597," ")</f>
        <v xml:space="preserve"> </v>
      </c>
      <c r="S90" s="374" t="str">
        <f>IF(OR(Q90="TC",Q90="MT"),'CARGA DOCENTE'!$B1597," ")</f>
        <v xml:space="preserve"> </v>
      </c>
      <c r="T90" s="374" t="str">
        <f>IF(OR(Q90="TC",Q90="MT"),'CARGA DOCENTE'!$C1597," ")</f>
        <v xml:space="preserve"> </v>
      </c>
      <c r="U90" s="374" t="str">
        <f>IF(OR(Q90="TC",Q90="MT"),'CARGA DOCENTE'!$G1597," ")</f>
        <v xml:space="preserve"> </v>
      </c>
      <c r="V90" s="372">
        <f>'CARGA DOCENTE'!$H1598</f>
        <v>0</v>
      </c>
      <c r="W90" s="373" t="str">
        <f>IF(OR(V90="TC",V90="MT"),'CARGA DOCENTE'!$A1598," ")</f>
        <v xml:space="preserve"> </v>
      </c>
      <c r="X90" s="374" t="str">
        <f>IF(OR(V90="TC",V90="MT"),'CARGA DOCENTE'!$B1598," ")</f>
        <v xml:space="preserve"> </v>
      </c>
      <c r="Y90" s="374" t="str">
        <f>IF(OR(V90="TC",V90="MT"),'CARGA DOCENTE'!$C1598," ")</f>
        <v xml:space="preserve"> </v>
      </c>
      <c r="Z90" s="374" t="str">
        <f>IF(OR(V90="TC",V90="MT"),'CARGA DOCENTE'!$G1598," ")</f>
        <v xml:space="preserve"> </v>
      </c>
      <c r="AA90" s="372">
        <f>'CARGA DOCENTE'!$H1599</f>
        <v>0</v>
      </c>
      <c r="AB90" s="373" t="str">
        <f>IF(OR(AA90="TC",AA90="MT"),'CARGA DOCENTE'!$A1599," ")</f>
        <v xml:space="preserve"> </v>
      </c>
      <c r="AC90" s="374" t="str">
        <f>IF(OR(AA90="TC",AA90="MT"),'CARGA DOCENTE'!$B1599," ")</f>
        <v xml:space="preserve"> </v>
      </c>
      <c r="AD90" s="374" t="str">
        <f>IF(OR(AA90="TC",AA90="MT"),'CARGA DOCENTE'!$C1599," ")</f>
        <v xml:space="preserve"> </v>
      </c>
      <c r="AE90" s="374" t="str">
        <f>IF(OR(AA90="TC",AA90="MT"),'CARGA DOCENTE'!$G1599," ")</f>
        <v xml:space="preserve"> </v>
      </c>
      <c r="AF90" s="372">
        <f>'CARGA DOCENTE'!$H1600</f>
        <v>0</v>
      </c>
      <c r="AG90" s="373" t="str">
        <f>IF(OR(AF90="TC",AF90="MT"),'CARGA DOCENTE'!$A1600," ")</f>
        <v xml:space="preserve"> </v>
      </c>
      <c r="AH90" s="374" t="str">
        <f>IF(OR(AF90="TC",AF90="MT"),'CARGA DOCENTE'!$B1600," ")</f>
        <v xml:space="preserve"> </v>
      </c>
      <c r="AI90" s="374" t="str">
        <f>IF(OR(AF90="TC",AF90="MT"),'CARGA DOCENTE'!$C1600," ")</f>
        <v xml:space="preserve"> </v>
      </c>
      <c r="AJ90" s="374" t="str">
        <f>IF(OR(AF90="TC",AF90="MT"),'CARGA DOCENTE'!$G1600," ")</f>
        <v xml:space="preserve"> </v>
      </c>
      <c r="AK90" s="372">
        <f>'CARGA DOCENTE'!$H1601</f>
        <v>0</v>
      </c>
      <c r="AL90" s="373" t="str">
        <f>IF(OR(AK90="TC",AK90="MT"),'CARGA DOCENTE'!$A1601," ")</f>
        <v xml:space="preserve"> </v>
      </c>
      <c r="AM90" s="374" t="str">
        <f>IF(OR(AK90="TC",AK90="MT"),'CARGA DOCENTE'!$B1601," ")</f>
        <v xml:space="preserve"> </v>
      </c>
      <c r="AN90" s="374" t="str">
        <f>IF(OR(AK90="TC",AK90="MT"),'CARGA DOCENTE'!$C1601," ")</f>
        <v xml:space="preserve"> </v>
      </c>
      <c r="AO90" s="374" t="str">
        <f>IF(OR(AK90="TC",AK90="MT"),'CARGA DOCENTE'!$G1601," ")</f>
        <v xml:space="preserve"> </v>
      </c>
      <c r="AP90" s="372">
        <f>'CARGA DOCENTE'!$H1602</f>
        <v>0</v>
      </c>
      <c r="AQ90" s="379" t="str">
        <f>IF(OR(AP90="TC",AP90="MT"),'CARGA DOCENTE'!$A1602," ")</f>
        <v xml:space="preserve"> </v>
      </c>
      <c r="AR90" s="380" t="str">
        <f>IF(OR(AP90="TC",AP90="MT"),'CARGA DOCENTE'!$B1602," ")</f>
        <v xml:space="preserve"> </v>
      </c>
      <c r="AS90" s="380" t="str">
        <f>IF(OR(AP90="TC",AP90="MT"),'CARGA DOCENTE'!$C1602," ")</f>
        <v xml:space="preserve"> </v>
      </c>
      <c r="AT90" s="380" t="str">
        <f>IF(OR(AP90="TC",AP90="MT"),'CARGA DOCENTE'!$G1602," ")</f>
        <v xml:space="preserve"> </v>
      </c>
      <c r="AU90" s="372">
        <f>'CARGA DOCENTE'!$H1603</f>
        <v>0</v>
      </c>
      <c r="AV90" s="373" t="str">
        <f>IF(OR(AU90="TC",AU90="MT"),'CARGA DOCENTE'!$A1603," ")</f>
        <v xml:space="preserve"> </v>
      </c>
      <c r="AW90" s="374" t="str">
        <f>IF(OR(AU90="TC",AU90="MT"),'CARGA DOCENTE'!$B1603," ")</f>
        <v xml:space="preserve"> </v>
      </c>
      <c r="AX90" s="374" t="str">
        <f>IF(OR(AU90="TC",AU90="MT"),'CARGA DOCENTE'!$C1603," ")</f>
        <v xml:space="preserve"> </v>
      </c>
      <c r="AY90" s="374" t="str">
        <f>IF(OR(AU90="TC",AU90="MT"),'CARGA DOCENTE'!$G1603," ")</f>
        <v xml:space="preserve"> </v>
      </c>
      <c r="AZ90" s="372">
        <f>'CARGA DOCENTE'!$H1604</f>
        <v>0</v>
      </c>
      <c r="BA90" s="373" t="str">
        <f>IF(OR(AZ90="TC",AZ90="MT"),'CARGA DOCENTE'!$A1604," ")</f>
        <v xml:space="preserve"> </v>
      </c>
      <c r="BB90" s="374" t="str">
        <f>IF(OR(AZ90="TC",AZ90="MT"),'CARGA DOCENTE'!$B1604," ")</f>
        <v xml:space="preserve"> </v>
      </c>
      <c r="BC90" s="374" t="str">
        <f>IF(OR(AZ90="TC",AZ90="MT"),'CARGA DOCENTE'!$C1604," ")</f>
        <v xml:space="preserve"> </v>
      </c>
      <c r="BD90" s="374" t="str">
        <f>IF(OR(AZ90="TC",AZ90="MT"),'CARGA DOCENTE'!$G1604," ")</f>
        <v xml:space="preserve"> </v>
      </c>
      <c r="BE90" s="372">
        <f>'CARGA DOCENTE'!$H1605</f>
        <v>0</v>
      </c>
      <c r="BF90" s="373" t="str">
        <f>IF(OR(BE90="TC",BE90="MT"),'CARGA DOCENTE'!$A1605," ")</f>
        <v xml:space="preserve"> </v>
      </c>
      <c r="BG90" s="374" t="str">
        <f>IF(OR(BE90="TC",BE90="MT"),'CARGA DOCENTE'!$B1605," ")</f>
        <v xml:space="preserve"> </v>
      </c>
      <c r="BH90" s="374" t="str">
        <f>IF(OR(BE90="TC",BE90="MT"),'CARGA DOCENTE'!$C1605," ")</f>
        <v xml:space="preserve"> </v>
      </c>
      <c r="BI90" s="374" t="str">
        <f>IF(OR(BE90="TC",BE90="MT"),'CARGA DOCENTE'!$G1605," ")</f>
        <v xml:space="preserve"> </v>
      </c>
      <c r="BJ90" s="372">
        <f>'CARGA DOCENTE'!$H1606</f>
        <v>0</v>
      </c>
      <c r="BK90" s="373" t="str">
        <f>IF(OR(BJ90="TC",BJ90="MT"),'CARGA DOCENTE'!$A1606," ")</f>
        <v xml:space="preserve"> </v>
      </c>
      <c r="BL90" s="374" t="str">
        <f>IF(OR(BJ90="TC",BJ90="MT"),'CARGA DOCENTE'!$B1606," ")</f>
        <v xml:space="preserve"> </v>
      </c>
      <c r="BM90" s="374" t="str">
        <f>IF(OR(BJ90="TC",BJ90="MT"),'CARGA DOCENTE'!$C1606," ")</f>
        <v xml:space="preserve"> </v>
      </c>
      <c r="BN90" s="374" t="str">
        <f>IF(OR(BJ90="TC",BJ90="MT"),'CARGA DOCENTE'!$G1606," ")</f>
        <v xml:space="preserve"> </v>
      </c>
      <c r="BO90" s="372">
        <f>'CARGA DOCENTE'!$H1607</f>
        <v>0</v>
      </c>
      <c r="BP90" s="373" t="str">
        <f>IF(OR(BO90="TC",BO90="MT"),'CARGA DOCENTE'!$A1607," ")</f>
        <v xml:space="preserve"> </v>
      </c>
      <c r="BQ90" s="374" t="str">
        <f>IF(OR(BO90="TC",BO90="MT"),'CARGA DOCENTE'!$B1607," ")</f>
        <v xml:space="preserve"> </v>
      </c>
      <c r="BR90" s="374" t="str">
        <f>IF(OR(BO90="TC",BO90="MT"),'CARGA DOCENTE'!$C1607," ")</f>
        <v xml:space="preserve"> </v>
      </c>
      <c r="BS90" s="374" t="str">
        <f>IF(OR(BO90="TC",BO90="MT"),'CARGA DOCENTE'!$G1607," ")</f>
        <v xml:space="preserve"> </v>
      </c>
      <c r="BT90" s="372">
        <f>'CARGA DOCENTE'!$H1608</f>
        <v>0</v>
      </c>
      <c r="BU90" s="373" t="str">
        <f>IF(OR(BT90="TC",BT90="MT"),'CARGA DOCENTE'!$A1608," ")</f>
        <v xml:space="preserve"> </v>
      </c>
      <c r="BV90" s="374" t="str">
        <f>IF(OR(BT90="TC",BT90="MT"),'CARGA DOCENTE'!$B1608," ")</f>
        <v xml:space="preserve"> </v>
      </c>
      <c r="BW90" s="374" t="str">
        <f>IF(OR(BT90="TC",BT90="MT"),'CARGA DOCENTE'!$C1608," ")</f>
        <v xml:space="preserve"> </v>
      </c>
      <c r="BX90" s="374" t="str">
        <f>IF(OR(BT90="TC",BT90="MT"),'CARGA DOCENTE'!$G1608," ")</f>
        <v xml:space="preserve"> </v>
      </c>
    </row>
    <row r="100" spans="1:12" x14ac:dyDescent="0.2">
      <c r="A100" s="455" t="s">
        <v>188</v>
      </c>
      <c r="B100" s="614" t="s">
        <v>96</v>
      </c>
      <c r="C100" s="614"/>
      <c r="D100" s="614"/>
      <c r="E100" s="614"/>
      <c r="F100" s="614"/>
      <c r="G100" s="614"/>
      <c r="H100" s="614"/>
      <c r="I100" s="614"/>
      <c r="J100" s="614"/>
      <c r="K100" s="614"/>
      <c r="L100" s="458"/>
    </row>
    <row r="101" spans="1:12" x14ac:dyDescent="0.2">
      <c r="A101" s="459">
        <v>91237</v>
      </c>
      <c r="B101" s="457" t="s">
        <v>24</v>
      </c>
      <c r="C101" s="456"/>
      <c r="D101" s="456"/>
      <c r="E101" s="456"/>
      <c r="F101" s="456"/>
      <c r="G101" s="456"/>
      <c r="H101" s="456"/>
      <c r="I101" s="456"/>
      <c r="J101" s="456"/>
      <c r="K101" s="456"/>
      <c r="L101" s="440"/>
    </row>
    <row r="102" spans="1:12" x14ac:dyDescent="0.2">
      <c r="A102" s="459">
        <v>4245</v>
      </c>
      <c r="B102" s="457" t="s">
        <v>0</v>
      </c>
      <c r="C102" s="456"/>
      <c r="D102" s="456"/>
      <c r="E102" s="456"/>
      <c r="F102" s="456"/>
      <c r="G102" s="456"/>
      <c r="H102" s="456"/>
      <c r="I102" s="456"/>
      <c r="J102" s="456"/>
      <c r="K102" s="456"/>
      <c r="L102" s="440"/>
    </row>
    <row r="103" spans="1:12" x14ac:dyDescent="0.2">
      <c r="A103" s="459">
        <v>3615</v>
      </c>
      <c r="B103" s="457" t="s">
        <v>25</v>
      </c>
      <c r="C103" s="456"/>
      <c r="D103" s="456"/>
      <c r="E103" s="456"/>
      <c r="F103" s="456"/>
      <c r="G103" s="456"/>
      <c r="H103" s="456"/>
      <c r="I103" s="456"/>
      <c r="J103" s="456"/>
      <c r="K103" s="456"/>
      <c r="L103" s="440"/>
    </row>
    <row r="104" spans="1:12" x14ac:dyDescent="0.2">
      <c r="A104" s="459">
        <v>2579</v>
      </c>
      <c r="B104" s="457" t="s">
        <v>189</v>
      </c>
      <c r="C104" s="456"/>
      <c r="D104" s="456"/>
      <c r="E104" s="456"/>
      <c r="F104" s="456"/>
      <c r="G104" s="456"/>
      <c r="H104" s="456"/>
      <c r="I104" s="456"/>
      <c r="J104" s="456"/>
      <c r="K104" s="456"/>
      <c r="L104" s="440"/>
    </row>
    <row r="105" spans="1:12" x14ac:dyDescent="0.2">
      <c r="A105" s="459">
        <v>54462</v>
      </c>
      <c r="B105" s="457" t="s">
        <v>191</v>
      </c>
      <c r="C105" s="456"/>
      <c r="D105" s="456"/>
      <c r="E105" s="456"/>
      <c r="F105" s="456"/>
      <c r="G105" s="456"/>
      <c r="H105" s="456"/>
      <c r="I105" s="456"/>
      <c r="J105" s="456"/>
      <c r="K105" s="456"/>
      <c r="L105" s="440"/>
    </row>
    <row r="106" spans="1:12" x14ac:dyDescent="0.2">
      <c r="A106" s="459">
        <v>90886</v>
      </c>
      <c r="B106" s="457" t="s">
        <v>22</v>
      </c>
      <c r="C106" s="456"/>
      <c r="D106" s="456"/>
      <c r="E106" s="456"/>
      <c r="F106" s="456"/>
      <c r="G106" s="456"/>
      <c r="H106" s="456"/>
      <c r="I106" s="456"/>
      <c r="J106" s="456"/>
      <c r="K106" s="456"/>
      <c r="L106" s="440"/>
    </row>
    <row r="107" spans="1:12" x14ac:dyDescent="0.2">
      <c r="A107" s="459">
        <v>14398</v>
      </c>
      <c r="B107" s="457" t="s">
        <v>113</v>
      </c>
      <c r="C107" s="456"/>
      <c r="D107" s="456"/>
      <c r="E107" s="456"/>
      <c r="F107" s="456"/>
      <c r="G107" s="456"/>
      <c r="H107" s="456"/>
      <c r="I107" s="456"/>
      <c r="J107" s="456"/>
      <c r="K107" s="456"/>
      <c r="L107" s="440"/>
    </row>
    <row r="108" spans="1:12" x14ac:dyDescent="0.2">
      <c r="A108" s="459">
        <v>2612</v>
      </c>
      <c r="B108" s="457" t="s">
        <v>21</v>
      </c>
      <c r="C108" s="456"/>
      <c r="D108" s="456"/>
      <c r="E108" s="456"/>
      <c r="F108" s="456"/>
      <c r="G108" s="456"/>
      <c r="H108" s="456"/>
      <c r="I108" s="456"/>
      <c r="J108" s="456"/>
      <c r="K108" s="456"/>
      <c r="L108" s="440"/>
    </row>
    <row r="109" spans="1:12" x14ac:dyDescent="0.2">
      <c r="A109" s="459">
        <v>2555</v>
      </c>
      <c r="B109" s="457" t="s">
        <v>114</v>
      </c>
      <c r="C109" s="456"/>
      <c r="D109" s="456"/>
      <c r="E109" s="456"/>
      <c r="F109" s="456"/>
      <c r="G109" s="456"/>
      <c r="H109" s="456"/>
      <c r="I109" s="456"/>
      <c r="J109" s="456"/>
      <c r="K109" s="456"/>
      <c r="L109" s="440"/>
    </row>
    <row r="110" spans="1:12" x14ac:dyDescent="0.2">
      <c r="A110" s="459">
        <v>12170</v>
      </c>
      <c r="B110" s="457" t="s">
        <v>115</v>
      </c>
      <c r="C110" s="456"/>
      <c r="D110" s="456"/>
      <c r="E110" s="456"/>
      <c r="F110" s="456"/>
      <c r="G110" s="456"/>
      <c r="H110" s="456"/>
      <c r="I110" s="456"/>
      <c r="J110" s="456"/>
      <c r="K110" s="456"/>
      <c r="L110" s="440"/>
    </row>
    <row r="111" spans="1:12" x14ac:dyDescent="0.2">
      <c r="A111" s="459">
        <v>3087</v>
      </c>
      <c r="B111" s="457" t="s">
        <v>23</v>
      </c>
      <c r="C111" s="456"/>
      <c r="D111" s="456"/>
      <c r="E111" s="456"/>
      <c r="F111" s="456"/>
      <c r="G111" s="456"/>
      <c r="H111" s="456"/>
      <c r="I111" s="456"/>
      <c r="J111" s="456"/>
      <c r="K111" s="456"/>
      <c r="L111" s="440"/>
    </row>
    <row r="112" spans="1:12" x14ac:dyDescent="0.2">
      <c r="A112" s="459">
        <v>54694</v>
      </c>
      <c r="B112" s="457" t="s">
        <v>20</v>
      </c>
      <c r="C112" s="456"/>
      <c r="D112" s="456"/>
      <c r="E112" s="456"/>
      <c r="F112" s="456"/>
      <c r="G112" s="456"/>
      <c r="H112" s="456"/>
      <c r="I112" s="456"/>
      <c r="J112" s="456"/>
      <c r="K112" s="456"/>
      <c r="L112" s="440"/>
    </row>
    <row r="113" spans="12:12" x14ac:dyDescent="0.2">
      <c r="L113" s="440"/>
    </row>
  </sheetData>
  <sheetProtection algorithmName="SHA-512" hashValue="F6/coDv1bdmUmcVZ2c5K7gv20akLKlQE0pOocT6x9Uqz5z6DT6jLhExeb+H51tAjPEvksKJ/Rja7HimSgD/8uQ==" saltValue="un2WQY6Gs9NFqhAQWgmLJQ==" spinCount="100000" sheet="1" objects="1" scenarios="1"/>
  <mergeCells count="1">
    <mergeCell ref="B100:K100"/>
  </mergeCells>
  <conditionalFormatting sqref="C2:F2">
    <cfRule type="cellIs" dxfId="2369" priority="3228" operator="equal">
      <formula>0</formula>
    </cfRule>
  </conditionalFormatting>
  <conditionalFormatting sqref="G4">
    <cfRule type="cellIs" dxfId="2368" priority="3147" operator="equal">
      <formula>0</formula>
    </cfRule>
  </conditionalFormatting>
  <conditionalFormatting sqref="AA4">
    <cfRule type="cellIs" dxfId="2367" priority="2539" operator="equal">
      <formula>0</formula>
    </cfRule>
  </conditionalFormatting>
  <conditionalFormatting sqref="AK4">
    <cfRule type="cellIs" dxfId="2366" priority="2537" operator="equal">
      <formula>0</formula>
    </cfRule>
  </conditionalFormatting>
  <conditionalFormatting sqref="AP4">
    <cfRule type="cellIs" dxfId="2365" priority="2536" operator="equal">
      <formula>0</formula>
    </cfRule>
  </conditionalFormatting>
  <conditionalFormatting sqref="BE4">
    <cfRule type="cellIs" dxfId="2364" priority="2533" operator="equal">
      <formula>0</formula>
    </cfRule>
  </conditionalFormatting>
  <conditionalFormatting sqref="BO4">
    <cfRule type="cellIs" dxfId="2363" priority="2531" operator="equal">
      <formula>0</formula>
    </cfRule>
  </conditionalFormatting>
  <conditionalFormatting sqref="BT4">
    <cfRule type="cellIs" dxfId="2362" priority="2530" operator="equal">
      <formula>0</formula>
    </cfRule>
  </conditionalFormatting>
  <conditionalFormatting sqref="AZ4">
    <cfRule type="cellIs" dxfId="2361" priority="2529" operator="equal">
      <formula>0</formula>
    </cfRule>
  </conditionalFormatting>
  <conditionalFormatting sqref="AF4">
    <cfRule type="cellIs" dxfId="2360" priority="2538" operator="equal">
      <formula>0</formula>
    </cfRule>
  </conditionalFormatting>
  <conditionalFormatting sqref="AU4">
    <cfRule type="cellIs" dxfId="2359" priority="2535" operator="equal">
      <formula>0</formula>
    </cfRule>
  </conditionalFormatting>
  <conditionalFormatting sqref="G67">
    <cfRule type="cellIs" dxfId="2358" priority="2952" operator="equal">
      <formula>0</formula>
    </cfRule>
  </conditionalFormatting>
  <conditionalFormatting sqref="H2:K2">
    <cfRule type="cellIs" dxfId="2357" priority="2570" operator="equal">
      <formula>0</formula>
    </cfRule>
  </conditionalFormatting>
  <conditionalFormatting sqref="M2:P2">
    <cfRule type="cellIs" dxfId="2356" priority="2569" operator="equal">
      <formula>0</formula>
    </cfRule>
  </conditionalFormatting>
  <conditionalFormatting sqref="R2:U2">
    <cfRule type="cellIs" dxfId="2355" priority="2568" operator="equal">
      <formula>0</formula>
    </cfRule>
  </conditionalFormatting>
  <conditionalFormatting sqref="W2:Z2">
    <cfRule type="cellIs" dxfId="2354" priority="2567" operator="equal">
      <formula>0</formula>
    </cfRule>
  </conditionalFormatting>
  <conditionalFormatting sqref="AB2:AE2">
    <cfRule type="cellIs" dxfId="2353" priority="2566" operator="equal">
      <formula>0</formula>
    </cfRule>
  </conditionalFormatting>
  <conditionalFormatting sqref="AG2:AJ2">
    <cfRule type="cellIs" dxfId="2352" priority="2565" operator="equal">
      <formula>0</formula>
    </cfRule>
  </conditionalFormatting>
  <conditionalFormatting sqref="AL2:AO2">
    <cfRule type="cellIs" dxfId="2351" priority="2564" operator="equal">
      <formula>0</formula>
    </cfRule>
  </conditionalFormatting>
  <conditionalFormatting sqref="AQ2:AT2">
    <cfRule type="cellIs" dxfId="2350" priority="2563" operator="equal">
      <formula>0</formula>
    </cfRule>
  </conditionalFormatting>
  <conditionalFormatting sqref="AV2:AY2">
    <cfRule type="cellIs" dxfId="2349" priority="2562" operator="equal">
      <formula>0</formula>
    </cfRule>
  </conditionalFormatting>
  <conditionalFormatting sqref="BA2:BD2">
    <cfRule type="cellIs" dxfId="2348" priority="2561" operator="equal">
      <formula>0</formula>
    </cfRule>
  </conditionalFormatting>
  <conditionalFormatting sqref="BF2:BI2">
    <cfRule type="cellIs" dxfId="2347" priority="2560" operator="equal">
      <formula>0</formula>
    </cfRule>
  </conditionalFormatting>
  <conditionalFormatting sqref="BK2:BN2">
    <cfRule type="cellIs" dxfId="2346" priority="2559" operator="equal">
      <formula>0</formula>
    </cfRule>
  </conditionalFormatting>
  <conditionalFormatting sqref="BP2:BS2">
    <cfRule type="cellIs" dxfId="2345" priority="2558" operator="equal">
      <formula>0</formula>
    </cfRule>
  </conditionalFormatting>
  <conditionalFormatting sqref="BU2:BX2">
    <cfRule type="cellIs" dxfId="2344" priority="2557" operator="equal">
      <formula>0</formula>
    </cfRule>
  </conditionalFormatting>
  <conditionalFormatting sqref="L4">
    <cfRule type="cellIs" dxfId="2343" priority="2542" operator="equal">
      <formula>0</formula>
    </cfRule>
  </conditionalFormatting>
  <conditionalFormatting sqref="Q4">
    <cfRule type="cellIs" dxfId="2342" priority="2541" operator="equal">
      <formula>0</formula>
    </cfRule>
  </conditionalFormatting>
  <conditionalFormatting sqref="V4">
    <cfRule type="cellIs" dxfId="2341" priority="2540" operator="equal">
      <formula>0</formula>
    </cfRule>
  </conditionalFormatting>
  <conditionalFormatting sqref="BJ4">
    <cfRule type="cellIs" dxfId="2340" priority="2532" operator="equal">
      <formula>0</formula>
    </cfRule>
  </conditionalFormatting>
  <conditionalFormatting sqref="L67">
    <cfRule type="cellIs" dxfId="2339" priority="1926" operator="equal">
      <formula>0</formula>
    </cfRule>
  </conditionalFormatting>
  <conditionalFormatting sqref="Q67">
    <cfRule type="cellIs" dxfId="2338" priority="1925" operator="equal">
      <formula>0</formula>
    </cfRule>
  </conditionalFormatting>
  <conditionalFormatting sqref="V67">
    <cfRule type="cellIs" dxfId="2337" priority="1924" operator="equal">
      <formula>0</formula>
    </cfRule>
  </conditionalFormatting>
  <conditionalFormatting sqref="AA67">
    <cfRule type="cellIs" dxfId="2336" priority="1923" operator="equal">
      <formula>0</formula>
    </cfRule>
  </conditionalFormatting>
  <conditionalFormatting sqref="AF67">
    <cfRule type="cellIs" dxfId="2335" priority="1922" operator="equal">
      <formula>0</formula>
    </cfRule>
  </conditionalFormatting>
  <conditionalFormatting sqref="AK67">
    <cfRule type="cellIs" dxfId="2334" priority="1921" operator="equal">
      <formula>0</formula>
    </cfRule>
  </conditionalFormatting>
  <conditionalFormatting sqref="AP67">
    <cfRule type="cellIs" dxfId="2333" priority="1920" operator="equal">
      <formula>0</formula>
    </cfRule>
  </conditionalFormatting>
  <conditionalFormatting sqref="AU67">
    <cfRule type="cellIs" dxfId="2332" priority="1919" operator="equal">
      <formula>0</formula>
    </cfRule>
  </conditionalFormatting>
  <conditionalFormatting sqref="AZ67">
    <cfRule type="cellIs" dxfId="2331" priority="1918" operator="equal">
      <formula>0</formula>
    </cfRule>
  </conditionalFormatting>
  <conditionalFormatting sqref="BE67">
    <cfRule type="cellIs" dxfId="2330" priority="1917" operator="equal">
      <formula>0</formula>
    </cfRule>
  </conditionalFormatting>
  <conditionalFormatting sqref="BJ67">
    <cfRule type="cellIs" dxfId="2329" priority="1916" operator="equal">
      <formula>0</formula>
    </cfRule>
  </conditionalFormatting>
  <conditionalFormatting sqref="BO67">
    <cfRule type="cellIs" dxfId="2328" priority="1915" operator="equal">
      <formula>0</formula>
    </cfRule>
  </conditionalFormatting>
  <conditionalFormatting sqref="BT67">
    <cfRule type="cellIs" dxfId="2327" priority="1914" operator="equal">
      <formula>0</formula>
    </cfRule>
  </conditionalFormatting>
  <conditionalFormatting sqref="C3">
    <cfRule type="cellIs" dxfId="2326" priority="1583" operator="equal">
      <formula>0</formula>
    </cfRule>
  </conditionalFormatting>
  <conditionalFormatting sqref="C4">
    <cfRule type="cellIs" dxfId="2325" priority="1582" operator="equal">
      <formula>0</formula>
    </cfRule>
  </conditionalFormatting>
  <conditionalFormatting sqref="C5">
    <cfRule type="cellIs" dxfId="2324" priority="1581" operator="equal">
      <formula>0</formula>
    </cfRule>
  </conditionalFormatting>
  <conditionalFormatting sqref="C6">
    <cfRule type="cellIs" dxfId="2323" priority="1580" operator="equal">
      <formula>0</formula>
    </cfRule>
  </conditionalFormatting>
  <conditionalFormatting sqref="C7">
    <cfRule type="cellIs" dxfId="2322" priority="1579" operator="equal">
      <formula>0</formula>
    </cfRule>
  </conditionalFormatting>
  <conditionalFormatting sqref="C8">
    <cfRule type="cellIs" dxfId="2321" priority="1578" operator="equal">
      <formula>0</formula>
    </cfRule>
  </conditionalFormatting>
  <conditionalFormatting sqref="C9">
    <cfRule type="cellIs" dxfId="2320" priority="1577" operator="equal">
      <formula>0</formula>
    </cfRule>
  </conditionalFormatting>
  <conditionalFormatting sqref="D3:E3">
    <cfRule type="cellIs" dxfId="2319" priority="1576" operator="equal">
      <formula>0</formula>
    </cfRule>
  </conditionalFormatting>
  <conditionalFormatting sqref="D4:E4">
    <cfRule type="cellIs" dxfId="2318" priority="1575" operator="equal">
      <formula>0</formula>
    </cfRule>
  </conditionalFormatting>
  <conditionalFormatting sqref="D5:E5">
    <cfRule type="cellIs" dxfId="2317" priority="1574" operator="equal">
      <formula>0</formula>
    </cfRule>
  </conditionalFormatting>
  <conditionalFormatting sqref="D6:E6">
    <cfRule type="cellIs" dxfId="2316" priority="1573" operator="equal">
      <formula>0</formula>
    </cfRule>
  </conditionalFormatting>
  <conditionalFormatting sqref="F3">
    <cfRule type="cellIs" dxfId="2315" priority="1572" operator="equal">
      <formula>0</formula>
    </cfRule>
  </conditionalFormatting>
  <conditionalFormatting sqref="F4">
    <cfRule type="cellIs" dxfId="2314" priority="1571" operator="equal">
      <formula>0</formula>
    </cfRule>
  </conditionalFormatting>
  <conditionalFormatting sqref="F5">
    <cfRule type="cellIs" dxfId="2313" priority="1570" operator="equal">
      <formula>0</formula>
    </cfRule>
  </conditionalFormatting>
  <conditionalFormatting sqref="F6">
    <cfRule type="cellIs" dxfId="2312" priority="1569" operator="equal">
      <formula>0</formula>
    </cfRule>
  </conditionalFormatting>
  <conditionalFormatting sqref="F7">
    <cfRule type="cellIs" dxfId="2311" priority="1568" operator="equal">
      <formula>0</formula>
    </cfRule>
  </conditionalFormatting>
  <conditionalFormatting sqref="D7">
    <cfRule type="cellIs" dxfId="2310" priority="1567" operator="equal">
      <formula>0</formula>
    </cfRule>
  </conditionalFormatting>
  <conditionalFormatting sqref="E7">
    <cfRule type="cellIs" dxfId="2309" priority="1566" operator="equal">
      <formula>0</formula>
    </cfRule>
  </conditionalFormatting>
  <conditionalFormatting sqref="F8">
    <cfRule type="cellIs" dxfId="2308" priority="1565" operator="equal">
      <formula>0</formula>
    </cfRule>
  </conditionalFormatting>
  <conditionalFormatting sqref="D8">
    <cfRule type="cellIs" dxfId="2307" priority="1564" operator="equal">
      <formula>0</formula>
    </cfRule>
  </conditionalFormatting>
  <conditionalFormatting sqref="E8">
    <cfRule type="cellIs" dxfId="2306" priority="1563" operator="equal">
      <formula>0</formula>
    </cfRule>
  </conditionalFormatting>
  <conditionalFormatting sqref="F9">
    <cfRule type="cellIs" dxfId="2305" priority="1562" operator="equal">
      <formula>0</formula>
    </cfRule>
  </conditionalFormatting>
  <conditionalFormatting sqref="D9">
    <cfRule type="cellIs" dxfId="2304" priority="1561" operator="equal">
      <formula>0</formula>
    </cfRule>
  </conditionalFormatting>
  <conditionalFormatting sqref="E9">
    <cfRule type="cellIs" dxfId="2303" priority="1560" operator="equal">
      <formula>0</formula>
    </cfRule>
  </conditionalFormatting>
  <conditionalFormatting sqref="C10">
    <cfRule type="cellIs" dxfId="2302" priority="1559" operator="equal">
      <formula>0</formula>
    </cfRule>
  </conditionalFormatting>
  <conditionalFormatting sqref="F10">
    <cfRule type="cellIs" dxfId="2301" priority="1558" operator="equal">
      <formula>0</formula>
    </cfRule>
  </conditionalFormatting>
  <conditionalFormatting sqref="D10">
    <cfRule type="cellIs" dxfId="2300" priority="1557" operator="equal">
      <formula>0</formula>
    </cfRule>
  </conditionalFormatting>
  <conditionalFormatting sqref="E10">
    <cfRule type="cellIs" dxfId="2299" priority="1556" operator="equal">
      <formula>0</formula>
    </cfRule>
  </conditionalFormatting>
  <conditionalFormatting sqref="C11">
    <cfRule type="cellIs" dxfId="2298" priority="1555" operator="equal">
      <formula>0</formula>
    </cfRule>
  </conditionalFormatting>
  <conditionalFormatting sqref="F11">
    <cfRule type="cellIs" dxfId="2297" priority="1554" operator="equal">
      <formula>0</formula>
    </cfRule>
  </conditionalFormatting>
  <conditionalFormatting sqref="D11">
    <cfRule type="cellIs" dxfId="2296" priority="1553" operator="equal">
      <formula>0</formula>
    </cfRule>
  </conditionalFormatting>
  <conditionalFormatting sqref="E11">
    <cfRule type="cellIs" dxfId="2295" priority="1552" operator="equal">
      <formula>0</formula>
    </cfRule>
  </conditionalFormatting>
  <conditionalFormatting sqref="C12">
    <cfRule type="cellIs" dxfId="2294" priority="1551" operator="equal">
      <formula>0</formula>
    </cfRule>
  </conditionalFormatting>
  <conditionalFormatting sqref="F12">
    <cfRule type="cellIs" dxfId="2293" priority="1550" operator="equal">
      <formula>0</formula>
    </cfRule>
  </conditionalFormatting>
  <conditionalFormatting sqref="D12">
    <cfRule type="cellIs" dxfId="2292" priority="1549" operator="equal">
      <formula>0</formula>
    </cfRule>
  </conditionalFormatting>
  <conditionalFormatting sqref="E12">
    <cfRule type="cellIs" dxfId="2291" priority="1548" operator="equal">
      <formula>0</formula>
    </cfRule>
  </conditionalFormatting>
  <conditionalFormatting sqref="C13">
    <cfRule type="cellIs" dxfId="2290" priority="1547" operator="equal">
      <formula>0</formula>
    </cfRule>
  </conditionalFormatting>
  <conditionalFormatting sqref="F13">
    <cfRule type="cellIs" dxfId="2289" priority="1546" operator="equal">
      <formula>0</formula>
    </cfRule>
  </conditionalFormatting>
  <conditionalFormatting sqref="D13">
    <cfRule type="cellIs" dxfId="2288" priority="1545" operator="equal">
      <formula>0</formula>
    </cfRule>
  </conditionalFormatting>
  <conditionalFormatting sqref="E13">
    <cfRule type="cellIs" dxfId="2287" priority="1544" operator="equal">
      <formula>0</formula>
    </cfRule>
  </conditionalFormatting>
  <conditionalFormatting sqref="C14">
    <cfRule type="cellIs" dxfId="2286" priority="1543" operator="equal">
      <formula>0</formula>
    </cfRule>
  </conditionalFormatting>
  <conditionalFormatting sqref="F14">
    <cfRule type="cellIs" dxfId="2285" priority="1542" operator="equal">
      <formula>0</formula>
    </cfRule>
  </conditionalFormatting>
  <conditionalFormatting sqref="D14">
    <cfRule type="cellIs" dxfId="2284" priority="1541" operator="equal">
      <formula>0</formula>
    </cfRule>
  </conditionalFormatting>
  <conditionalFormatting sqref="E14">
    <cfRule type="cellIs" dxfId="2283" priority="1540" operator="equal">
      <formula>0</formula>
    </cfRule>
  </conditionalFormatting>
  <conditionalFormatting sqref="C15">
    <cfRule type="cellIs" dxfId="2282" priority="1539" operator="equal">
      <formula>0</formula>
    </cfRule>
  </conditionalFormatting>
  <conditionalFormatting sqref="F15">
    <cfRule type="cellIs" dxfId="2281" priority="1538" operator="equal">
      <formula>0</formula>
    </cfRule>
  </conditionalFormatting>
  <conditionalFormatting sqref="D15">
    <cfRule type="cellIs" dxfId="2280" priority="1537" operator="equal">
      <formula>0</formula>
    </cfRule>
  </conditionalFormatting>
  <conditionalFormatting sqref="E15">
    <cfRule type="cellIs" dxfId="2279" priority="1536" operator="equal">
      <formula>0</formula>
    </cfRule>
  </conditionalFormatting>
  <conditionalFormatting sqref="C16">
    <cfRule type="cellIs" dxfId="2278" priority="1535" operator="equal">
      <formula>0</formula>
    </cfRule>
  </conditionalFormatting>
  <conditionalFormatting sqref="F16">
    <cfRule type="cellIs" dxfId="2277" priority="1534" operator="equal">
      <formula>0</formula>
    </cfRule>
  </conditionalFormatting>
  <conditionalFormatting sqref="D16">
    <cfRule type="cellIs" dxfId="2276" priority="1533" operator="equal">
      <formula>0</formula>
    </cfRule>
  </conditionalFormatting>
  <conditionalFormatting sqref="E16">
    <cfRule type="cellIs" dxfId="2275" priority="1532" operator="equal">
      <formula>0</formula>
    </cfRule>
  </conditionalFormatting>
  <conditionalFormatting sqref="C17">
    <cfRule type="cellIs" dxfId="2274" priority="1531" operator="equal">
      <formula>0</formula>
    </cfRule>
  </conditionalFormatting>
  <conditionalFormatting sqref="F17">
    <cfRule type="cellIs" dxfId="2273" priority="1530" operator="equal">
      <formula>0</formula>
    </cfRule>
  </conditionalFormatting>
  <conditionalFormatting sqref="D17">
    <cfRule type="cellIs" dxfId="2272" priority="1529" operator="equal">
      <formula>0</formula>
    </cfRule>
  </conditionalFormatting>
  <conditionalFormatting sqref="E17">
    <cfRule type="cellIs" dxfId="2271" priority="1528" operator="equal">
      <formula>0</formula>
    </cfRule>
  </conditionalFormatting>
  <conditionalFormatting sqref="C18">
    <cfRule type="cellIs" dxfId="2270" priority="1527" operator="equal">
      <formula>0</formula>
    </cfRule>
  </conditionalFormatting>
  <conditionalFormatting sqref="F18">
    <cfRule type="cellIs" dxfId="2269" priority="1526" operator="equal">
      <formula>0</formula>
    </cfRule>
  </conditionalFormatting>
  <conditionalFormatting sqref="D18">
    <cfRule type="cellIs" dxfId="2268" priority="1525" operator="equal">
      <formula>0</formula>
    </cfRule>
  </conditionalFormatting>
  <conditionalFormatting sqref="E18">
    <cfRule type="cellIs" dxfId="2267" priority="1524" operator="equal">
      <formula>0</formula>
    </cfRule>
  </conditionalFormatting>
  <conditionalFormatting sqref="C19">
    <cfRule type="cellIs" dxfId="2266" priority="1523" operator="equal">
      <formula>0</formula>
    </cfRule>
  </conditionalFormatting>
  <conditionalFormatting sqref="F19">
    <cfRule type="cellIs" dxfId="2265" priority="1522" operator="equal">
      <formula>0</formula>
    </cfRule>
  </conditionalFormatting>
  <conditionalFormatting sqref="D19">
    <cfRule type="cellIs" dxfId="2264" priority="1521" operator="equal">
      <formula>0</formula>
    </cfRule>
  </conditionalFormatting>
  <conditionalFormatting sqref="E19">
    <cfRule type="cellIs" dxfId="2263" priority="1520" operator="equal">
      <formula>0</formula>
    </cfRule>
  </conditionalFormatting>
  <conditionalFormatting sqref="C20">
    <cfRule type="cellIs" dxfId="2262" priority="1519" operator="equal">
      <formula>0</formula>
    </cfRule>
  </conditionalFormatting>
  <conditionalFormatting sqref="F20">
    <cfRule type="cellIs" dxfId="2261" priority="1518" operator="equal">
      <formula>0</formula>
    </cfRule>
  </conditionalFormatting>
  <conditionalFormatting sqref="D20">
    <cfRule type="cellIs" dxfId="2260" priority="1517" operator="equal">
      <formula>0</formula>
    </cfRule>
  </conditionalFormatting>
  <conditionalFormatting sqref="E20">
    <cfRule type="cellIs" dxfId="2259" priority="1516" operator="equal">
      <formula>0</formula>
    </cfRule>
  </conditionalFormatting>
  <conditionalFormatting sqref="C21">
    <cfRule type="cellIs" dxfId="2258" priority="1515" operator="equal">
      <formula>0</formula>
    </cfRule>
  </conditionalFormatting>
  <conditionalFormatting sqref="F21">
    <cfRule type="cellIs" dxfId="2257" priority="1514" operator="equal">
      <formula>0</formula>
    </cfRule>
  </conditionalFormatting>
  <conditionalFormatting sqref="D21">
    <cfRule type="cellIs" dxfId="2256" priority="1513" operator="equal">
      <formula>0</formula>
    </cfRule>
  </conditionalFormatting>
  <conditionalFormatting sqref="E21">
    <cfRule type="cellIs" dxfId="2255" priority="1512" operator="equal">
      <formula>0</formula>
    </cfRule>
  </conditionalFormatting>
  <conditionalFormatting sqref="C22">
    <cfRule type="cellIs" dxfId="2254" priority="1511" operator="equal">
      <formula>0</formula>
    </cfRule>
  </conditionalFormatting>
  <conditionalFormatting sqref="F22">
    <cfRule type="cellIs" dxfId="2253" priority="1510" operator="equal">
      <formula>0</formula>
    </cfRule>
  </conditionalFormatting>
  <conditionalFormatting sqref="D22">
    <cfRule type="cellIs" dxfId="2252" priority="1509" operator="equal">
      <formula>0</formula>
    </cfRule>
  </conditionalFormatting>
  <conditionalFormatting sqref="E22">
    <cfRule type="cellIs" dxfId="2251" priority="1508" operator="equal">
      <formula>0</formula>
    </cfRule>
  </conditionalFormatting>
  <conditionalFormatting sqref="C23">
    <cfRule type="cellIs" dxfId="2250" priority="1507" operator="equal">
      <formula>0</formula>
    </cfRule>
  </conditionalFormatting>
  <conditionalFormatting sqref="F23">
    <cfRule type="cellIs" dxfId="2249" priority="1506" operator="equal">
      <formula>0</formula>
    </cfRule>
  </conditionalFormatting>
  <conditionalFormatting sqref="D23">
    <cfRule type="cellIs" dxfId="2248" priority="1505" operator="equal">
      <formula>0</formula>
    </cfRule>
  </conditionalFormatting>
  <conditionalFormatting sqref="E23">
    <cfRule type="cellIs" dxfId="2247" priority="1504" operator="equal">
      <formula>0</formula>
    </cfRule>
  </conditionalFormatting>
  <conditionalFormatting sqref="C24">
    <cfRule type="cellIs" dxfId="2246" priority="1503" operator="equal">
      <formula>0</formula>
    </cfRule>
  </conditionalFormatting>
  <conditionalFormatting sqref="F24">
    <cfRule type="cellIs" dxfId="2245" priority="1502" operator="equal">
      <formula>0</formula>
    </cfRule>
  </conditionalFormatting>
  <conditionalFormatting sqref="D24">
    <cfRule type="cellIs" dxfId="2244" priority="1501" operator="equal">
      <formula>0</formula>
    </cfRule>
  </conditionalFormatting>
  <conditionalFormatting sqref="E24">
    <cfRule type="cellIs" dxfId="2243" priority="1500" operator="equal">
      <formula>0</formula>
    </cfRule>
  </conditionalFormatting>
  <conditionalFormatting sqref="C25">
    <cfRule type="cellIs" dxfId="2242" priority="1499" operator="equal">
      <formula>0</formula>
    </cfRule>
  </conditionalFormatting>
  <conditionalFormatting sqref="F25">
    <cfRule type="cellIs" dxfId="2241" priority="1498" operator="equal">
      <formula>0</formula>
    </cfRule>
  </conditionalFormatting>
  <conditionalFormatting sqref="D25">
    <cfRule type="cellIs" dxfId="2240" priority="1497" operator="equal">
      <formula>0</formula>
    </cfRule>
  </conditionalFormatting>
  <conditionalFormatting sqref="E25">
    <cfRule type="cellIs" dxfId="2239" priority="1496" operator="equal">
      <formula>0</formula>
    </cfRule>
  </conditionalFormatting>
  <conditionalFormatting sqref="C26">
    <cfRule type="cellIs" dxfId="2238" priority="1495" operator="equal">
      <formula>0</formula>
    </cfRule>
  </conditionalFormatting>
  <conditionalFormatting sqref="F26">
    <cfRule type="cellIs" dxfId="2237" priority="1494" operator="equal">
      <formula>0</formula>
    </cfRule>
  </conditionalFormatting>
  <conditionalFormatting sqref="D26">
    <cfRule type="cellIs" dxfId="2236" priority="1493" operator="equal">
      <formula>0</formula>
    </cfRule>
  </conditionalFormatting>
  <conditionalFormatting sqref="E26">
    <cfRule type="cellIs" dxfId="2235" priority="1492" operator="equal">
      <formula>0</formula>
    </cfRule>
  </conditionalFormatting>
  <conditionalFormatting sqref="C27">
    <cfRule type="cellIs" dxfId="2234" priority="1491" operator="equal">
      <formula>0</formula>
    </cfRule>
  </conditionalFormatting>
  <conditionalFormatting sqref="F27">
    <cfRule type="cellIs" dxfId="2233" priority="1490" operator="equal">
      <formula>0</formula>
    </cfRule>
  </conditionalFormatting>
  <conditionalFormatting sqref="D27">
    <cfRule type="cellIs" dxfId="2232" priority="1489" operator="equal">
      <formula>0</formula>
    </cfRule>
  </conditionalFormatting>
  <conditionalFormatting sqref="E27">
    <cfRule type="cellIs" dxfId="2231" priority="1488" operator="equal">
      <formula>0</formula>
    </cfRule>
  </conditionalFormatting>
  <conditionalFormatting sqref="C28">
    <cfRule type="cellIs" dxfId="2230" priority="1487" operator="equal">
      <formula>0</formula>
    </cfRule>
  </conditionalFormatting>
  <conditionalFormatting sqref="F28">
    <cfRule type="cellIs" dxfId="2229" priority="1486" operator="equal">
      <formula>0</formula>
    </cfRule>
  </conditionalFormatting>
  <conditionalFormatting sqref="D28">
    <cfRule type="cellIs" dxfId="2228" priority="1485" operator="equal">
      <formula>0</formula>
    </cfRule>
  </conditionalFormatting>
  <conditionalFormatting sqref="E28">
    <cfRule type="cellIs" dxfId="2227" priority="1484" operator="equal">
      <formula>0</formula>
    </cfRule>
  </conditionalFormatting>
  <conditionalFormatting sqref="C29">
    <cfRule type="cellIs" dxfId="2226" priority="1483" operator="equal">
      <formula>0</formula>
    </cfRule>
  </conditionalFormatting>
  <conditionalFormatting sqref="F29">
    <cfRule type="cellIs" dxfId="2225" priority="1482" operator="equal">
      <formula>0</formula>
    </cfRule>
  </conditionalFormatting>
  <conditionalFormatting sqref="D29">
    <cfRule type="cellIs" dxfId="2224" priority="1481" operator="equal">
      <formula>0</formula>
    </cfRule>
  </conditionalFormatting>
  <conditionalFormatting sqref="E29">
    <cfRule type="cellIs" dxfId="2223" priority="1480" operator="equal">
      <formula>0</formula>
    </cfRule>
  </conditionalFormatting>
  <conditionalFormatting sqref="C30">
    <cfRule type="cellIs" dxfId="2222" priority="1479" operator="equal">
      <formula>0</formula>
    </cfRule>
  </conditionalFormatting>
  <conditionalFormatting sqref="F30">
    <cfRule type="cellIs" dxfId="2221" priority="1478" operator="equal">
      <formula>0</formula>
    </cfRule>
  </conditionalFormatting>
  <conditionalFormatting sqref="D30">
    <cfRule type="cellIs" dxfId="2220" priority="1477" operator="equal">
      <formula>0</formula>
    </cfRule>
  </conditionalFormatting>
  <conditionalFormatting sqref="E30">
    <cfRule type="cellIs" dxfId="2219" priority="1476" operator="equal">
      <formula>0</formula>
    </cfRule>
  </conditionalFormatting>
  <conditionalFormatting sqref="C31">
    <cfRule type="cellIs" dxfId="2218" priority="1475" operator="equal">
      <formula>0</formula>
    </cfRule>
  </conditionalFormatting>
  <conditionalFormatting sqref="F31">
    <cfRule type="cellIs" dxfId="2217" priority="1474" operator="equal">
      <formula>0</formula>
    </cfRule>
  </conditionalFormatting>
  <conditionalFormatting sqref="D31">
    <cfRule type="cellIs" dxfId="2216" priority="1473" operator="equal">
      <formula>0</formula>
    </cfRule>
  </conditionalFormatting>
  <conditionalFormatting sqref="E31">
    <cfRule type="cellIs" dxfId="2215" priority="1472" operator="equal">
      <formula>0</formula>
    </cfRule>
  </conditionalFormatting>
  <conditionalFormatting sqref="C32">
    <cfRule type="cellIs" dxfId="2214" priority="1471" operator="equal">
      <formula>0</formula>
    </cfRule>
  </conditionalFormatting>
  <conditionalFormatting sqref="F32">
    <cfRule type="cellIs" dxfId="2213" priority="1470" operator="equal">
      <formula>0</formula>
    </cfRule>
  </conditionalFormatting>
  <conditionalFormatting sqref="D32">
    <cfRule type="cellIs" dxfId="2212" priority="1469" operator="equal">
      <formula>0</formula>
    </cfRule>
  </conditionalFormatting>
  <conditionalFormatting sqref="E32">
    <cfRule type="cellIs" dxfId="2211" priority="1468" operator="equal">
      <formula>0</formula>
    </cfRule>
  </conditionalFormatting>
  <conditionalFormatting sqref="C33">
    <cfRule type="cellIs" dxfId="2210" priority="1467" operator="equal">
      <formula>0</formula>
    </cfRule>
  </conditionalFormatting>
  <conditionalFormatting sqref="F33">
    <cfRule type="cellIs" dxfId="2209" priority="1466" operator="equal">
      <formula>0</formula>
    </cfRule>
  </conditionalFormatting>
  <conditionalFormatting sqref="D33">
    <cfRule type="cellIs" dxfId="2208" priority="1465" operator="equal">
      <formula>0</formula>
    </cfRule>
  </conditionalFormatting>
  <conditionalFormatting sqref="E33">
    <cfRule type="cellIs" dxfId="2207" priority="1464" operator="equal">
      <formula>0</formula>
    </cfRule>
  </conditionalFormatting>
  <conditionalFormatting sqref="C34">
    <cfRule type="cellIs" dxfId="2206" priority="1463" operator="equal">
      <formula>0</formula>
    </cfRule>
  </conditionalFormatting>
  <conditionalFormatting sqref="F34">
    <cfRule type="cellIs" dxfId="2205" priority="1462" operator="equal">
      <formula>0</formula>
    </cfRule>
  </conditionalFormatting>
  <conditionalFormatting sqref="D34">
    <cfRule type="cellIs" dxfId="2204" priority="1461" operator="equal">
      <formula>0</formula>
    </cfRule>
  </conditionalFormatting>
  <conditionalFormatting sqref="E34">
    <cfRule type="cellIs" dxfId="2203" priority="1460" operator="equal">
      <formula>0</formula>
    </cfRule>
  </conditionalFormatting>
  <conditionalFormatting sqref="C35">
    <cfRule type="cellIs" dxfId="2202" priority="1459" operator="equal">
      <formula>0</formula>
    </cfRule>
  </conditionalFormatting>
  <conditionalFormatting sqref="F35">
    <cfRule type="cellIs" dxfId="2201" priority="1458" operator="equal">
      <formula>0</formula>
    </cfRule>
  </conditionalFormatting>
  <conditionalFormatting sqref="D35">
    <cfRule type="cellIs" dxfId="2200" priority="1457" operator="equal">
      <formula>0</formula>
    </cfRule>
  </conditionalFormatting>
  <conditionalFormatting sqref="E35">
    <cfRule type="cellIs" dxfId="2199" priority="1456" operator="equal">
      <formula>0</formula>
    </cfRule>
  </conditionalFormatting>
  <conditionalFormatting sqref="C36">
    <cfRule type="cellIs" dxfId="2198" priority="1455" operator="equal">
      <formula>0</formula>
    </cfRule>
  </conditionalFormatting>
  <conditionalFormatting sqref="F36">
    <cfRule type="cellIs" dxfId="2197" priority="1454" operator="equal">
      <formula>0</formula>
    </cfRule>
  </conditionalFormatting>
  <conditionalFormatting sqref="D36">
    <cfRule type="cellIs" dxfId="2196" priority="1453" operator="equal">
      <formula>0</formula>
    </cfRule>
  </conditionalFormatting>
  <conditionalFormatting sqref="E36">
    <cfRule type="cellIs" dxfId="2195" priority="1452" operator="equal">
      <formula>0</formula>
    </cfRule>
  </conditionalFormatting>
  <conditionalFormatting sqref="C37">
    <cfRule type="cellIs" dxfId="2194" priority="1451" operator="equal">
      <formula>0</formula>
    </cfRule>
  </conditionalFormatting>
  <conditionalFormatting sqref="F37">
    <cfRule type="cellIs" dxfId="2193" priority="1450" operator="equal">
      <formula>0</formula>
    </cfRule>
  </conditionalFormatting>
  <conditionalFormatting sqref="D37">
    <cfRule type="cellIs" dxfId="2192" priority="1449" operator="equal">
      <formula>0</formula>
    </cfRule>
  </conditionalFormatting>
  <conditionalFormatting sqref="E37">
    <cfRule type="cellIs" dxfId="2191" priority="1448" operator="equal">
      <formula>0</formula>
    </cfRule>
  </conditionalFormatting>
  <conditionalFormatting sqref="C38">
    <cfRule type="cellIs" dxfId="2190" priority="1447" operator="equal">
      <formula>0</formula>
    </cfRule>
  </conditionalFormatting>
  <conditionalFormatting sqref="F38">
    <cfRule type="cellIs" dxfId="2189" priority="1446" operator="equal">
      <formula>0</formula>
    </cfRule>
  </conditionalFormatting>
  <conditionalFormatting sqref="D38">
    <cfRule type="cellIs" dxfId="2188" priority="1445" operator="equal">
      <formula>0</formula>
    </cfRule>
  </conditionalFormatting>
  <conditionalFormatting sqref="E38">
    <cfRule type="cellIs" dxfId="2187" priority="1444" operator="equal">
      <formula>0</formula>
    </cfRule>
  </conditionalFormatting>
  <conditionalFormatting sqref="C39">
    <cfRule type="cellIs" dxfId="2186" priority="1443" operator="equal">
      <formula>0</formula>
    </cfRule>
  </conditionalFormatting>
  <conditionalFormatting sqref="F39">
    <cfRule type="cellIs" dxfId="2185" priority="1442" operator="equal">
      <formula>0</formula>
    </cfRule>
  </conditionalFormatting>
  <conditionalFormatting sqref="D39">
    <cfRule type="cellIs" dxfId="2184" priority="1441" operator="equal">
      <formula>0</formula>
    </cfRule>
  </conditionalFormatting>
  <conditionalFormatting sqref="E39">
    <cfRule type="cellIs" dxfId="2183" priority="1440" operator="equal">
      <formula>0</formula>
    </cfRule>
  </conditionalFormatting>
  <conditionalFormatting sqref="C40">
    <cfRule type="cellIs" dxfId="2182" priority="1439" operator="equal">
      <formula>0</formula>
    </cfRule>
  </conditionalFormatting>
  <conditionalFormatting sqref="F40">
    <cfRule type="cellIs" dxfId="2181" priority="1438" operator="equal">
      <formula>0</formula>
    </cfRule>
  </conditionalFormatting>
  <conditionalFormatting sqref="D40">
    <cfRule type="cellIs" dxfId="2180" priority="1437" operator="equal">
      <formula>0</formula>
    </cfRule>
  </conditionalFormatting>
  <conditionalFormatting sqref="E40">
    <cfRule type="cellIs" dxfId="2179" priority="1436" operator="equal">
      <formula>0</formula>
    </cfRule>
  </conditionalFormatting>
  <conditionalFormatting sqref="C41">
    <cfRule type="cellIs" dxfId="2178" priority="1435" operator="equal">
      <formula>0</formula>
    </cfRule>
  </conditionalFormatting>
  <conditionalFormatting sqref="F41">
    <cfRule type="cellIs" dxfId="2177" priority="1434" operator="equal">
      <formula>0</formula>
    </cfRule>
  </conditionalFormatting>
  <conditionalFormatting sqref="D41">
    <cfRule type="cellIs" dxfId="2176" priority="1433" operator="equal">
      <formula>0</formula>
    </cfRule>
  </conditionalFormatting>
  <conditionalFormatting sqref="E41">
    <cfRule type="cellIs" dxfId="2175" priority="1432" operator="equal">
      <formula>0</formula>
    </cfRule>
  </conditionalFormatting>
  <conditionalFormatting sqref="C42">
    <cfRule type="cellIs" dxfId="2174" priority="1431" operator="equal">
      <formula>0</formula>
    </cfRule>
  </conditionalFormatting>
  <conditionalFormatting sqref="F42">
    <cfRule type="cellIs" dxfId="2173" priority="1430" operator="equal">
      <formula>0</formula>
    </cfRule>
  </conditionalFormatting>
  <conditionalFormatting sqref="D42">
    <cfRule type="cellIs" dxfId="2172" priority="1429" operator="equal">
      <formula>0</formula>
    </cfRule>
  </conditionalFormatting>
  <conditionalFormatting sqref="E42">
    <cfRule type="cellIs" dxfId="2171" priority="1428" operator="equal">
      <formula>0</formula>
    </cfRule>
  </conditionalFormatting>
  <conditionalFormatting sqref="C43">
    <cfRule type="cellIs" dxfId="2170" priority="1427" operator="equal">
      <formula>0</formula>
    </cfRule>
  </conditionalFormatting>
  <conditionalFormatting sqref="F43">
    <cfRule type="cellIs" dxfId="2169" priority="1426" operator="equal">
      <formula>0</formula>
    </cfRule>
  </conditionalFormatting>
  <conditionalFormatting sqref="D43">
    <cfRule type="cellIs" dxfId="2168" priority="1425" operator="equal">
      <formula>0</formula>
    </cfRule>
  </conditionalFormatting>
  <conditionalFormatting sqref="E43">
    <cfRule type="cellIs" dxfId="2167" priority="1424" operator="equal">
      <formula>0</formula>
    </cfRule>
  </conditionalFormatting>
  <conditionalFormatting sqref="C44">
    <cfRule type="cellIs" dxfId="2166" priority="1423" operator="equal">
      <formula>0</formula>
    </cfRule>
  </conditionalFormatting>
  <conditionalFormatting sqref="F44">
    <cfRule type="cellIs" dxfId="2165" priority="1422" operator="equal">
      <formula>0</formula>
    </cfRule>
  </conditionalFormatting>
  <conditionalFormatting sqref="D44">
    <cfRule type="cellIs" dxfId="2164" priority="1421" operator="equal">
      <formula>0</formula>
    </cfRule>
  </conditionalFormatting>
  <conditionalFormatting sqref="E44">
    <cfRule type="cellIs" dxfId="2163" priority="1420" operator="equal">
      <formula>0</formula>
    </cfRule>
  </conditionalFormatting>
  <conditionalFormatting sqref="C45">
    <cfRule type="cellIs" dxfId="2162" priority="1419" operator="equal">
      <formula>0</formula>
    </cfRule>
  </conditionalFormatting>
  <conditionalFormatting sqref="F45">
    <cfRule type="cellIs" dxfId="2161" priority="1418" operator="equal">
      <formula>0</formula>
    </cfRule>
  </conditionalFormatting>
  <conditionalFormatting sqref="D45">
    <cfRule type="cellIs" dxfId="2160" priority="1417" operator="equal">
      <formula>0</formula>
    </cfRule>
  </conditionalFormatting>
  <conditionalFormatting sqref="E45">
    <cfRule type="cellIs" dxfId="2159" priority="1416" operator="equal">
      <formula>0</formula>
    </cfRule>
  </conditionalFormatting>
  <conditionalFormatting sqref="C46">
    <cfRule type="cellIs" dxfId="2158" priority="1415" operator="equal">
      <formula>0</formula>
    </cfRule>
  </conditionalFormatting>
  <conditionalFormatting sqref="F46">
    <cfRule type="cellIs" dxfId="2157" priority="1414" operator="equal">
      <formula>0</formula>
    </cfRule>
  </conditionalFormatting>
  <conditionalFormatting sqref="D46">
    <cfRule type="cellIs" dxfId="2156" priority="1413" operator="equal">
      <formula>0</formula>
    </cfRule>
  </conditionalFormatting>
  <conditionalFormatting sqref="E46">
    <cfRule type="cellIs" dxfId="2155" priority="1412" operator="equal">
      <formula>0</formula>
    </cfRule>
  </conditionalFormatting>
  <conditionalFormatting sqref="C47">
    <cfRule type="cellIs" dxfId="2154" priority="1411" operator="equal">
      <formula>0</formula>
    </cfRule>
  </conditionalFormatting>
  <conditionalFormatting sqref="F47">
    <cfRule type="cellIs" dxfId="2153" priority="1410" operator="equal">
      <formula>0</formula>
    </cfRule>
  </conditionalFormatting>
  <conditionalFormatting sqref="D47">
    <cfRule type="cellIs" dxfId="2152" priority="1409" operator="equal">
      <formula>0</formula>
    </cfRule>
  </conditionalFormatting>
  <conditionalFormatting sqref="E47">
    <cfRule type="cellIs" dxfId="2151" priority="1408" operator="equal">
      <formula>0</formula>
    </cfRule>
  </conditionalFormatting>
  <conditionalFormatting sqref="C48">
    <cfRule type="cellIs" dxfId="2150" priority="1407" operator="equal">
      <formula>0</formula>
    </cfRule>
  </conditionalFormatting>
  <conditionalFormatting sqref="F48">
    <cfRule type="cellIs" dxfId="2149" priority="1406" operator="equal">
      <formula>0</formula>
    </cfRule>
  </conditionalFormatting>
  <conditionalFormatting sqref="D48">
    <cfRule type="cellIs" dxfId="2148" priority="1405" operator="equal">
      <formula>0</formula>
    </cfRule>
  </conditionalFormatting>
  <conditionalFormatting sqref="E48">
    <cfRule type="cellIs" dxfId="2147" priority="1404" operator="equal">
      <formula>0</formula>
    </cfRule>
  </conditionalFormatting>
  <conditionalFormatting sqref="C49">
    <cfRule type="cellIs" dxfId="2146" priority="1403" operator="equal">
      <formula>0</formula>
    </cfRule>
  </conditionalFormatting>
  <conditionalFormatting sqref="F49">
    <cfRule type="cellIs" dxfId="2145" priority="1402" operator="equal">
      <formula>0</formula>
    </cfRule>
  </conditionalFormatting>
  <conditionalFormatting sqref="D49">
    <cfRule type="cellIs" dxfId="2144" priority="1401" operator="equal">
      <formula>0</formula>
    </cfRule>
  </conditionalFormatting>
  <conditionalFormatting sqref="E49">
    <cfRule type="cellIs" dxfId="2143" priority="1400" operator="equal">
      <formula>0</formula>
    </cfRule>
  </conditionalFormatting>
  <conditionalFormatting sqref="C50">
    <cfRule type="cellIs" dxfId="2142" priority="1399" operator="equal">
      <formula>0</formula>
    </cfRule>
  </conditionalFormatting>
  <conditionalFormatting sqref="F50">
    <cfRule type="cellIs" dxfId="2141" priority="1398" operator="equal">
      <formula>0</formula>
    </cfRule>
  </conditionalFormatting>
  <conditionalFormatting sqref="D50">
    <cfRule type="cellIs" dxfId="2140" priority="1397" operator="equal">
      <formula>0</formula>
    </cfRule>
  </conditionalFormatting>
  <conditionalFormatting sqref="E50">
    <cfRule type="cellIs" dxfId="2139" priority="1396" operator="equal">
      <formula>0</formula>
    </cfRule>
  </conditionalFormatting>
  <conditionalFormatting sqref="C51">
    <cfRule type="cellIs" dxfId="2138" priority="1395" operator="equal">
      <formula>0</formula>
    </cfRule>
  </conditionalFormatting>
  <conditionalFormatting sqref="F51">
    <cfRule type="cellIs" dxfId="2137" priority="1394" operator="equal">
      <formula>0</formula>
    </cfRule>
  </conditionalFormatting>
  <conditionalFormatting sqref="D51">
    <cfRule type="cellIs" dxfId="2136" priority="1393" operator="equal">
      <formula>0</formula>
    </cfRule>
  </conditionalFormatting>
  <conditionalFormatting sqref="E51">
    <cfRule type="cellIs" dxfId="2135" priority="1392" operator="equal">
      <formula>0</formula>
    </cfRule>
  </conditionalFormatting>
  <conditionalFormatting sqref="C52">
    <cfRule type="cellIs" dxfId="2134" priority="1391" operator="equal">
      <formula>0</formula>
    </cfRule>
  </conditionalFormatting>
  <conditionalFormatting sqref="F52">
    <cfRule type="cellIs" dxfId="2133" priority="1390" operator="equal">
      <formula>0</formula>
    </cfRule>
  </conditionalFormatting>
  <conditionalFormatting sqref="D52">
    <cfRule type="cellIs" dxfId="2132" priority="1389" operator="equal">
      <formula>0</formula>
    </cfRule>
  </conditionalFormatting>
  <conditionalFormatting sqref="E52">
    <cfRule type="cellIs" dxfId="2131" priority="1388" operator="equal">
      <formula>0</formula>
    </cfRule>
  </conditionalFormatting>
  <conditionalFormatting sqref="C53">
    <cfRule type="cellIs" dxfId="2130" priority="1387" operator="equal">
      <formula>0</formula>
    </cfRule>
  </conditionalFormatting>
  <conditionalFormatting sqref="F53">
    <cfRule type="cellIs" dxfId="2129" priority="1386" operator="equal">
      <formula>0</formula>
    </cfRule>
  </conditionalFormatting>
  <conditionalFormatting sqref="D53">
    <cfRule type="cellIs" dxfId="2128" priority="1385" operator="equal">
      <formula>0</formula>
    </cfRule>
  </conditionalFormatting>
  <conditionalFormatting sqref="E53">
    <cfRule type="cellIs" dxfId="2127" priority="1384" operator="equal">
      <formula>0</formula>
    </cfRule>
  </conditionalFormatting>
  <conditionalFormatting sqref="C54">
    <cfRule type="cellIs" dxfId="2126" priority="1383" operator="equal">
      <formula>0</formula>
    </cfRule>
  </conditionalFormatting>
  <conditionalFormatting sqref="F54">
    <cfRule type="cellIs" dxfId="2125" priority="1382" operator="equal">
      <formula>0</formula>
    </cfRule>
  </conditionalFormatting>
  <conditionalFormatting sqref="D54">
    <cfRule type="cellIs" dxfId="2124" priority="1381" operator="equal">
      <formula>0</formula>
    </cfRule>
  </conditionalFormatting>
  <conditionalFormatting sqref="E54">
    <cfRule type="cellIs" dxfId="2123" priority="1380" operator="equal">
      <formula>0</formula>
    </cfRule>
  </conditionalFormatting>
  <conditionalFormatting sqref="C55">
    <cfRule type="cellIs" dxfId="2122" priority="1379" operator="equal">
      <formula>0</formula>
    </cfRule>
  </conditionalFormatting>
  <conditionalFormatting sqref="F55">
    <cfRule type="cellIs" dxfId="2121" priority="1378" operator="equal">
      <formula>0</formula>
    </cfRule>
  </conditionalFormatting>
  <conditionalFormatting sqref="D55">
    <cfRule type="cellIs" dxfId="2120" priority="1377" operator="equal">
      <formula>0</formula>
    </cfRule>
  </conditionalFormatting>
  <conditionalFormatting sqref="E55">
    <cfRule type="cellIs" dxfId="2119" priority="1376" operator="equal">
      <formula>0</formula>
    </cfRule>
  </conditionalFormatting>
  <conditionalFormatting sqref="C56">
    <cfRule type="cellIs" dxfId="2118" priority="1375" operator="equal">
      <formula>0</formula>
    </cfRule>
  </conditionalFormatting>
  <conditionalFormatting sqref="F56">
    <cfRule type="cellIs" dxfId="2117" priority="1374" operator="equal">
      <formula>0</formula>
    </cfRule>
  </conditionalFormatting>
  <conditionalFormatting sqref="D56">
    <cfRule type="cellIs" dxfId="2116" priority="1373" operator="equal">
      <formula>0</formula>
    </cfRule>
  </conditionalFormatting>
  <conditionalFormatting sqref="E56">
    <cfRule type="cellIs" dxfId="2115" priority="1372" operator="equal">
      <formula>0</formula>
    </cfRule>
  </conditionalFormatting>
  <conditionalFormatting sqref="C57">
    <cfRule type="cellIs" dxfId="2114" priority="1371" operator="equal">
      <formula>0</formula>
    </cfRule>
  </conditionalFormatting>
  <conditionalFormatting sqref="F57">
    <cfRule type="cellIs" dxfId="2113" priority="1370" operator="equal">
      <formula>0</formula>
    </cfRule>
  </conditionalFormatting>
  <conditionalFormatting sqref="D57">
    <cfRule type="cellIs" dxfId="2112" priority="1369" operator="equal">
      <formula>0</formula>
    </cfRule>
  </conditionalFormatting>
  <conditionalFormatting sqref="E57">
    <cfRule type="cellIs" dxfId="2111" priority="1368" operator="equal">
      <formula>0</formula>
    </cfRule>
  </conditionalFormatting>
  <conditionalFormatting sqref="C58">
    <cfRule type="cellIs" dxfId="2110" priority="1367" operator="equal">
      <formula>0</formula>
    </cfRule>
  </conditionalFormatting>
  <conditionalFormatting sqref="F58">
    <cfRule type="cellIs" dxfId="2109" priority="1366" operator="equal">
      <formula>0</formula>
    </cfRule>
  </conditionalFormatting>
  <conditionalFormatting sqref="D58">
    <cfRule type="cellIs" dxfId="2108" priority="1365" operator="equal">
      <formula>0</formula>
    </cfRule>
  </conditionalFormatting>
  <conditionalFormatting sqref="E58">
    <cfRule type="cellIs" dxfId="2107" priority="1364" operator="equal">
      <formula>0</formula>
    </cfRule>
  </conditionalFormatting>
  <conditionalFormatting sqref="C59">
    <cfRule type="cellIs" dxfId="2106" priority="1363" operator="equal">
      <formula>0</formula>
    </cfRule>
  </conditionalFormatting>
  <conditionalFormatting sqref="F59">
    <cfRule type="cellIs" dxfId="2105" priority="1362" operator="equal">
      <formula>0</formula>
    </cfRule>
  </conditionalFormatting>
  <conditionalFormatting sqref="D59">
    <cfRule type="cellIs" dxfId="2104" priority="1361" operator="equal">
      <formula>0</formula>
    </cfRule>
  </conditionalFormatting>
  <conditionalFormatting sqref="E59">
    <cfRule type="cellIs" dxfId="2103" priority="1360" operator="equal">
      <formula>0</formula>
    </cfRule>
  </conditionalFormatting>
  <conditionalFormatting sqref="C60">
    <cfRule type="cellIs" dxfId="2102" priority="1359" operator="equal">
      <formula>0</formula>
    </cfRule>
  </conditionalFormatting>
  <conditionalFormatting sqref="F60">
    <cfRule type="cellIs" dxfId="2101" priority="1358" operator="equal">
      <formula>0</formula>
    </cfRule>
  </conditionalFormatting>
  <conditionalFormatting sqref="D60">
    <cfRule type="cellIs" dxfId="2100" priority="1357" operator="equal">
      <formula>0</formula>
    </cfRule>
  </conditionalFormatting>
  <conditionalFormatting sqref="E60">
    <cfRule type="cellIs" dxfId="2099" priority="1356" operator="equal">
      <formula>0</formula>
    </cfRule>
  </conditionalFormatting>
  <conditionalFormatting sqref="C61">
    <cfRule type="cellIs" dxfId="2098" priority="1355" operator="equal">
      <formula>0</formula>
    </cfRule>
  </conditionalFormatting>
  <conditionalFormatting sqref="F61">
    <cfRule type="cellIs" dxfId="2097" priority="1354" operator="equal">
      <formula>0</formula>
    </cfRule>
  </conditionalFormatting>
  <conditionalFormatting sqref="D61">
    <cfRule type="cellIs" dxfId="2096" priority="1353" operator="equal">
      <formula>0</formula>
    </cfRule>
  </conditionalFormatting>
  <conditionalFormatting sqref="E61">
    <cfRule type="cellIs" dxfId="2095" priority="1352" operator="equal">
      <formula>0</formula>
    </cfRule>
  </conditionalFormatting>
  <conditionalFormatting sqref="C62">
    <cfRule type="cellIs" dxfId="2094" priority="1351" operator="equal">
      <formula>0</formula>
    </cfRule>
  </conditionalFormatting>
  <conditionalFormatting sqref="F62">
    <cfRule type="cellIs" dxfId="2093" priority="1350" operator="equal">
      <formula>0</formula>
    </cfRule>
  </conditionalFormatting>
  <conditionalFormatting sqref="D62">
    <cfRule type="cellIs" dxfId="2092" priority="1349" operator="equal">
      <formula>0</formula>
    </cfRule>
  </conditionalFormatting>
  <conditionalFormatting sqref="E62">
    <cfRule type="cellIs" dxfId="2091" priority="1348" operator="equal">
      <formula>0</formula>
    </cfRule>
  </conditionalFormatting>
  <conditionalFormatting sqref="C63">
    <cfRule type="cellIs" dxfId="2090" priority="1347" operator="equal">
      <formula>0</formula>
    </cfRule>
  </conditionalFormatting>
  <conditionalFormatting sqref="F63">
    <cfRule type="cellIs" dxfId="2089" priority="1346" operator="equal">
      <formula>0</formula>
    </cfRule>
  </conditionalFormatting>
  <conditionalFormatting sqref="D63">
    <cfRule type="cellIs" dxfId="2088" priority="1345" operator="equal">
      <formula>0</formula>
    </cfRule>
  </conditionalFormatting>
  <conditionalFormatting sqref="E63">
    <cfRule type="cellIs" dxfId="2087" priority="1344" operator="equal">
      <formula>0</formula>
    </cfRule>
  </conditionalFormatting>
  <conditionalFormatting sqref="C64">
    <cfRule type="cellIs" dxfId="2086" priority="1343" operator="equal">
      <formula>0</formula>
    </cfRule>
  </conditionalFormatting>
  <conditionalFormatting sqref="F64">
    <cfRule type="cellIs" dxfId="2085" priority="1342" operator="equal">
      <formula>0</formula>
    </cfRule>
  </conditionalFormatting>
  <conditionalFormatting sqref="D64">
    <cfRule type="cellIs" dxfId="2084" priority="1341" operator="equal">
      <formula>0</formula>
    </cfRule>
  </conditionalFormatting>
  <conditionalFormatting sqref="E64">
    <cfRule type="cellIs" dxfId="2083" priority="1340" operator="equal">
      <formula>0</formula>
    </cfRule>
  </conditionalFormatting>
  <conditionalFormatting sqref="C65">
    <cfRule type="cellIs" dxfId="2082" priority="1339" operator="equal">
      <formula>0</formula>
    </cfRule>
  </conditionalFormatting>
  <conditionalFormatting sqref="F65">
    <cfRule type="cellIs" dxfId="2081" priority="1338" operator="equal">
      <formula>0</formula>
    </cfRule>
  </conditionalFormatting>
  <conditionalFormatting sqref="D65">
    <cfRule type="cellIs" dxfId="2080" priority="1337" operator="equal">
      <formula>0</formula>
    </cfRule>
  </conditionalFormatting>
  <conditionalFormatting sqref="E65">
    <cfRule type="cellIs" dxfId="2079" priority="1336" operator="equal">
      <formula>0</formula>
    </cfRule>
  </conditionalFormatting>
  <conditionalFormatting sqref="C66">
    <cfRule type="cellIs" dxfId="2078" priority="1335" operator="equal">
      <formula>0</formula>
    </cfRule>
  </conditionalFormatting>
  <conditionalFormatting sqref="F66">
    <cfRule type="cellIs" dxfId="2077" priority="1334" operator="equal">
      <formula>0</formula>
    </cfRule>
  </conditionalFormatting>
  <conditionalFormatting sqref="D66">
    <cfRule type="cellIs" dxfId="2076" priority="1333" operator="equal">
      <formula>0</formula>
    </cfRule>
  </conditionalFormatting>
  <conditionalFormatting sqref="E66">
    <cfRule type="cellIs" dxfId="2075" priority="1332" operator="equal">
      <formula>0</formula>
    </cfRule>
  </conditionalFormatting>
  <conditionalFormatting sqref="C67">
    <cfRule type="cellIs" dxfId="2074" priority="1331" operator="equal">
      <formula>0</formula>
    </cfRule>
  </conditionalFormatting>
  <conditionalFormatting sqref="F67">
    <cfRule type="cellIs" dxfId="2073" priority="1330" operator="equal">
      <formula>0</formula>
    </cfRule>
  </conditionalFormatting>
  <conditionalFormatting sqref="D67">
    <cfRule type="cellIs" dxfId="2072" priority="1329" operator="equal">
      <formula>0</formula>
    </cfRule>
  </conditionalFormatting>
  <conditionalFormatting sqref="E67">
    <cfRule type="cellIs" dxfId="2071" priority="1328" operator="equal">
      <formula>0</formula>
    </cfRule>
  </conditionalFormatting>
  <conditionalFormatting sqref="C68">
    <cfRule type="cellIs" dxfId="2070" priority="1327" operator="equal">
      <formula>0</formula>
    </cfRule>
  </conditionalFormatting>
  <conditionalFormatting sqref="F68">
    <cfRule type="cellIs" dxfId="2069" priority="1326" operator="equal">
      <formula>0</formula>
    </cfRule>
  </conditionalFormatting>
  <conditionalFormatting sqref="D68">
    <cfRule type="cellIs" dxfId="2068" priority="1325" operator="equal">
      <formula>0</formula>
    </cfRule>
  </conditionalFormatting>
  <conditionalFormatting sqref="E68">
    <cfRule type="cellIs" dxfId="2067" priority="1324" operator="equal">
      <formula>0</formula>
    </cfRule>
  </conditionalFormatting>
  <conditionalFormatting sqref="C69">
    <cfRule type="cellIs" dxfId="2066" priority="1323" operator="equal">
      <formula>0</formula>
    </cfRule>
  </conditionalFormatting>
  <conditionalFormatting sqref="F69">
    <cfRule type="cellIs" dxfId="2065" priority="1322" operator="equal">
      <formula>0</formula>
    </cfRule>
  </conditionalFormatting>
  <conditionalFormatting sqref="D69">
    <cfRule type="cellIs" dxfId="2064" priority="1321" operator="equal">
      <formula>0</formula>
    </cfRule>
  </conditionalFormatting>
  <conditionalFormatting sqref="E69">
    <cfRule type="cellIs" dxfId="2063" priority="1320" operator="equal">
      <formula>0</formula>
    </cfRule>
  </conditionalFormatting>
  <conditionalFormatting sqref="C70">
    <cfRule type="cellIs" dxfId="2062" priority="1319" operator="equal">
      <formula>0</formula>
    </cfRule>
  </conditionalFormatting>
  <conditionalFormatting sqref="F70">
    <cfRule type="cellIs" dxfId="2061" priority="1318" operator="equal">
      <formula>0</formula>
    </cfRule>
  </conditionalFormatting>
  <conditionalFormatting sqref="D70">
    <cfRule type="cellIs" dxfId="2060" priority="1317" operator="equal">
      <formula>0</formula>
    </cfRule>
  </conditionalFormatting>
  <conditionalFormatting sqref="E70">
    <cfRule type="cellIs" dxfId="2059" priority="1316" operator="equal">
      <formula>0</formula>
    </cfRule>
  </conditionalFormatting>
  <conditionalFormatting sqref="C71">
    <cfRule type="cellIs" dxfId="2058" priority="1315" operator="equal">
      <formula>0</formula>
    </cfRule>
  </conditionalFormatting>
  <conditionalFormatting sqref="F71">
    <cfRule type="cellIs" dxfId="2057" priority="1314" operator="equal">
      <formula>0</formula>
    </cfRule>
  </conditionalFormatting>
  <conditionalFormatting sqref="D71">
    <cfRule type="cellIs" dxfId="2056" priority="1313" operator="equal">
      <formula>0</formula>
    </cfRule>
  </conditionalFormatting>
  <conditionalFormatting sqref="E71">
    <cfRule type="cellIs" dxfId="2055" priority="1312" operator="equal">
      <formula>0</formula>
    </cfRule>
  </conditionalFormatting>
  <conditionalFormatting sqref="C72">
    <cfRule type="cellIs" dxfId="2054" priority="1311" operator="equal">
      <formula>0</formula>
    </cfRule>
  </conditionalFormatting>
  <conditionalFormatting sqref="F72">
    <cfRule type="cellIs" dxfId="2053" priority="1310" operator="equal">
      <formula>0</formula>
    </cfRule>
  </conditionalFormatting>
  <conditionalFormatting sqref="D72">
    <cfRule type="cellIs" dxfId="2052" priority="1309" operator="equal">
      <formula>0</formula>
    </cfRule>
  </conditionalFormatting>
  <conditionalFormatting sqref="E72">
    <cfRule type="cellIs" dxfId="2051" priority="1308" operator="equal">
      <formula>0</formula>
    </cfRule>
  </conditionalFormatting>
  <conditionalFormatting sqref="C73">
    <cfRule type="cellIs" dxfId="2050" priority="1307" operator="equal">
      <formula>0</formula>
    </cfRule>
  </conditionalFormatting>
  <conditionalFormatting sqref="F73">
    <cfRule type="cellIs" dxfId="2049" priority="1306" operator="equal">
      <formula>0</formula>
    </cfRule>
  </conditionalFormatting>
  <conditionalFormatting sqref="D73">
    <cfRule type="cellIs" dxfId="2048" priority="1305" operator="equal">
      <formula>0</formula>
    </cfRule>
  </conditionalFormatting>
  <conditionalFormatting sqref="E73">
    <cfRule type="cellIs" dxfId="2047" priority="1304" operator="equal">
      <formula>0</formula>
    </cfRule>
  </conditionalFormatting>
  <conditionalFormatting sqref="C74">
    <cfRule type="cellIs" dxfId="2046" priority="1303" operator="equal">
      <formula>0</formula>
    </cfRule>
  </conditionalFormatting>
  <conditionalFormatting sqref="F74">
    <cfRule type="cellIs" dxfId="2045" priority="1302" operator="equal">
      <formula>0</formula>
    </cfRule>
  </conditionalFormatting>
  <conditionalFormatting sqref="D74">
    <cfRule type="cellIs" dxfId="2044" priority="1301" operator="equal">
      <formula>0</formula>
    </cfRule>
  </conditionalFormatting>
  <conditionalFormatting sqref="E74">
    <cfRule type="cellIs" dxfId="2043" priority="1300" operator="equal">
      <formula>0</formula>
    </cfRule>
  </conditionalFormatting>
  <conditionalFormatting sqref="C75">
    <cfRule type="cellIs" dxfId="2042" priority="1299" operator="equal">
      <formula>0</formula>
    </cfRule>
  </conditionalFormatting>
  <conditionalFormatting sqref="F75">
    <cfRule type="cellIs" dxfId="2041" priority="1298" operator="equal">
      <formula>0</formula>
    </cfRule>
  </conditionalFormatting>
  <conditionalFormatting sqref="D75">
    <cfRule type="cellIs" dxfId="2040" priority="1297" operator="equal">
      <formula>0</formula>
    </cfRule>
  </conditionalFormatting>
  <conditionalFormatting sqref="E75">
    <cfRule type="cellIs" dxfId="2039" priority="1296" operator="equal">
      <formula>0</formula>
    </cfRule>
  </conditionalFormatting>
  <conditionalFormatting sqref="C76">
    <cfRule type="cellIs" dxfId="2038" priority="1295" operator="equal">
      <formula>0</formula>
    </cfRule>
  </conditionalFormatting>
  <conditionalFormatting sqref="F76">
    <cfRule type="cellIs" dxfId="2037" priority="1294" operator="equal">
      <formula>0</formula>
    </cfRule>
  </conditionalFormatting>
  <conditionalFormatting sqref="D76">
    <cfRule type="cellIs" dxfId="2036" priority="1293" operator="equal">
      <formula>0</formula>
    </cfRule>
  </conditionalFormatting>
  <conditionalFormatting sqref="E76">
    <cfRule type="cellIs" dxfId="2035" priority="1292" operator="equal">
      <formula>0</formula>
    </cfRule>
  </conditionalFormatting>
  <conditionalFormatting sqref="C77">
    <cfRule type="cellIs" dxfId="2034" priority="1291" operator="equal">
      <formula>0</formula>
    </cfRule>
  </conditionalFormatting>
  <conditionalFormatting sqref="F77">
    <cfRule type="cellIs" dxfId="2033" priority="1290" operator="equal">
      <formula>0</formula>
    </cfRule>
  </conditionalFormatting>
  <conditionalFormatting sqref="D77">
    <cfRule type="cellIs" dxfId="2032" priority="1289" operator="equal">
      <formula>0</formula>
    </cfRule>
  </conditionalFormatting>
  <conditionalFormatting sqref="E77">
    <cfRule type="cellIs" dxfId="2031" priority="1288" operator="equal">
      <formula>0</formula>
    </cfRule>
  </conditionalFormatting>
  <conditionalFormatting sqref="C78">
    <cfRule type="cellIs" dxfId="2030" priority="1287" operator="equal">
      <formula>0</formula>
    </cfRule>
  </conditionalFormatting>
  <conditionalFormatting sqref="F78">
    <cfRule type="cellIs" dxfId="2029" priority="1286" operator="equal">
      <formula>0</formula>
    </cfRule>
  </conditionalFormatting>
  <conditionalFormatting sqref="D78">
    <cfRule type="cellIs" dxfId="2028" priority="1285" operator="equal">
      <formula>0</formula>
    </cfRule>
  </conditionalFormatting>
  <conditionalFormatting sqref="E78">
    <cfRule type="cellIs" dxfId="2027" priority="1284" operator="equal">
      <formula>0</formula>
    </cfRule>
  </conditionalFormatting>
  <conditionalFormatting sqref="C79">
    <cfRule type="cellIs" dxfId="2026" priority="1283" operator="equal">
      <formula>0</formula>
    </cfRule>
  </conditionalFormatting>
  <conditionalFormatting sqref="F79">
    <cfRule type="cellIs" dxfId="2025" priority="1282" operator="equal">
      <formula>0</formula>
    </cfRule>
  </conditionalFormatting>
  <conditionalFormatting sqref="D79">
    <cfRule type="cellIs" dxfId="2024" priority="1281" operator="equal">
      <formula>0</formula>
    </cfRule>
  </conditionalFormatting>
  <conditionalFormatting sqref="E79">
    <cfRule type="cellIs" dxfId="2023" priority="1280" operator="equal">
      <formula>0</formula>
    </cfRule>
  </conditionalFormatting>
  <conditionalFormatting sqref="C80">
    <cfRule type="cellIs" dxfId="2022" priority="1279" operator="equal">
      <formula>0</formula>
    </cfRule>
  </conditionalFormatting>
  <conditionalFormatting sqref="F80">
    <cfRule type="cellIs" dxfId="2021" priority="1278" operator="equal">
      <formula>0</formula>
    </cfRule>
  </conditionalFormatting>
  <conditionalFormatting sqref="D80">
    <cfRule type="cellIs" dxfId="2020" priority="1277" operator="equal">
      <formula>0</formula>
    </cfRule>
  </conditionalFormatting>
  <conditionalFormatting sqref="E80">
    <cfRule type="cellIs" dxfId="2019" priority="1276" operator="equal">
      <formula>0</formula>
    </cfRule>
  </conditionalFormatting>
  <conditionalFormatting sqref="C81">
    <cfRule type="cellIs" dxfId="2018" priority="1275" operator="equal">
      <formula>0</formula>
    </cfRule>
  </conditionalFormatting>
  <conditionalFormatting sqref="F81">
    <cfRule type="cellIs" dxfId="2017" priority="1274" operator="equal">
      <formula>0</formula>
    </cfRule>
  </conditionalFormatting>
  <conditionalFormatting sqref="D81">
    <cfRule type="cellIs" dxfId="2016" priority="1273" operator="equal">
      <formula>0</formula>
    </cfRule>
  </conditionalFormatting>
  <conditionalFormatting sqref="E81">
    <cfRule type="cellIs" dxfId="2015" priority="1272" operator="equal">
      <formula>0</formula>
    </cfRule>
  </conditionalFormatting>
  <conditionalFormatting sqref="C82">
    <cfRule type="cellIs" dxfId="2014" priority="1271" operator="equal">
      <formula>0</formula>
    </cfRule>
  </conditionalFormatting>
  <conditionalFormatting sqref="F82">
    <cfRule type="cellIs" dxfId="2013" priority="1270" operator="equal">
      <formula>0</formula>
    </cfRule>
  </conditionalFormatting>
  <conditionalFormatting sqref="D82">
    <cfRule type="cellIs" dxfId="2012" priority="1269" operator="equal">
      <formula>0</formula>
    </cfRule>
  </conditionalFormatting>
  <conditionalFormatting sqref="E82">
    <cfRule type="cellIs" dxfId="2011" priority="1268" operator="equal">
      <formula>0</formula>
    </cfRule>
  </conditionalFormatting>
  <conditionalFormatting sqref="C83">
    <cfRule type="cellIs" dxfId="2010" priority="1267" operator="equal">
      <formula>0</formula>
    </cfRule>
  </conditionalFormatting>
  <conditionalFormatting sqref="F83">
    <cfRule type="cellIs" dxfId="2009" priority="1266" operator="equal">
      <formula>0</formula>
    </cfRule>
  </conditionalFormatting>
  <conditionalFormatting sqref="D83">
    <cfRule type="cellIs" dxfId="2008" priority="1265" operator="equal">
      <formula>0</formula>
    </cfRule>
  </conditionalFormatting>
  <conditionalFormatting sqref="E83">
    <cfRule type="cellIs" dxfId="2007" priority="1264" operator="equal">
      <formula>0</formula>
    </cfRule>
  </conditionalFormatting>
  <conditionalFormatting sqref="C84">
    <cfRule type="cellIs" dxfId="2006" priority="1263" operator="equal">
      <formula>0</formula>
    </cfRule>
  </conditionalFormatting>
  <conditionalFormatting sqref="F84">
    <cfRule type="cellIs" dxfId="2005" priority="1262" operator="equal">
      <formula>0</formula>
    </cfRule>
  </conditionalFormatting>
  <conditionalFormatting sqref="D84">
    <cfRule type="cellIs" dxfId="2004" priority="1261" operator="equal">
      <formula>0</formula>
    </cfRule>
  </conditionalFormatting>
  <conditionalFormatting sqref="E84">
    <cfRule type="cellIs" dxfId="2003" priority="1260" operator="equal">
      <formula>0</formula>
    </cfRule>
  </conditionalFormatting>
  <conditionalFormatting sqref="C85">
    <cfRule type="cellIs" dxfId="2002" priority="1259" operator="equal">
      <formula>0</formula>
    </cfRule>
  </conditionalFormatting>
  <conditionalFormatting sqref="F85">
    <cfRule type="cellIs" dxfId="2001" priority="1258" operator="equal">
      <formula>0</formula>
    </cfRule>
  </conditionalFormatting>
  <conditionalFormatting sqref="D85">
    <cfRule type="cellIs" dxfId="2000" priority="1257" operator="equal">
      <formula>0</formula>
    </cfRule>
  </conditionalFormatting>
  <conditionalFormatting sqref="E85">
    <cfRule type="cellIs" dxfId="1999" priority="1256" operator="equal">
      <formula>0</formula>
    </cfRule>
  </conditionalFormatting>
  <conditionalFormatting sqref="C86">
    <cfRule type="cellIs" dxfId="1998" priority="1255" operator="equal">
      <formula>0</formula>
    </cfRule>
  </conditionalFormatting>
  <conditionalFormatting sqref="F86">
    <cfRule type="cellIs" dxfId="1997" priority="1254" operator="equal">
      <formula>0</formula>
    </cfRule>
  </conditionalFormatting>
  <conditionalFormatting sqref="D86">
    <cfRule type="cellIs" dxfId="1996" priority="1253" operator="equal">
      <formula>0</formula>
    </cfRule>
  </conditionalFormatting>
  <conditionalFormatting sqref="E86">
    <cfRule type="cellIs" dxfId="1995" priority="1252" operator="equal">
      <formula>0</formula>
    </cfRule>
  </conditionalFormatting>
  <conditionalFormatting sqref="C87">
    <cfRule type="cellIs" dxfId="1994" priority="1251" operator="equal">
      <formula>0</formula>
    </cfRule>
  </conditionalFormatting>
  <conditionalFormatting sqref="F87">
    <cfRule type="cellIs" dxfId="1993" priority="1250" operator="equal">
      <formula>0</formula>
    </cfRule>
  </conditionalFormatting>
  <conditionalFormatting sqref="D87">
    <cfRule type="cellIs" dxfId="1992" priority="1249" operator="equal">
      <formula>0</formula>
    </cfRule>
  </conditionalFormatting>
  <conditionalFormatting sqref="E87">
    <cfRule type="cellIs" dxfId="1991" priority="1248" operator="equal">
      <formula>0</formula>
    </cfRule>
  </conditionalFormatting>
  <conditionalFormatting sqref="C88">
    <cfRule type="cellIs" dxfId="1990" priority="1247" operator="equal">
      <formula>0</formula>
    </cfRule>
  </conditionalFormatting>
  <conditionalFormatting sqref="F88">
    <cfRule type="cellIs" dxfId="1989" priority="1246" operator="equal">
      <formula>0</formula>
    </cfRule>
  </conditionalFormatting>
  <conditionalFormatting sqref="D88">
    <cfRule type="cellIs" dxfId="1988" priority="1245" operator="equal">
      <formula>0</formula>
    </cfRule>
  </conditionalFormatting>
  <conditionalFormatting sqref="E88">
    <cfRule type="cellIs" dxfId="1987" priority="1244" operator="equal">
      <formula>0</formula>
    </cfRule>
  </conditionalFormatting>
  <conditionalFormatting sqref="C89">
    <cfRule type="cellIs" dxfId="1986" priority="1243" operator="equal">
      <formula>0</formula>
    </cfRule>
  </conditionalFormatting>
  <conditionalFormatting sqref="F89">
    <cfRule type="cellIs" dxfId="1985" priority="1242" operator="equal">
      <formula>0</formula>
    </cfRule>
  </conditionalFormatting>
  <conditionalFormatting sqref="D89">
    <cfRule type="cellIs" dxfId="1984" priority="1241" operator="equal">
      <formula>0</formula>
    </cfRule>
  </conditionalFormatting>
  <conditionalFormatting sqref="E89">
    <cfRule type="cellIs" dxfId="1983" priority="1240" operator="equal">
      <formula>0</formula>
    </cfRule>
  </conditionalFormatting>
  <conditionalFormatting sqref="C90">
    <cfRule type="cellIs" dxfId="1982" priority="1239" operator="equal">
      <formula>0</formula>
    </cfRule>
  </conditionalFormatting>
  <conditionalFormatting sqref="F90">
    <cfRule type="cellIs" dxfId="1981" priority="1238" operator="equal">
      <formula>0</formula>
    </cfRule>
  </conditionalFormatting>
  <conditionalFormatting sqref="D90">
    <cfRule type="cellIs" dxfId="1980" priority="1237" operator="equal">
      <formula>0</formula>
    </cfRule>
  </conditionalFormatting>
  <conditionalFormatting sqref="E90">
    <cfRule type="cellIs" dxfId="1979" priority="1236" operator="equal">
      <formula>0</formula>
    </cfRule>
  </conditionalFormatting>
  <conditionalFormatting sqref="H3:K3">
    <cfRule type="cellIs" dxfId="1978" priority="1235" operator="equal">
      <formula>0</formula>
    </cfRule>
  </conditionalFormatting>
  <conditionalFormatting sqref="H4:K4">
    <cfRule type="cellIs" dxfId="1977" priority="1234" operator="equal">
      <formula>0</formula>
    </cfRule>
  </conditionalFormatting>
  <conditionalFormatting sqref="H5:K5">
    <cfRule type="cellIs" dxfId="1976" priority="1233" operator="equal">
      <formula>0</formula>
    </cfRule>
  </conditionalFormatting>
  <conditionalFormatting sqref="H6:K6">
    <cfRule type="cellIs" dxfId="1975" priority="1232" operator="equal">
      <formula>0</formula>
    </cfRule>
  </conditionalFormatting>
  <conditionalFormatting sqref="H7:K7">
    <cfRule type="cellIs" dxfId="1974" priority="1231" operator="equal">
      <formula>0</formula>
    </cfRule>
  </conditionalFormatting>
  <conditionalFormatting sqref="H8:K8">
    <cfRule type="cellIs" dxfId="1973" priority="1230" operator="equal">
      <formula>0</formula>
    </cfRule>
  </conditionalFormatting>
  <conditionalFormatting sqref="H9:K9">
    <cfRule type="cellIs" dxfId="1972" priority="1229" operator="equal">
      <formula>0</formula>
    </cfRule>
  </conditionalFormatting>
  <conditionalFormatting sqref="H10:K10">
    <cfRule type="cellIs" dxfId="1971" priority="1228" operator="equal">
      <formula>0</formula>
    </cfRule>
  </conditionalFormatting>
  <conditionalFormatting sqref="H11:K11">
    <cfRule type="cellIs" dxfId="1970" priority="1227" operator="equal">
      <formula>0</formula>
    </cfRule>
  </conditionalFormatting>
  <conditionalFormatting sqref="H12:K12">
    <cfRule type="cellIs" dxfId="1969" priority="1226" operator="equal">
      <formula>0</formula>
    </cfRule>
  </conditionalFormatting>
  <conditionalFormatting sqref="H13:K13">
    <cfRule type="cellIs" dxfId="1968" priority="1225" operator="equal">
      <formula>0</formula>
    </cfRule>
  </conditionalFormatting>
  <conditionalFormatting sqref="H14:K14">
    <cfRule type="cellIs" dxfId="1967" priority="1224" operator="equal">
      <formula>0</formula>
    </cfRule>
  </conditionalFormatting>
  <conditionalFormatting sqref="H15:K15">
    <cfRule type="cellIs" dxfId="1966" priority="1223" operator="equal">
      <formula>0</formula>
    </cfRule>
  </conditionalFormatting>
  <conditionalFormatting sqref="H16:K16">
    <cfRule type="cellIs" dxfId="1965" priority="1222" operator="equal">
      <formula>0</formula>
    </cfRule>
  </conditionalFormatting>
  <conditionalFormatting sqref="H17:K17">
    <cfRule type="cellIs" dxfId="1964" priority="1221" operator="equal">
      <formula>0</formula>
    </cfRule>
  </conditionalFormatting>
  <conditionalFormatting sqref="H18:K18">
    <cfRule type="cellIs" dxfId="1963" priority="1220" operator="equal">
      <formula>0</formula>
    </cfRule>
  </conditionalFormatting>
  <conditionalFormatting sqref="H19:K19">
    <cfRule type="cellIs" dxfId="1962" priority="1219" operator="equal">
      <formula>0</formula>
    </cfRule>
  </conditionalFormatting>
  <conditionalFormatting sqref="H20:K20">
    <cfRule type="cellIs" dxfId="1961" priority="1218" operator="equal">
      <formula>0</formula>
    </cfRule>
  </conditionalFormatting>
  <conditionalFormatting sqref="H21:K21">
    <cfRule type="cellIs" dxfId="1960" priority="1217" operator="equal">
      <formula>0</formula>
    </cfRule>
  </conditionalFormatting>
  <conditionalFormatting sqref="H22:K22">
    <cfRule type="cellIs" dxfId="1959" priority="1216" operator="equal">
      <formula>0</formula>
    </cfRule>
  </conditionalFormatting>
  <conditionalFormatting sqref="H23:K23">
    <cfRule type="cellIs" dxfId="1958" priority="1215" operator="equal">
      <formula>0</formula>
    </cfRule>
  </conditionalFormatting>
  <conditionalFormatting sqref="H24:K24">
    <cfRule type="cellIs" dxfId="1957" priority="1214" operator="equal">
      <formula>0</formula>
    </cfRule>
  </conditionalFormatting>
  <conditionalFormatting sqref="H25:K25">
    <cfRule type="cellIs" dxfId="1956" priority="1213" operator="equal">
      <formula>0</formula>
    </cfRule>
  </conditionalFormatting>
  <conditionalFormatting sqref="H26:K26">
    <cfRule type="cellIs" dxfId="1955" priority="1212" operator="equal">
      <formula>0</formula>
    </cfRule>
  </conditionalFormatting>
  <conditionalFormatting sqref="H27:K27">
    <cfRule type="cellIs" dxfId="1954" priority="1211" operator="equal">
      <formula>0</formula>
    </cfRule>
  </conditionalFormatting>
  <conditionalFormatting sqref="H28:K28">
    <cfRule type="cellIs" dxfId="1953" priority="1210" operator="equal">
      <formula>0</formula>
    </cfRule>
  </conditionalFormatting>
  <conditionalFormatting sqref="H29:K29">
    <cfRule type="cellIs" dxfId="1952" priority="1209" operator="equal">
      <formula>0</formula>
    </cfRule>
  </conditionalFormatting>
  <conditionalFormatting sqref="H30:K30">
    <cfRule type="cellIs" dxfId="1951" priority="1208" operator="equal">
      <formula>0</formula>
    </cfRule>
  </conditionalFormatting>
  <conditionalFormatting sqref="H31:K31">
    <cfRule type="cellIs" dxfId="1950" priority="1207" operator="equal">
      <formula>0</formula>
    </cfRule>
  </conditionalFormatting>
  <conditionalFormatting sqref="H32:K32">
    <cfRule type="cellIs" dxfId="1949" priority="1206" operator="equal">
      <formula>0</formula>
    </cfRule>
  </conditionalFormatting>
  <conditionalFormatting sqref="H33:K33">
    <cfRule type="cellIs" dxfId="1948" priority="1205" operator="equal">
      <formula>0</formula>
    </cfRule>
  </conditionalFormatting>
  <conditionalFormatting sqref="H34:K34">
    <cfRule type="cellIs" dxfId="1947" priority="1204" operator="equal">
      <formula>0</formula>
    </cfRule>
  </conditionalFormatting>
  <conditionalFormatting sqref="H35:K35">
    <cfRule type="cellIs" dxfId="1946" priority="1203" operator="equal">
      <formula>0</formula>
    </cfRule>
  </conditionalFormatting>
  <conditionalFormatting sqref="H36:K36">
    <cfRule type="cellIs" dxfId="1945" priority="1202" operator="equal">
      <formula>0</formula>
    </cfRule>
  </conditionalFormatting>
  <conditionalFormatting sqref="H37:K37">
    <cfRule type="cellIs" dxfId="1944" priority="1201" operator="equal">
      <formula>0</formula>
    </cfRule>
  </conditionalFormatting>
  <conditionalFormatting sqref="H38:K38">
    <cfRule type="cellIs" dxfId="1943" priority="1200" operator="equal">
      <formula>0</formula>
    </cfRule>
  </conditionalFormatting>
  <conditionalFormatting sqref="H39:K39">
    <cfRule type="cellIs" dxfId="1942" priority="1199" operator="equal">
      <formula>0</formula>
    </cfRule>
  </conditionalFormatting>
  <conditionalFormatting sqref="H40:K40">
    <cfRule type="cellIs" dxfId="1941" priority="1198" operator="equal">
      <formula>0</formula>
    </cfRule>
  </conditionalFormatting>
  <conditionalFormatting sqref="H41:K41">
    <cfRule type="cellIs" dxfId="1940" priority="1197" operator="equal">
      <formula>0</formula>
    </cfRule>
  </conditionalFormatting>
  <conditionalFormatting sqref="H42:K42">
    <cfRule type="cellIs" dxfId="1939" priority="1196" operator="equal">
      <formula>0</formula>
    </cfRule>
  </conditionalFormatting>
  <conditionalFormatting sqref="H43:K43">
    <cfRule type="cellIs" dxfId="1938" priority="1195" operator="equal">
      <formula>0</formula>
    </cfRule>
  </conditionalFormatting>
  <conditionalFormatting sqref="H44:K44">
    <cfRule type="cellIs" dxfId="1937" priority="1194" operator="equal">
      <formula>0</formula>
    </cfRule>
  </conditionalFormatting>
  <conditionalFormatting sqref="H45:K45">
    <cfRule type="cellIs" dxfId="1936" priority="1193" operator="equal">
      <formula>0</formula>
    </cfRule>
  </conditionalFormatting>
  <conditionalFormatting sqref="H46:K46">
    <cfRule type="cellIs" dxfId="1935" priority="1192" operator="equal">
      <formula>0</formula>
    </cfRule>
  </conditionalFormatting>
  <conditionalFormatting sqref="H47:K47">
    <cfRule type="cellIs" dxfId="1934" priority="1191" operator="equal">
      <formula>0</formula>
    </cfRule>
  </conditionalFormatting>
  <conditionalFormatting sqref="H48:K48">
    <cfRule type="cellIs" dxfId="1933" priority="1190" operator="equal">
      <formula>0</formula>
    </cfRule>
  </conditionalFormatting>
  <conditionalFormatting sqref="H49:K49">
    <cfRule type="cellIs" dxfId="1932" priority="1189" operator="equal">
      <formula>0</formula>
    </cfRule>
  </conditionalFormatting>
  <conditionalFormatting sqref="H50:K50">
    <cfRule type="cellIs" dxfId="1931" priority="1188" operator="equal">
      <formula>0</formula>
    </cfRule>
  </conditionalFormatting>
  <conditionalFormatting sqref="H51:K51">
    <cfRule type="cellIs" dxfId="1930" priority="1187" operator="equal">
      <formula>0</formula>
    </cfRule>
  </conditionalFormatting>
  <conditionalFormatting sqref="H52:K52">
    <cfRule type="cellIs" dxfId="1929" priority="1186" operator="equal">
      <formula>0</formula>
    </cfRule>
  </conditionalFormatting>
  <conditionalFormatting sqref="H53:K53">
    <cfRule type="cellIs" dxfId="1928" priority="1185" operator="equal">
      <formula>0</formula>
    </cfRule>
  </conditionalFormatting>
  <conditionalFormatting sqref="H54:K54">
    <cfRule type="cellIs" dxfId="1927" priority="1184" operator="equal">
      <formula>0</formula>
    </cfRule>
  </conditionalFormatting>
  <conditionalFormatting sqref="H55:K55">
    <cfRule type="cellIs" dxfId="1926" priority="1183" operator="equal">
      <formula>0</formula>
    </cfRule>
  </conditionalFormatting>
  <conditionalFormatting sqref="H56:K56">
    <cfRule type="cellIs" dxfId="1925" priority="1182" operator="equal">
      <formula>0</formula>
    </cfRule>
  </conditionalFormatting>
  <conditionalFormatting sqref="H57:K57">
    <cfRule type="cellIs" dxfId="1924" priority="1181" operator="equal">
      <formula>0</formula>
    </cfRule>
  </conditionalFormatting>
  <conditionalFormatting sqref="H58:K58">
    <cfRule type="cellIs" dxfId="1923" priority="1180" operator="equal">
      <formula>0</formula>
    </cfRule>
  </conditionalFormatting>
  <conditionalFormatting sqref="H59:K59">
    <cfRule type="cellIs" dxfId="1922" priority="1179" operator="equal">
      <formula>0</formula>
    </cfRule>
  </conditionalFormatting>
  <conditionalFormatting sqref="H60:K60">
    <cfRule type="cellIs" dxfId="1921" priority="1178" operator="equal">
      <formula>0</formula>
    </cfRule>
  </conditionalFormatting>
  <conditionalFormatting sqref="H61:K61">
    <cfRule type="cellIs" dxfId="1920" priority="1177" operator="equal">
      <formula>0</formula>
    </cfRule>
  </conditionalFormatting>
  <conditionalFormatting sqref="H62:K62">
    <cfRule type="cellIs" dxfId="1919" priority="1176" operator="equal">
      <formula>0</formula>
    </cfRule>
  </conditionalFormatting>
  <conditionalFormatting sqref="H63:K63">
    <cfRule type="cellIs" dxfId="1918" priority="1175" operator="equal">
      <formula>0</formula>
    </cfRule>
  </conditionalFormatting>
  <conditionalFormatting sqref="H64:K64">
    <cfRule type="cellIs" dxfId="1917" priority="1174" operator="equal">
      <formula>0</formula>
    </cfRule>
  </conditionalFormatting>
  <conditionalFormatting sqref="H65:K65">
    <cfRule type="cellIs" dxfId="1916" priority="1173" operator="equal">
      <formula>0</formula>
    </cfRule>
  </conditionalFormatting>
  <conditionalFormatting sqref="H66:K66">
    <cfRule type="cellIs" dxfId="1915" priority="1172" operator="equal">
      <formula>0</formula>
    </cfRule>
  </conditionalFormatting>
  <conditionalFormatting sqref="H67:K67">
    <cfRule type="cellIs" dxfId="1914" priority="1171" operator="equal">
      <formula>0</formula>
    </cfRule>
  </conditionalFormatting>
  <conditionalFormatting sqref="H68:K68">
    <cfRule type="cellIs" dxfId="1913" priority="1170" operator="equal">
      <formula>0</formula>
    </cfRule>
  </conditionalFormatting>
  <conditionalFormatting sqref="H69:K69">
    <cfRule type="cellIs" dxfId="1912" priority="1169" operator="equal">
      <formula>0</formula>
    </cfRule>
  </conditionalFormatting>
  <conditionalFormatting sqref="H70:K70">
    <cfRule type="cellIs" dxfId="1911" priority="1168" operator="equal">
      <formula>0</formula>
    </cfRule>
  </conditionalFormatting>
  <conditionalFormatting sqref="H71:K71">
    <cfRule type="cellIs" dxfId="1910" priority="1167" operator="equal">
      <formula>0</formula>
    </cfRule>
  </conditionalFormatting>
  <conditionalFormatting sqref="H72:K72">
    <cfRule type="cellIs" dxfId="1909" priority="1166" operator="equal">
      <formula>0</formula>
    </cfRule>
  </conditionalFormatting>
  <conditionalFormatting sqref="H73:K73">
    <cfRule type="cellIs" dxfId="1908" priority="1165" operator="equal">
      <formula>0</formula>
    </cfRule>
  </conditionalFormatting>
  <conditionalFormatting sqref="H74:K74">
    <cfRule type="cellIs" dxfId="1907" priority="1164" operator="equal">
      <formula>0</formula>
    </cfRule>
  </conditionalFormatting>
  <conditionalFormatting sqref="H75:K75">
    <cfRule type="cellIs" dxfId="1906" priority="1163" operator="equal">
      <formula>0</formula>
    </cfRule>
  </conditionalFormatting>
  <conditionalFormatting sqref="H76:K76">
    <cfRule type="cellIs" dxfId="1905" priority="1162" operator="equal">
      <formula>0</formula>
    </cfRule>
  </conditionalFormatting>
  <conditionalFormatting sqref="H77:K77">
    <cfRule type="cellIs" dxfId="1904" priority="1161" operator="equal">
      <formula>0</formula>
    </cfRule>
  </conditionalFormatting>
  <conditionalFormatting sqref="H78:K78">
    <cfRule type="cellIs" dxfId="1903" priority="1160" operator="equal">
      <formula>0</formula>
    </cfRule>
  </conditionalFormatting>
  <conditionalFormatting sqref="H79:K79">
    <cfRule type="cellIs" dxfId="1902" priority="1159" operator="equal">
      <formula>0</formula>
    </cfRule>
  </conditionalFormatting>
  <conditionalFormatting sqref="H80:K80">
    <cfRule type="cellIs" dxfId="1901" priority="1158" operator="equal">
      <formula>0</formula>
    </cfRule>
  </conditionalFormatting>
  <conditionalFormatting sqref="H81:K81">
    <cfRule type="cellIs" dxfId="1900" priority="1157" operator="equal">
      <formula>0</formula>
    </cfRule>
  </conditionalFormatting>
  <conditionalFormatting sqref="H82:K82">
    <cfRule type="cellIs" dxfId="1899" priority="1156" operator="equal">
      <formula>0</formula>
    </cfRule>
  </conditionalFormatting>
  <conditionalFormatting sqref="H83:K83">
    <cfRule type="cellIs" dxfId="1898" priority="1155" operator="equal">
      <formula>0</formula>
    </cfRule>
  </conditionalFormatting>
  <conditionalFormatting sqref="H84:K84">
    <cfRule type="cellIs" dxfId="1897" priority="1154" operator="equal">
      <formula>0</formula>
    </cfRule>
  </conditionalFormatting>
  <conditionalFormatting sqref="H85:K85">
    <cfRule type="cellIs" dxfId="1896" priority="1153" operator="equal">
      <formula>0</formula>
    </cfRule>
  </conditionalFormatting>
  <conditionalFormatting sqref="H86:K86">
    <cfRule type="cellIs" dxfId="1895" priority="1152" operator="equal">
      <formula>0</formula>
    </cfRule>
  </conditionalFormatting>
  <conditionalFormatting sqref="H87:K87">
    <cfRule type="cellIs" dxfId="1894" priority="1151" operator="equal">
      <formula>0</formula>
    </cfRule>
  </conditionalFormatting>
  <conditionalFormatting sqref="H88:K88">
    <cfRule type="cellIs" dxfId="1893" priority="1150" operator="equal">
      <formula>0</formula>
    </cfRule>
  </conditionalFormatting>
  <conditionalFormatting sqref="H89:K89">
    <cfRule type="cellIs" dxfId="1892" priority="1149" operator="equal">
      <formula>0</formula>
    </cfRule>
  </conditionalFormatting>
  <conditionalFormatting sqref="H90:K90">
    <cfRule type="cellIs" dxfId="1891" priority="1148" operator="equal">
      <formula>0</formula>
    </cfRule>
  </conditionalFormatting>
  <conditionalFormatting sqref="M3:P3">
    <cfRule type="cellIs" dxfId="1890" priority="1147" operator="equal">
      <formula>0</formula>
    </cfRule>
  </conditionalFormatting>
  <conditionalFormatting sqref="M4:P4">
    <cfRule type="cellIs" dxfId="1889" priority="1146" operator="equal">
      <formula>0</formula>
    </cfRule>
  </conditionalFormatting>
  <conditionalFormatting sqref="M5:P5">
    <cfRule type="cellIs" dxfId="1888" priority="1145" operator="equal">
      <formula>0</formula>
    </cfRule>
  </conditionalFormatting>
  <conditionalFormatting sqref="M6:P6">
    <cfRule type="cellIs" dxfId="1887" priority="1144" operator="equal">
      <formula>0</formula>
    </cfRule>
  </conditionalFormatting>
  <conditionalFormatting sqref="M7:P7">
    <cfRule type="cellIs" dxfId="1886" priority="1143" operator="equal">
      <formula>0</formula>
    </cfRule>
  </conditionalFormatting>
  <conditionalFormatting sqref="M8:P8">
    <cfRule type="cellIs" dxfId="1885" priority="1142" operator="equal">
      <formula>0</formula>
    </cfRule>
  </conditionalFormatting>
  <conditionalFormatting sqref="M9:P9">
    <cfRule type="cellIs" dxfId="1884" priority="1141" operator="equal">
      <formula>0</formula>
    </cfRule>
  </conditionalFormatting>
  <conditionalFormatting sqref="M10:P10">
    <cfRule type="cellIs" dxfId="1883" priority="1140" operator="equal">
      <formula>0</formula>
    </cfRule>
  </conditionalFormatting>
  <conditionalFormatting sqref="M11:P11">
    <cfRule type="cellIs" dxfId="1882" priority="1139" operator="equal">
      <formula>0</formula>
    </cfRule>
  </conditionalFormatting>
  <conditionalFormatting sqref="M12:P12">
    <cfRule type="cellIs" dxfId="1881" priority="1138" operator="equal">
      <formula>0</formula>
    </cfRule>
  </conditionalFormatting>
  <conditionalFormatting sqref="M13:P13">
    <cfRule type="cellIs" dxfId="1880" priority="1137" operator="equal">
      <formula>0</formula>
    </cfRule>
  </conditionalFormatting>
  <conditionalFormatting sqref="M14:P14">
    <cfRule type="cellIs" dxfId="1879" priority="1136" operator="equal">
      <formula>0</formula>
    </cfRule>
  </conditionalFormatting>
  <conditionalFormatting sqref="M15:P15">
    <cfRule type="cellIs" dxfId="1878" priority="1135" operator="equal">
      <formula>0</formula>
    </cfRule>
  </conditionalFormatting>
  <conditionalFormatting sqref="M16:P16">
    <cfRule type="cellIs" dxfId="1877" priority="1134" operator="equal">
      <formula>0</formula>
    </cfRule>
  </conditionalFormatting>
  <conditionalFormatting sqref="M17:P17">
    <cfRule type="cellIs" dxfId="1876" priority="1133" operator="equal">
      <formula>0</formula>
    </cfRule>
  </conditionalFormatting>
  <conditionalFormatting sqref="M18:P18">
    <cfRule type="cellIs" dxfId="1875" priority="1132" operator="equal">
      <formula>0</formula>
    </cfRule>
  </conditionalFormatting>
  <conditionalFormatting sqref="M19:P19">
    <cfRule type="cellIs" dxfId="1874" priority="1131" operator="equal">
      <formula>0</formula>
    </cfRule>
  </conditionalFormatting>
  <conditionalFormatting sqref="M20:P20">
    <cfRule type="cellIs" dxfId="1873" priority="1130" operator="equal">
      <formula>0</formula>
    </cfRule>
  </conditionalFormatting>
  <conditionalFormatting sqref="M21:P21">
    <cfRule type="cellIs" dxfId="1872" priority="1129" operator="equal">
      <formula>0</formula>
    </cfRule>
  </conditionalFormatting>
  <conditionalFormatting sqref="M22:P22">
    <cfRule type="cellIs" dxfId="1871" priority="1128" operator="equal">
      <formula>0</formula>
    </cfRule>
  </conditionalFormatting>
  <conditionalFormatting sqref="M23:P23">
    <cfRule type="cellIs" dxfId="1870" priority="1127" operator="equal">
      <formula>0</formula>
    </cfRule>
  </conditionalFormatting>
  <conditionalFormatting sqref="M24:P24">
    <cfRule type="cellIs" dxfId="1869" priority="1126" operator="equal">
      <formula>0</formula>
    </cfRule>
  </conditionalFormatting>
  <conditionalFormatting sqref="M25:P25">
    <cfRule type="cellIs" dxfId="1868" priority="1125" operator="equal">
      <formula>0</formula>
    </cfRule>
  </conditionalFormatting>
  <conditionalFormatting sqref="M26:P26">
    <cfRule type="cellIs" dxfId="1867" priority="1124" operator="equal">
      <formula>0</formula>
    </cfRule>
  </conditionalFormatting>
  <conditionalFormatting sqref="M27:P27">
    <cfRule type="cellIs" dxfId="1866" priority="1123" operator="equal">
      <formula>0</formula>
    </cfRule>
  </conditionalFormatting>
  <conditionalFormatting sqref="M28:P28">
    <cfRule type="cellIs" dxfId="1865" priority="1122" operator="equal">
      <formula>0</formula>
    </cfRule>
  </conditionalFormatting>
  <conditionalFormatting sqref="M29:P29">
    <cfRule type="cellIs" dxfId="1864" priority="1121" operator="equal">
      <formula>0</formula>
    </cfRule>
  </conditionalFormatting>
  <conditionalFormatting sqref="M30:P30">
    <cfRule type="cellIs" dxfId="1863" priority="1120" operator="equal">
      <formula>0</formula>
    </cfRule>
  </conditionalFormatting>
  <conditionalFormatting sqref="M31:P31">
    <cfRule type="cellIs" dxfId="1862" priority="1119" operator="equal">
      <formula>0</formula>
    </cfRule>
  </conditionalFormatting>
  <conditionalFormatting sqref="M32:P32">
    <cfRule type="cellIs" dxfId="1861" priority="1118" operator="equal">
      <formula>0</formula>
    </cfRule>
  </conditionalFormatting>
  <conditionalFormatting sqref="M33:P33">
    <cfRule type="cellIs" dxfId="1860" priority="1117" operator="equal">
      <formula>0</formula>
    </cfRule>
  </conditionalFormatting>
  <conditionalFormatting sqref="M34:P34">
    <cfRule type="cellIs" dxfId="1859" priority="1116" operator="equal">
      <formula>0</formula>
    </cfRule>
  </conditionalFormatting>
  <conditionalFormatting sqref="M35:P35">
    <cfRule type="cellIs" dxfId="1858" priority="1115" operator="equal">
      <formula>0</formula>
    </cfRule>
  </conditionalFormatting>
  <conditionalFormatting sqref="M36:P36">
    <cfRule type="cellIs" dxfId="1857" priority="1114" operator="equal">
      <formula>0</formula>
    </cfRule>
  </conditionalFormatting>
  <conditionalFormatting sqref="M37:P37">
    <cfRule type="cellIs" dxfId="1856" priority="1113" operator="equal">
      <formula>0</formula>
    </cfRule>
  </conditionalFormatting>
  <conditionalFormatting sqref="M38:P38">
    <cfRule type="cellIs" dxfId="1855" priority="1112" operator="equal">
      <formula>0</formula>
    </cfRule>
  </conditionalFormatting>
  <conditionalFormatting sqref="M39:P39">
    <cfRule type="cellIs" dxfId="1854" priority="1111" operator="equal">
      <formula>0</formula>
    </cfRule>
  </conditionalFormatting>
  <conditionalFormatting sqref="M40:P40">
    <cfRule type="cellIs" dxfId="1853" priority="1110" operator="equal">
      <formula>0</formula>
    </cfRule>
  </conditionalFormatting>
  <conditionalFormatting sqref="M41:P41">
    <cfRule type="cellIs" dxfId="1852" priority="1109" operator="equal">
      <formula>0</formula>
    </cfRule>
  </conditionalFormatting>
  <conditionalFormatting sqref="M42:P42">
    <cfRule type="cellIs" dxfId="1851" priority="1108" operator="equal">
      <formula>0</formula>
    </cfRule>
  </conditionalFormatting>
  <conditionalFormatting sqref="M43:P43">
    <cfRule type="cellIs" dxfId="1850" priority="1107" operator="equal">
      <formula>0</formula>
    </cfRule>
  </conditionalFormatting>
  <conditionalFormatting sqref="M44:P44">
    <cfRule type="cellIs" dxfId="1849" priority="1106" operator="equal">
      <formula>0</formula>
    </cfRule>
  </conditionalFormatting>
  <conditionalFormatting sqref="M45:P45">
    <cfRule type="cellIs" dxfId="1848" priority="1105" operator="equal">
      <formula>0</formula>
    </cfRule>
  </conditionalFormatting>
  <conditionalFormatting sqref="M46:P46">
    <cfRule type="cellIs" dxfId="1847" priority="1104" operator="equal">
      <formula>0</formula>
    </cfRule>
  </conditionalFormatting>
  <conditionalFormatting sqref="M47:P47">
    <cfRule type="cellIs" dxfId="1846" priority="1103" operator="equal">
      <formula>0</formula>
    </cfRule>
  </conditionalFormatting>
  <conditionalFormatting sqref="M48:P48">
    <cfRule type="cellIs" dxfId="1845" priority="1102" operator="equal">
      <formula>0</formula>
    </cfRule>
  </conditionalFormatting>
  <conditionalFormatting sqref="M49:P49">
    <cfRule type="cellIs" dxfId="1844" priority="1101" operator="equal">
      <formula>0</formula>
    </cfRule>
  </conditionalFormatting>
  <conditionalFormatting sqref="M50:P50">
    <cfRule type="cellIs" dxfId="1843" priority="1100" operator="equal">
      <formula>0</formula>
    </cfRule>
  </conditionalFormatting>
  <conditionalFormatting sqref="M51:P51">
    <cfRule type="cellIs" dxfId="1842" priority="1099" operator="equal">
      <formula>0</formula>
    </cfRule>
  </conditionalFormatting>
  <conditionalFormatting sqref="M52:P52">
    <cfRule type="cellIs" dxfId="1841" priority="1098" operator="equal">
      <formula>0</formula>
    </cfRule>
  </conditionalFormatting>
  <conditionalFormatting sqref="M53:P53">
    <cfRule type="cellIs" dxfId="1840" priority="1097" operator="equal">
      <formula>0</formula>
    </cfRule>
  </conditionalFormatting>
  <conditionalFormatting sqref="M54:P54">
    <cfRule type="cellIs" dxfId="1839" priority="1096" operator="equal">
      <formula>0</formula>
    </cfRule>
  </conditionalFormatting>
  <conditionalFormatting sqref="M55:P55">
    <cfRule type="cellIs" dxfId="1838" priority="1095" operator="equal">
      <formula>0</formula>
    </cfRule>
  </conditionalFormatting>
  <conditionalFormatting sqref="M56:P56">
    <cfRule type="cellIs" dxfId="1837" priority="1094" operator="equal">
      <formula>0</formula>
    </cfRule>
  </conditionalFormatting>
  <conditionalFormatting sqref="M57:P57">
    <cfRule type="cellIs" dxfId="1836" priority="1093" operator="equal">
      <formula>0</formula>
    </cfRule>
  </conditionalFormatting>
  <conditionalFormatting sqref="M58:P58">
    <cfRule type="cellIs" dxfId="1835" priority="1092" operator="equal">
      <formula>0</formula>
    </cfRule>
  </conditionalFormatting>
  <conditionalFormatting sqref="M59:P59">
    <cfRule type="cellIs" dxfId="1834" priority="1091" operator="equal">
      <formula>0</formula>
    </cfRule>
  </conditionalFormatting>
  <conditionalFormatting sqref="M60:P60">
    <cfRule type="cellIs" dxfId="1833" priority="1090" operator="equal">
      <formula>0</formula>
    </cfRule>
  </conditionalFormatting>
  <conditionalFormatting sqref="M61:P61">
    <cfRule type="cellIs" dxfId="1832" priority="1089" operator="equal">
      <formula>0</formula>
    </cfRule>
  </conditionalFormatting>
  <conditionalFormatting sqref="M62:P62">
    <cfRule type="cellIs" dxfId="1831" priority="1088" operator="equal">
      <formula>0</formula>
    </cfRule>
  </conditionalFormatting>
  <conditionalFormatting sqref="M63:P63">
    <cfRule type="cellIs" dxfId="1830" priority="1087" operator="equal">
      <formula>0</formula>
    </cfRule>
  </conditionalFormatting>
  <conditionalFormatting sqref="M64:P64">
    <cfRule type="cellIs" dxfId="1829" priority="1086" operator="equal">
      <formula>0</formula>
    </cfRule>
  </conditionalFormatting>
  <conditionalFormatting sqref="M65:P65">
    <cfRule type="cellIs" dxfId="1828" priority="1085" operator="equal">
      <formula>0</formula>
    </cfRule>
  </conditionalFormatting>
  <conditionalFormatting sqref="M66:P66">
    <cfRule type="cellIs" dxfId="1827" priority="1084" operator="equal">
      <formula>0</formula>
    </cfRule>
  </conditionalFormatting>
  <conditionalFormatting sqref="M67:P67">
    <cfRule type="cellIs" dxfId="1826" priority="1083" operator="equal">
      <formula>0</formula>
    </cfRule>
  </conditionalFormatting>
  <conditionalFormatting sqref="M68:P68">
    <cfRule type="cellIs" dxfId="1825" priority="1082" operator="equal">
      <formula>0</formula>
    </cfRule>
  </conditionalFormatting>
  <conditionalFormatting sqref="M69:P69">
    <cfRule type="cellIs" dxfId="1824" priority="1081" operator="equal">
      <formula>0</formula>
    </cfRule>
  </conditionalFormatting>
  <conditionalFormatting sqref="M70:P70">
    <cfRule type="cellIs" dxfId="1823" priority="1080" operator="equal">
      <formula>0</formula>
    </cfRule>
  </conditionalFormatting>
  <conditionalFormatting sqref="M71:P71">
    <cfRule type="cellIs" dxfId="1822" priority="1079" operator="equal">
      <formula>0</formula>
    </cfRule>
  </conditionalFormatting>
  <conditionalFormatting sqref="M72:P72">
    <cfRule type="cellIs" dxfId="1821" priority="1078" operator="equal">
      <formula>0</formula>
    </cfRule>
  </conditionalFormatting>
  <conditionalFormatting sqref="M73:P73">
    <cfRule type="cellIs" dxfId="1820" priority="1077" operator="equal">
      <formula>0</formula>
    </cfRule>
  </conditionalFormatting>
  <conditionalFormatting sqref="M74:P74">
    <cfRule type="cellIs" dxfId="1819" priority="1076" operator="equal">
      <formula>0</formula>
    </cfRule>
  </conditionalFormatting>
  <conditionalFormatting sqref="M75:P75">
    <cfRule type="cellIs" dxfId="1818" priority="1075" operator="equal">
      <formula>0</formula>
    </cfRule>
  </conditionalFormatting>
  <conditionalFormatting sqref="M76:P76">
    <cfRule type="cellIs" dxfId="1817" priority="1074" operator="equal">
      <formula>0</formula>
    </cfRule>
  </conditionalFormatting>
  <conditionalFormatting sqref="M77:P77">
    <cfRule type="cellIs" dxfId="1816" priority="1073" operator="equal">
      <formula>0</formula>
    </cfRule>
  </conditionalFormatting>
  <conditionalFormatting sqref="M78:P78">
    <cfRule type="cellIs" dxfId="1815" priority="1072" operator="equal">
      <formula>0</formula>
    </cfRule>
  </conditionalFormatting>
  <conditionalFormatting sqref="M79:P79">
    <cfRule type="cellIs" dxfId="1814" priority="1071" operator="equal">
      <formula>0</formula>
    </cfRule>
  </conditionalFormatting>
  <conditionalFormatting sqref="M80:P80">
    <cfRule type="cellIs" dxfId="1813" priority="1070" operator="equal">
      <formula>0</formula>
    </cfRule>
  </conditionalFormatting>
  <conditionalFormatting sqref="M81:P81">
    <cfRule type="cellIs" dxfId="1812" priority="1069" operator="equal">
      <formula>0</formula>
    </cfRule>
  </conditionalFormatting>
  <conditionalFormatting sqref="M82:P82">
    <cfRule type="cellIs" dxfId="1811" priority="1068" operator="equal">
      <formula>0</formula>
    </cfRule>
  </conditionalFormatting>
  <conditionalFormatting sqref="M83:P83">
    <cfRule type="cellIs" dxfId="1810" priority="1067" operator="equal">
      <formula>0</formula>
    </cfRule>
  </conditionalFormatting>
  <conditionalFormatting sqref="M84:P84">
    <cfRule type="cellIs" dxfId="1809" priority="1066" operator="equal">
      <formula>0</formula>
    </cfRule>
  </conditionalFormatting>
  <conditionalFormatting sqref="M85:P85">
    <cfRule type="cellIs" dxfId="1808" priority="1065" operator="equal">
      <formula>0</formula>
    </cfRule>
  </conditionalFormatting>
  <conditionalFormatting sqref="M86:P86">
    <cfRule type="cellIs" dxfId="1807" priority="1064" operator="equal">
      <formula>0</formula>
    </cfRule>
  </conditionalFormatting>
  <conditionalFormatting sqref="M87:P87">
    <cfRule type="cellIs" dxfId="1806" priority="1063" operator="equal">
      <formula>0</formula>
    </cfRule>
  </conditionalFormatting>
  <conditionalFormatting sqref="M88:P88">
    <cfRule type="cellIs" dxfId="1805" priority="1062" operator="equal">
      <formula>0</formula>
    </cfRule>
  </conditionalFormatting>
  <conditionalFormatting sqref="M89:P89">
    <cfRule type="cellIs" dxfId="1804" priority="1061" operator="equal">
      <formula>0</formula>
    </cfRule>
  </conditionalFormatting>
  <conditionalFormatting sqref="M90:P90">
    <cfRule type="cellIs" dxfId="1803" priority="1060" operator="equal">
      <formula>0</formula>
    </cfRule>
  </conditionalFormatting>
  <conditionalFormatting sqref="R3:U3">
    <cfRule type="cellIs" dxfId="1802" priority="1059" operator="equal">
      <formula>0</formula>
    </cfRule>
  </conditionalFormatting>
  <conditionalFormatting sqref="R4:U4">
    <cfRule type="cellIs" dxfId="1801" priority="1058" operator="equal">
      <formula>0</formula>
    </cfRule>
  </conditionalFormatting>
  <conditionalFormatting sqref="R5:U5">
    <cfRule type="cellIs" dxfId="1800" priority="1057" operator="equal">
      <formula>0</formula>
    </cfRule>
  </conditionalFormatting>
  <conditionalFormatting sqref="R6:U6">
    <cfRule type="cellIs" dxfId="1799" priority="1056" operator="equal">
      <formula>0</formula>
    </cfRule>
  </conditionalFormatting>
  <conditionalFormatting sqref="R7:U7">
    <cfRule type="cellIs" dxfId="1798" priority="1055" operator="equal">
      <formula>0</formula>
    </cfRule>
  </conditionalFormatting>
  <conditionalFormatting sqref="R8:U8">
    <cfRule type="cellIs" dxfId="1797" priority="1054" operator="equal">
      <formula>0</formula>
    </cfRule>
  </conditionalFormatting>
  <conditionalFormatting sqref="R9:U9">
    <cfRule type="cellIs" dxfId="1796" priority="1053" operator="equal">
      <formula>0</formula>
    </cfRule>
  </conditionalFormatting>
  <conditionalFormatting sqref="R10:U10">
    <cfRule type="cellIs" dxfId="1795" priority="1052" operator="equal">
      <formula>0</formula>
    </cfRule>
  </conditionalFormatting>
  <conditionalFormatting sqref="R11:U11">
    <cfRule type="cellIs" dxfId="1794" priority="1051" operator="equal">
      <formula>0</formula>
    </cfRule>
  </conditionalFormatting>
  <conditionalFormatting sqref="R12:U12">
    <cfRule type="cellIs" dxfId="1793" priority="1050" operator="equal">
      <formula>0</formula>
    </cfRule>
  </conditionalFormatting>
  <conditionalFormatting sqref="R13:U13">
    <cfRule type="cellIs" dxfId="1792" priority="1049" operator="equal">
      <formula>0</formula>
    </cfRule>
  </conditionalFormatting>
  <conditionalFormatting sqref="R14:U14">
    <cfRule type="cellIs" dxfId="1791" priority="1048" operator="equal">
      <formula>0</formula>
    </cfRule>
  </conditionalFormatting>
  <conditionalFormatting sqref="R15:U15">
    <cfRule type="cellIs" dxfId="1790" priority="1047" operator="equal">
      <formula>0</formula>
    </cfRule>
  </conditionalFormatting>
  <conditionalFormatting sqref="R16:U16">
    <cfRule type="cellIs" dxfId="1789" priority="1046" operator="equal">
      <formula>0</formula>
    </cfRule>
  </conditionalFormatting>
  <conditionalFormatting sqref="R17:U17">
    <cfRule type="cellIs" dxfId="1788" priority="1045" operator="equal">
      <formula>0</formula>
    </cfRule>
  </conditionalFormatting>
  <conditionalFormatting sqref="R18:U18">
    <cfRule type="cellIs" dxfId="1787" priority="1044" operator="equal">
      <formula>0</formula>
    </cfRule>
  </conditionalFormatting>
  <conditionalFormatting sqref="R19:U19">
    <cfRule type="cellIs" dxfId="1786" priority="1043" operator="equal">
      <formula>0</formula>
    </cfRule>
  </conditionalFormatting>
  <conditionalFormatting sqref="R20:U20">
    <cfRule type="cellIs" dxfId="1785" priority="1042" operator="equal">
      <formula>0</formula>
    </cfRule>
  </conditionalFormatting>
  <conditionalFormatting sqref="R21:U21">
    <cfRule type="cellIs" dxfId="1784" priority="1041" operator="equal">
      <formula>0</formula>
    </cfRule>
  </conditionalFormatting>
  <conditionalFormatting sqref="R22:U22">
    <cfRule type="cellIs" dxfId="1783" priority="1040" operator="equal">
      <formula>0</formula>
    </cfRule>
  </conditionalFormatting>
  <conditionalFormatting sqref="R23:U23">
    <cfRule type="cellIs" dxfId="1782" priority="1039" operator="equal">
      <formula>0</formula>
    </cfRule>
  </conditionalFormatting>
  <conditionalFormatting sqref="R24:U24">
    <cfRule type="cellIs" dxfId="1781" priority="1038" operator="equal">
      <formula>0</formula>
    </cfRule>
  </conditionalFormatting>
  <conditionalFormatting sqref="R25:U25">
    <cfRule type="cellIs" dxfId="1780" priority="1037" operator="equal">
      <formula>0</formula>
    </cfRule>
  </conditionalFormatting>
  <conditionalFormatting sqref="R26:U26">
    <cfRule type="cellIs" dxfId="1779" priority="1036" operator="equal">
      <formula>0</formula>
    </cfRule>
  </conditionalFormatting>
  <conditionalFormatting sqref="R27:U27">
    <cfRule type="cellIs" dxfId="1778" priority="1035" operator="equal">
      <formula>0</formula>
    </cfRule>
  </conditionalFormatting>
  <conditionalFormatting sqref="R28:U28">
    <cfRule type="cellIs" dxfId="1777" priority="1034" operator="equal">
      <formula>0</formula>
    </cfRule>
  </conditionalFormatting>
  <conditionalFormatting sqref="R29:U29">
    <cfRule type="cellIs" dxfId="1776" priority="1033" operator="equal">
      <formula>0</formula>
    </cfRule>
  </conditionalFormatting>
  <conditionalFormatting sqref="R30:U30">
    <cfRule type="cellIs" dxfId="1775" priority="1032" operator="equal">
      <formula>0</formula>
    </cfRule>
  </conditionalFormatting>
  <conditionalFormatting sqref="R31:U31">
    <cfRule type="cellIs" dxfId="1774" priority="1031" operator="equal">
      <formula>0</formula>
    </cfRule>
  </conditionalFormatting>
  <conditionalFormatting sqref="R32:U32">
    <cfRule type="cellIs" dxfId="1773" priority="1030" operator="equal">
      <formula>0</formula>
    </cfRule>
  </conditionalFormatting>
  <conditionalFormatting sqref="R33:U33">
    <cfRule type="cellIs" dxfId="1772" priority="1029" operator="equal">
      <formula>0</formula>
    </cfRule>
  </conditionalFormatting>
  <conditionalFormatting sqref="R34:U34">
    <cfRule type="cellIs" dxfId="1771" priority="1028" operator="equal">
      <formula>0</formula>
    </cfRule>
  </conditionalFormatting>
  <conditionalFormatting sqref="R35:U35">
    <cfRule type="cellIs" dxfId="1770" priority="1027" operator="equal">
      <formula>0</formula>
    </cfRule>
  </conditionalFormatting>
  <conditionalFormatting sqref="R36:U36">
    <cfRule type="cellIs" dxfId="1769" priority="1026" operator="equal">
      <formula>0</formula>
    </cfRule>
  </conditionalFormatting>
  <conditionalFormatting sqref="R37:U37">
    <cfRule type="cellIs" dxfId="1768" priority="1025" operator="equal">
      <formula>0</formula>
    </cfRule>
  </conditionalFormatting>
  <conditionalFormatting sqref="R38:U38">
    <cfRule type="cellIs" dxfId="1767" priority="1024" operator="equal">
      <formula>0</formula>
    </cfRule>
  </conditionalFormatting>
  <conditionalFormatting sqref="R39:U39">
    <cfRule type="cellIs" dxfId="1766" priority="1023" operator="equal">
      <formula>0</formula>
    </cfRule>
  </conditionalFormatting>
  <conditionalFormatting sqref="R40:U40">
    <cfRule type="cellIs" dxfId="1765" priority="1022" operator="equal">
      <formula>0</formula>
    </cfRule>
  </conditionalFormatting>
  <conditionalFormatting sqref="R41:U41">
    <cfRule type="cellIs" dxfId="1764" priority="1021" operator="equal">
      <formula>0</formula>
    </cfRule>
  </conditionalFormatting>
  <conditionalFormatting sqref="R42:U42">
    <cfRule type="cellIs" dxfId="1763" priority="1020" operator="equal">
      <formula>0</formula>
    </cfRule>
  </conditionalFormatting>
  <conditionalFormatting sqref="R43:U43">
    <cfRule type="cellIs" dxfId="1762" priority="1019" operator="equal">
      <formula>0</formula>
    </cfRule>
  </conditionalFormatting>
  <conditionalFormatting sqref="R44:U44">
    <cfRule type="cellIs" dxfId="1761" priority="1018" operator="equal">
      <formula>0</formula>
    </cfRule>
  </conditionalFormatting>
  <conditionalFormatting sqref="R45:U45">
    <cfRule type="cellIs" dxfId="1760" priority="1017" operator="equal">
      <formula>0</formula>
    </cfRule>
  </conditionalFormatting>
  <conditionalFormatting sqref="R46:U46">
    <cfRule type="cellIs" dxfId="1759" priority="1016" operator="equal">
      <formula>0</formula>
    </cfRule>
  </conditionalFormatting>
  <conditionalFormatting sqref="R47:U47">
    <cfRule type="cellIs" dxfId="1758" priority="1015" operator="equal">
      <formula>0</formula>
    </cfRule>
  </conditionalFormatting>
  <conditionalFormatting sqref="R48:U48">
    <cfRule type="cellIs" dxfId="1757" priority="1014" operator="equal">
      <formula>0</formula>
    </cfRule>
  </conditionalFormatting>
  <conditionalFormatting sqref="R49:U49">
    <cfRule type="cellIs" dxfId="1756" priority="1013" operator="equal">
      <formula>0</formula>
    </cfRule>
  </conditionalFormatting>
  <conditionalFormatting sqref="R50:U50">
    <cfRule type="cellIs" dxfId="1755" priority="1012" operator="equal">
      <formula>0</formula>
    </cfRule>
  </conditionalFormatting>
  <conditionalFormatting sqref="R51:U51">
    <cfRule type="cellIs" dxfId="1754" priority="1011" operator="equal">
      <formula>0</formula>
    </cfRule>
  </conditionalFormatting>
  <conditionalFormatting sqref="R52:U52">
    <cfRule type="cellIs" dxfId="1753" priority="1010" operator="equal">
      <formula>0</formula>
    </cfRule>
  </conditionalFormatting>
  <conditionalFormatting sqref="R53:U53">
    <cfRule type="cellIs" dxfId="1752" priority="1009" operator="equal">
      <formula>0</formula>
    </cfRule>
  </conditionalFormatting>
  <conditionalFormatting sqref="R54:U54">
    <cfRule type="cellIs" dxfId="1751" priority="1008" operator="equal">
      <formula>0</formula>
    </cfRule>
  </conditionalFormatting>
  <conditionalFormatting sqref="R55:U55">
    <cfRule type="cellIs" dxfId="1750" priority="1007" operator="equal">
      <formula>0</formula>
    </cfRule>
  </conditionalFormatting>
  <conditionalFormatting sqref="R56:U56">
    <cfRule type="cellIs" dxfId="1749" priority="1006" operator="equal">
      <formula>0</formula>
    </cfRule>
  </conditionalFormatting>
  <conditionalFormatting sqref="R57:U57">
    <cfRule type="cellIs" dxfId="1748" priority="1005" operator="equal">
      <formula>0</formula>
    </cfRule>
  </conditionalFormatting>
  <conditionalFormatting sqref="R58:U58">
    <cfRule type="cellIs" dxfId="1747" priority="1004" operator="equal">
      <formula>0</formula>
    </cfRule>
  </conditionalFormatting>
  <conditionalFormatting sqref="R59:U59">
    <cfRule type="cellIs" dxfId="1746" priority="1003" operator="equal">
      <formula>0</formula>
    </cfRule>
  </conditionalFormatting>
  <conditionalFormatting sqref="R60:U60">
    <cfRule type="cellIs" dxfId="1745" priority="1002" operator="equal">
      <formula>0</formula>
    </cfRule>
  </conditionalFormatting>
  <conditionalFormatting sqref="R61:U61">
    <cfRule type="cellIs" dxfId="1744" priority="1001" operator="equal">
      <formula>0</formula>
    </cfRule>
  </conditionalFormatting>
  <conditionalFormatting sqref="R62:U62">
    <cfRule type="cellIs" dxfId="1743" priority="1000" operator="equal">
      <formula>0</formula>
    </cfRule>
  </conditionalFormatting>
  <conditionalFormatting sqref="R63:U63">
    <cfRule type="cellIs" dxfId="1742" priority="999" operator="equal">
      <formula>0</formula>
    </cfRule>
  </conditionalFormatting>
  <conditionalFormatting sqref="R64:U64">
    <cfRule type="cellIs" dxfId="1741" priority="998" operator="equal">
      <formula>0</formula>
    </cfRule>
  </conditionalFormatting>
  <conditionalFormatting sqref="R65:U65">
    <cfRule type="cellIs" dxfId="1740" priority="997" operator="equal">
      <formula>0</formula>
    </cfRule>
  </conditionalFormatting>
  <conditionalFormatting sqref="R66:U66">
    <cfRule type="cellIs" dxfId="1739" priority="996" operator="equal">
      <formula>0</formula>
    </cfRule>
  </conditionalFormatting>
  <conditionalFormatting sqref="R67:U67">
    <cfRule type="cellIs" dxfId="1738" priority="995" operator="equal">
      <formula>0</formula>
    </cfRule>
  </conditionalFormatting>
  <conditionalFormatting sqref="R68:U68">
    <cfRule type="cellIs" dxfId="1737" priority="994" operator="equal">
      <formula>0</formula>
    </cfRule>
  </conditionalFormatting>
  <conditionalFormatting sqref="R69:U69">
    <cfRule type="cellIs" dxfId="1736" priority="993" operator="equal">
      <formula>0</formula>
    </cfRule>
  </conditionalFormatting>
  <conditionalFormatting sqref="R70:U70">
    <cfRule type="cellIs" dxfId="1735" priority="992" operator="equal">
      <formula>0</formula>
    </cfRule>
  </conditionalFormatting>
  <conditionalFormatting sqref="R71:U71">
    <cfRule type="cellIs" dxfId="1734" priority="991" operator="equal">
      <formula>0</formula>
    </cfRule>
  </conditionalFormatting>
  <conditionalFormatting sqref="R72:U72">
    <cfRule type="cellIs" dxfId="1733" priority="990" operator="equal">
      <formula>0</formula>
    </cfRule>
  </conditionalFormatting>
  <conditionalFormatting sqref="R73:U73">
    <cfRule type="cellIs" dxfId="1732" priority="989" operator="equal">
      <formula>0</formula>
    </cfRule>
  </conditionalFormatting>
  <conditionalFormatting sqref="R74:U74">
    <cfRule type="cellIs" dxfId="1731" priority="988" operator="equal">
      <formula>0</formula>
    </cfRule>
  </conditionalFormatting>
  <conditionalFormatting sqref="R75:U75">
    <cfRule type="cellIs" dxfId="1730" priority="987" operator="equal">
      <formula>0</formula>
    </cfRule>
  </conditionalFormatting>
  <conditionalFormatting sqref="R76:U76">
    <cfRule type="cellIs" dxfId="1729" priority="986" operator="equal">
      <formula>0</formula>
    </cfRule>
  </conditionalFormatting>
  <conditionalFormatting sqref="R77:U77">
    <cfRule type="cellIs" dxfId="1728" priority="985" operator="equal">
      <formula>0</formula>
    </cfRule>
  </conditionalFormatting>
  <conditionalFormatting sqref="R78:U78">
    <cfRule type="cellIs" dxfId="1727" priority="984" operator="equal">
      <formula>0</formula>
    </cfRule>
  </conditionalFormatting>
  <conditionalFormatting sqref="R79:U79">
    <cfRule type="cellIs" dxfId="1726" priority="983" operator="equal">
      <formula>0</formula>
    </cfRule>
  </conditionalFormatting>
  <conditionalFormatting sqref="R80:U80">
    <cfRule type="cellIs" dxfId="1725" priority="982" operator="equal">
      <formula>0</formula>
    </cfRule>
  </conditionalFormatting>
  <conditionalFormatting sqref="R81:U81">
    <cfRule type="cellIs" dxfId="1724" priority="981" operator="equal">
      <formula>0</formula>
    </cfRule>
  </conditionalFormatting>
  <conditionalFormatting sqref="R82:U82">
    <cfRule type="cellIs" dxfId="1723" priority="980" operator="equal">
      <formula>0</formula>
    </cfRule>
  </conditionalFormatting>
  <conditionalFormatting sqref="R83:U83">
    <cfRule type="cellIs" dxfId="1722" priority="979" operator="equal">
      <formula>0</formula>
    </cfRule>
  </conditionalFormatting>
  <conditionalFormatting sqref="R84:U84">
    <cfRule type="cellIs" dxfId="1721" priority="978" operator="equal">
      <formula>0</formula>
    </cfRule>
  </conditionalFormatting>
  <conditionalFormatting sqref="R85:U85">
    <cfRule type="cellIs" dxfId="1720" priority="977" operator="equal">
      <formula>0</formula>
    </cfRule>
  </conditionalFormatting>
  <conditionalFormatting sqref="R86:U86">
    <cfRule type="cellIs" dxfId="1719" priority="976" operator="equal">
      <formula>0</formula>
    </cfRule>
  </conditionalFormatting>
  <conditionalFormatting sqref="R87:U87">
    <cfRule type="cellIs" dxfId="1718" priority="975" operator="equal">
      <formula>0</formula>
    </cfRule>
  </conditionalFormatting>
  <conditionalFormatting sqref="R88:U88">
    <cfRule type="cellIs" dxfId="1717" priority="974" operator="equal">
      <formula>0</formula>
    </cfRule>
  </conditionalFormatting>
  <conditionalFormatting sqref="R89:U89">
    <cfRule type="cellIs" dxfId="1716" priority="973" operator="equal">
      <formula>0</formula>
    </cfRule>
  </conditionalFormatting>
  <conditionalFormatting sqref="R90:U90">
    <cfRule type="cellIs" dxfId="1715" priority="972" operator="equal">
      <formula>0</formula>
    </cfRule>
  </conditionalFormatting>
  <conditionalFormatting sqref="W3:Z3">
    <cfRule type="cellIs" dxfId="1714" priority="971" operator="equal">
      <formula>0</formula>
    </cfRule>
  </conditionalFormatting>
  <conditionalFormatting sqref="W4:Z4">
    <cfRule type="cellIs" dxfId="1713" priority="970" operator="equal">
      <formula>0</formula>
    </cfRule>
  </conditionalFormatting>
  <conditionalFormatting sqref="W5:Z5">
    <cfRule type="cellIs" dxfId="1712" priority="969" operator="equal">
      <formula>0</formula>
    </cfRule>
  </conditionalFormatting>
  <conditionalFormatting sqref="W6:Z6">
    <cfRule type="cellIs" dxfId="1711" priority="968" operator="equal">
      <formula>0</formula>
    </cfRule>
  </conditionalFormatting>
  <conditionalFormatting sqref="W7:Z7">
    <cfRule type="cellIs" dxfId="1710" priority="967" operator="equal">
      <formula>0</formula>
    </cfRule>
  </conditionalFormatting>
  <conditionalFormatting sqref="W8:Z8">
    <cfRule type="cellIs" dxfId="1709" priority="966" operator="equal">
      <formula>0</formula>
    </cfRule>
  </conditionalFormatting>
  <conditionalFormatting sqref="W9:Z9">
    <cfRule type="cellIs" dxfId="1708" priority="965" operator="equal">
      <formula>0</formula>
    </cfRule>
  </conditionalFormatting>
  <conditionalFormatting sqref="W10:Z10">
    <cfRule type="cellIs" dxfId="1707" priority="964" operator="equal">
      <formula>0</formula>
    </cfRule>
  </conditionalFormatting>
  <conditionalFormatting sqref="W11:Z11">
    <cfRule type="cellIs" dxfId="1706" priority="963" operator="equal">
      <formula>0</formula>
    </cfRule>
  </conditionalFormatting>
  <conditionalFormatting sqref="W12:Z12">
    <cfRule type="cellIs" dxfId="1705" priority="962" operator="equal">
      <formula>0</formula>
    </cfRule>
  </conditionalFormatting>
  <conditionalFormatting sqref="W13:Z13">
    <cfRule type="cellIs" dxfId="1704" priority="961" operator="equal">
      <formula>0</formula>
    </cfRule>
  </conditionalFormatting>
  <conditionalFormatting sqref="W14:Z14">
    <cfRule type="cellIs" dxfId="1703" priority="960" operator="equal">
      <formula>0</formula>
    </cfRule>
  </conditionalFormatting>
  <conditionalFormatting sqref="W15:Z15">
    <cfRule type="cellIs" dxfId="1702" priority="959" operator="equal">
      <formula>0</formula>
    </cfRule>
  </conditionalFormatting>
  <conditionalFormatting sqref="W16:Z16">
    <cfRule type="cellIs" dxfId="1701" priority="958" operator="equal">
      <formula>0</formula>
    </cfRule>
  </conditionalFormatting>
  <conditionalFormatting sqref="W17:Z17">
    <cfRule type="cellIs" dxfId="1700" priority="957" operator="equal">
      <formula>0</formula>
    </cfRule>
  </conditionalFormatting>
  <conditionalFormatting sqref="W18:Z18">
    <cfRule type="cellIs" dxfId="1699" priority="956" operator="equal">
      <formula>0</formula>
    </cfRule>
  </conditionalFormatting>
  <conditionalFormatting sqref="W19:Z19">
    <cfRule type="cellIs" dxfId="1698" priority="955" operator="equal">
      <formula>0</formula>
    </cfRule>
  </conditionalFormatting>
  <conditionalFormatting sqref="W20:Z20">
    <cfRule type="cellIs" dxfId="1697" priority="954" operator="equal">
      <formula>0</formula>
    </cfRule>
  </conditionalFormatting>
  <conditionalFormatting sqref="W21:Z21">
    <cfRule type="cellIs" dxfId="1696" priority="953" operator="equal">
      <formula>0</formula>
    </cfRule>
  </conditionalFormatting>
  <conditionalFormatting sqref="W22:Z22">
    <cfRule type="cellIs" dxfId="1695" priority="952" operator="equal">
      <formula>0</formula>
    </cfRule>
  </conditionalFormatting>
  <conditionalFormatting sqref="W23:Z23">
    <cfRule type="cellIs" dxfId="1694" priority="951" operator="equal">
      <formula>0</formula>
    </cfRule>
  </conditionalFormatting>
  <conditionalFormatting sqref="W24:Z24">
    <cfRule type="cellIs" dxfId="1693" priority="950" operator="equal">
      <formula>0</formula>
    </cfRule>
  </conditionalFormatting>
  <conditionalFormatting sqref="W25:Z25">
    <cfRule type="cellIs" dxfId="1692" priority="949" operator="equal">
      <formula>0</formula>
    </cfRule>
  </conditionalFormatting>
  <conditionalFormatting sqref="W26:Z26">
    <cfRule type="cellIs" dxfId="1691" priority="948" operator="equal">
      <formula>0</formula>
    </cfRule>
  </conditionalFormatting>
  <conditionalFormatting sqref="W27:Z27">
    <cfRule type="cellIs" dxfId="1690" priority="947" operator="equal">
      <formula>0</formula>
    </cfRule>
  </conditionalFormatting>
  <conditionalFormatting sqref="W28:Z28">
    <cfRule type="cellIs" dxfId="1689" priority="946" operator="equal">
      <formula>0</formula>
    </cfRule>
  </conditionalFormatting>
  <conditionalFormatting sqref="W29:Z29">
    <cfRule type="cellIs" dxfId="1688" priority="945" operator="equal">
      <formula>0</formula>
    </cfRule>
  </conditionalFormatting>
  <conditionalFormatting sqref="W30:Z30">
    <cfRule type="cellIs" dxfId="1687" priority="944" operator="equal">
      <formula>0</formula>
    </cfRule>
  </conditionalFormatting>
  <conditionalFormatting sqref="W31:Z31">
    <cfRule type="cellIs" dxfId="1686" priority="943" operator="equal">
      <formula>0</formula>
    </cfRule>
  </conditionalFormatting>
  <conditionalFormatting sqref="W32:Z32">
    <cfRule type="cellIs" dxfId="1685" priority="942" operator="equal">
      <formula>0</formula>
    </cfRule>
  </conditionalFormatting>
  <conditionalFormatting sqref="W33:Z33">
    <cfRule type="cellIs" dxfId="1684" priority="941" operator="equal">
      <formula>0</formula>
    </cfRule>
  </conditionalFormatting>
  <conditionalFormatting sqref="W34:Z34">
    <cfRule type="cellIs" dxfId="1683" priority="940" operator="equal">
      <formula>0</formula>
    </cfRule>
  </conditionalFormatting>
  <conditionalFormatting sqref="W35:Z35">
    <cfRule type="cellIs" dxfId="1682" priority="939" operator="equal">
      <formula>0</formula>
    </cfRule>
  </conditionalFormatting>
  <conditionalFormatting sqref="W36:Z36">
    <cfRule type="cellIs" dxfId="1681" priority="938" operator="equal">
      <formula>0</formula>
    </cfRule>
  </conditionalFormatting>
  <conditionalFormatting sqref="W37:Z37">
    <cfRule type="cellIs" dxfId="1680" priority="937" operator="equal">
      <formula>0</formula>
    </cfRule>
  </conditionalFormatting>
  <conditionalFormatting sqref="W38:Z38">
    <cfRule type="cellIs" dxfId="1679" priority="936" operator="equal">
      <formula>0</formula>
    </cfRule>
  </conditionalFormatting>
  <conditionalFormatting sqref="W39:Z39">
    <cfRule type="cellIs" dxfId="1678" priority="935" operator="equal">
      <formula>0</formula>
    </cfRule>
  </conditionalFormatting>
  <conditionalFormatting sqref="W40:Z40">
    <cfRule type="cellIs" dxfId="1677" priority="934" operator="equal">
      <formula>0</formula>
    </cfRule>
  </conditionalFormatting>
  <conditionalFormatting sqref="W41:Z41">
    <cfRule type="cellIs" dxfId="1676" priority="933" operator="equal">
      <formula>0</formula>
    </cfRule>
  </conditionalFormatting>
  <conditionalFormatting sqref="W42:Z42">
    <cfRule type="cellIs" dxfId="1675" priority="932" operator="equal">
      <formula>0</formula>
    </cfRule>
  </conditionalFormatting>
  <conditionalFormatting sqref="W43:Z43">
    <cfRule type="cellIs" dxfId="1674" priority="931" operator="equal">
      <formula>0</formula>
    </cfRule>
  </conditionalFormatting>
  <conditionalFormatting sqref="W44:Z44">
    <cfRule type="cellIs" dxfId="1673" priority="930" operator="equal">
      <formula>0</formula>
    </cfRule>
  </conditionalFormatting>
  <conditionalFormatting sqref="W45:Z45">
    <cfRule type="cellIs" dxfId="1672" priority="929" operator="equal">
      <formula>0</formula>
    </cfRule>
  </conditionalFormatting>
  <conditionalFormatting sqref="W46:Z46">
    <cfRule type="cellIs" dxfId="1671" priority="928" operator="equal">
      <formula>0</formula>
    </cfRule>
  </conditionalFormatting>
  <conditionalFormatting sqref="W47:Z47">
    <cfRule type="cellIs" dxfId="1670" priority="927" operator="equal">
      <formula>0</formula>
    </cfRule>
  </conditionalFormatting>
  <conditionalFormatting sqref="W48:Z48">
    <cfRule type="cellIs" dxfId="1669" priority="926" operator="equal">
      <formula>0</formula>
    </cfRule>
  </conditionalFormatting>
  <conditionalFormatting sqref="W49:Z49">
    <cfRule type="cellIs" dxfId="1668" priority="925" operator="equal">
      <formula>0</formula>
    </cfRule>
  </conditionalFormatting>
  <conditionalFormatting sqref="W50:Z50">
    <cfRule type="cellIs" dxfId="1667" priority="924" operator="equal">
      <formula>0</formula>
    </cfRule>
  </conditionalFormatting>
  <conditionalFormatting sqref="W51:Z51">
    <cfRule type="cellIs" dxfId="1666" priority="923" operator="equal">
      <formula>0</formula>
    </cfRule>
  </conditionalFormatting>
  <conditionalFormatting sqref="W52:Z52">
    <cfRule type="cellIs" dxfId="1665" priority="922" operator="equal">
      <formula>0</formula>
    </cfRule>
  </conditionalFormatting>
  <conditionalFormatting sqref="W53:Z53">
    <cfRule type="cellIs" dxfId="1664" priority="921" operator="equal">
      <formula>0</formula>
    </cfRule>
  </conditionalFormatting>
  <conditionalFormatting sqref="W54:Z54">
    <cfRule type="cellIs" dxfId="1663" priority="920" operator="equal">
      <formula>0</formula>
    </cfRule>
  </conditionalFormatting>
  <conditionalFormatting sqref="W55:Z55">
    <cfRule type="cellIs" dxfId="1662" priority="919" operator="equal">
      <formula>0</formula>
    </cfRule>
  </conditionalFormatting>
  <conditionalFormatting sqref="W56:Z56">
    <cfRule type="cellIs" dxfId="1661" priority="918" operator="equal">
      <formula>0</formula>
    </cfRule>
  </conditionalFormatting>
  <conditionalFormatting sqref="W57:Z57">
    <cfRule type="cellIs" dxfId="1660" priority="917" operator="equal">
      <formula>0</formula>
    </cfRule>
  </conditionalFormatting>
  <conditionalFormatting sqref="W58:Z58">
    <cfRule type="cellIs" dxfId="1659" priority="916" operator="equal">
      <formula>0</formula>
    </cfRule>
  </conditionalFormatting>
  <conditionalFormatting sqref="W59:Z59">
    <cfRule type="cellIs" dxfId="1658" priority="915" operator="equal">
      <formula>0</formula>
    </cfRule>
  </conditionalFormatting>
  <conditionalFormatting sqref="W60:Z60">
    <cfRule type="cellIs" dxfId="1657" priority="914" operator="equal">
      <formula>0</formula>
    </cfRule>
  </conditionalFormatting>
  <conditionalFormatting sqref="W61:Z61">
    <cfRule type="cellIs" dxfId="1656" priority="913" operator="equal">
      <formula>0</formula>
    </cfRule>
  </conditionalFormatting>
  <conditionalFormatting sqref="W62:Z62">
    <cfRule type="cellIs" dxfId="1655" priority="912" operator="equal">
      <formula>0</formula>
    </cfRule>
  </conditionalFormatting>
  <conditionalFormatting sqref="W63:Z63">
    <cfRule type="cellIs" dxfId="1654" priority="911" operator="equal">
      <formula>0</formula>
    </cfRule>
  </conditionalFormatting>
  <conditionalFormatting sqref="W64:Z64">
    <cfRule type="cellIs" dxfId="1653" priority="910" operator="equal">
      <formula>0</formula>
    </cfRule>
  </conditionalFormatting>
  <conditionalFormatting sqref="W65:Z65">
    <cfRule type="cellIs" dxfId="1652" priority="909" operator="equal">
      <formula>0</formula>
    </cfRule>
  </conditionalFormatting>
  <conditionalFormatting sqref="W66:Z66">
    <cfRule type="cellIs" dxfId="1651" priority="908" operator="equal">
      <formula>0</formula>
    </cfRule>
  </conditionalFormatting>
  <conditionalFormatting sqref="W67:Z67">
    <cfRule type="cellIs" dxfId="1650" priority="907" operator="equal">
      <formula>0</formula>
    </cfRule>
  </conditionalFormatting>
  <conditionalFormatting sqref="W68:Z68">
    <cfRule type="cellIs" dxfId="1649" priority="906" operator="equal">
      <formula>0</formula>
    </cfRule>
  </conditionalFormatting>
  <conditionalFormatting sqref="W69:Z69">
    <cfRule type="cellIs" dxfId="1648" priority="905" operator="equal">
      <formula>0</formula>
    </cfRule>
  </conditionalFormatting>
  <conditionalFormatting sqref="W70:Z70">
    <cfRule type="cellIs" dxfId="1647" priority="904" operator="equal">
      <formula>0</formula>
    </cfRule>
  </conditionalFormatting>
  <conditionalFormatting sqref="W71:Z71">
    <cfRule type="cellIs" dxfId="1646" priority="903" operator="equal">
      <formula>0</formula>
    </cfRule>
  </conditionalFormatting>
  <conditionalFormatting sqref="W72:Z72">
    <cfRule type="cellIs" dxfId="1645" priority="902" operator="equal">
      <formula>0</formula>
    </cfRule>
  </conditionalFormatting>
  <conditionalFormatting sqref="W73:Z73">
    <cfRule type="cellIs" dxfId="1644" priority="901" operator="equal">
      <formula>0</formula>
    </cfRule>
  </conditionalFormatting>
  <conditionalFormatting sqref="W74:Z74">
    <cfRule type="cellIs" dxfId="1643" priority="900" operator="equal">
      <formula>0</formula>
    </cfRule>
  </conditionalFormatting>
  <conditionalFormatting sqref="W75:Z75">
    <cfRule type="cellIs" dxfId="1642" priority="899" operator="equal">
      <formula>0</formula>
    </cfRule>
  </conditionalFormatting>
  <conditionalFormatting sqref="W76:Z76">
    <cfRule type="cellIs" dxfId="1641" priority="898" operator="equal">
      <formula>0</formula>
    </cfRule>
  </conditionalFormatting>
  <conditionalFormatting sqref="W77:Z77">
    <cfRule type="cellIs" dxfId="1640" priority="897" operator="equal">
      <formula>0</formula>
    </cfRule>
  </conditionalFormatting>
  <conditionalFormatting sqref="W78:Z78">
    <cfRule type="cellIs" dxfId="1639" priority="896" operator="equal">
      <formula>0</formula>
    </cfRule>
  </conditionalFormatting>
  <conditionalFormatting sqref="W79:Z79">
    <cfRule type="cellIs" dxfId="1638" priority="895" operator="equal">
      <formula>0</formula>
    </cfRule>
  </conditionalFormatting>
  <conditionalFormatting sqref="W80:Z80">
    <cfRule type="cellIs" dxfId="1637" priority="894" operator="equal">
      <formula>0</formula>
    </cfRule>
  </conditionalFormatting>
  <conditionalFormatting sqref="W81:Z81">
    <cfRule type="cellIs" dxfId="1636" priority="893" operator="equal">
      <formula>0</formula>
    </cfRule>
  </conditionalFormatting>
  <conditionalFormatting sqref="W82:Z82">
    <cfRule type="cellIs" dxfId="1635" priority="892" operator="equal">
      <formula>0</formula>
    </cfRule>
  </conditionalFormatting>
  <conditionalFormatting sqref="W83:Z83">
    <cfRule type="cellIs" dxfId="1634" priority="891" operator="equal">
      <formula>0</formula>
    </cfRule>
  </conditionalFormatting>
  <conditionalFormatting sqref="W84:Z84">
    <cfRule type="cellIs" dxfId="1633" priority="890" operator="equal">
      <formula>0</formula>
    </cfRule>
  </conditionalFormatting>
  <conditionalFormatting sqref="W85:Z85">
    <cfRule type="cellIs" dxfId="1632" priority="889" operator="equal">
      <formula>0</formula>
    </cfRule>
  </conditionalFormatting>
  <conditionalFormatting sqref="W86:Z86">
    <cfRule type="cellIs" dxfId="1631" priority="888" operator="equal">
      <formula>0</formula>
    </cfRule>
  </conditionalFormatting>
  <conditionalFormatting sqref="W87:Z87">
    <cfRule type="cellIs" dxfId="1630" priority="887" operator="equal">
      <formula>0</formula>
    </cfRule>
  </conditionalFormatting>
  <conditionalFormatting sqref="W88:Z88">
    <cfRule type="cellIs" dxfId="1629" priority="886" operator="equal">
      <formula>0</formula>
    </cfRule>
  </conditionalFormatting>
  <conditionalFormatting sqref="W89:Z89">
    <cfRule type="cellIs" dxfId="1628" priority="885" operator="equal">
      <formula>0</formula>
    </cfRule>
  </conditionalFormatting>
  <conditionalFormatting sqref="W90:Z90">
    <cfRule type="cellIs" dxfId="1627" priority="884" operator="equal">
      <formula>0</formula>
    </cfRule>
  </conditionalFormatting>
  <conditionalFormatting sqref="AB3:AE3">
    <cfRule type="cellIs" dxfId="1626" priority="883" operator="equal">
      <formula>0</formula>
    </cfRule>
  </conditionalFormatting>
  <conditionalFormatting sqref="AB4:AE4">
    <cfRule type="cellIs" dxfId="1625" priority="882" operator="equal">
      <formula>0</formula>
    </cfRule>
  </conditionalFormatting>
  <conditionalFormatting sqref="AB5:AE5">
    <cfRule type="cellIs" dxfId="1624" priority="881" operator="equal">
      <formula>0</formula>
    </cfRule>
  </conditionalFormatting>
  <conditionalFormatting sqref="AB6:AE6">
    <cfRule type="cellIs" dxfId="1623" priority="880" operator="equal">
      <formula>0</formula>
    </cfRule>
  </conditionalFormatting>
  <conditionalFormatting sqref="AB7:AE7">
    <cfRule type="cellIs" dxfId="1622" priority="879" operator="equal">
      <formula>0</formula>
    </cfRule>
  </conditionalFormatting>
  <conditionalFormatting sqref="AB8:AE8">
    <cfRule type="cellIs" dxfId="1621" priority="878" operator="equal">
      <formula>0</formula>
    </cfRule>
  </conditionalFormatting>
  <conditionalFormatting sqref="AB9:AE9">
    <cfRule type="cellIs" dxfId="1620" priority="877" operator="equal">
      <formula>0</formula>
    </cfRule>
  </conditionalFormatting>
  <conditionalFormatting sqref="AB10:AE10">
    <cfRule type="cellIs" dxfId="1619" priority="876" operator="equal">
      <formula>0</formula>
    </cfRule>
  </conditionalFormatting>
  <conditionalFormatting sqref="AB11:AE11">
    <cfRule type="cellIs" dxfId="1618" priority="875" operator="equal">
      <formula>0</formula>
    </cfRule>
  </conditionalFormatting>
  <conditionalFormatting sqref="AB12:AE12">
    <cfRule type="cellIs" dxfId="1617" priority="874" operator="equal">
      <formula>0</formula>
    </cfRule>
  </conditionalFormatting>
  <conditionalFormatting sqref="AB13:AE13">
    <cfRule type="cellIs" dxfId="1616" priority="873" operator="equal">
      <formula>0</formula>
    </cfRule>
  </conditionalFormatting>
  <conditionalFormatting sqref="AB14:AE14">
    <cfRule type="cellIs" dxfId="1615" priority="872" operator="equal">
      <formula>0</formula>
    </cfRule>
  </conditionalFormatting>
  <conditionalFormatting sqref="AB15:AE15">
    <cfRule type="cellIs" dxfId="1614" priority="871" operator="equal">
      <formula>0</formula>
    </cfRule>
  </conditionalFormatting>
  <conditionalFormatting sqref="AB16:AE16">
    <cfRule type="cellIs" dxfId="1613" priority="870" operator="equal">
      <formula>0</formula>
    </cfRule>
  </conditionalFormatting>
  <conditionalFormatting sqref="AB17:AE17">
    <cfRule type="cellIs" dxfId="1612" priority="869" operator="equal">
      <formula>0</formula>
    </cfRule>
  </conditionalFormatting>
  <conditionalFormatting sqref="AB18:AE18">
    <cfRule type="cellIs" dxfId="1611" priority="868" operator="equal">
      <formula>0</formula>
    </cfRule>
  </conditionalFormatting>
  <conditionalFormatting sqref="AB19:AE19">
    <cfRule type="cellIs" dxfId="1610" priority="867" operator="equal">
      <formula>0</formula>
    </cfRule>
  </conditionalFormatting>
  <conditionalFormatting sqref="AB20:AE20">
    <cfRule type="cellIs" dxfId="1609" priority="866" operator="equal">
      <formula>0</formula>
    </cfRule>
  </conditionalFormatting>
  <conditionalFormatting sqref="AB21:AE21">
    <cfRule type="cellIs" dxfId="1608" priority="865" operator="equal">
      <formula>0</formula>
    </cfRule>
  </conditionalFormatting>
  <conditionalFormatting sqref="AB22:AE22">
    <cfRule type="cellIs" dxfId="1607" priority="864" operator="equal">
      <formula>0</formula>
    </cfRule>
  </conditionalFormatting>
  <conditionalFormatting sqref="AB23:AE23">
    <cfRule type="cellIs" dxfId="1606" priority="863" operator="equal">
      <formula>0</formula>
    </cfRule>
  </conditionalFormatting>
  <conditionalFormatting sqref="AB24:AE24">
    <cfRule type="cellIs" dxfId="1605" priority="862" operator="equal">
      <formula>0</formula>
    </cfRule>
  </conditionalFormatting>
  <conditionalFormatting sqref="AB25:AE25">
    <cfRule type="cellIs" dxfId="1604" priority="861" operator="equal">
      <formula>0</formula>
    </cfRule>
  </conditionalFormatting>
  <conditionalFormatting sqref="AB26:AE26">
    <cfRule type="cellIs" dxfId="1603" priority="860" operator="equal">
      <formula>0</formula>
    </cfRule>
  </conditionalFormatting>
  <conditionalFormatting sqref="AB27:AE27">
    <cfRule type="cellIs" dxfId="1602" priority="859" operator="equal">
      <formula>0</formula>
    </cfRule>
  </conditionalFormatting>
  <conditionalFormatting sqref="AB28:AE28">
    <cfRule type="cellIs" dxfId="1601" priority="858" operator="equal">
      <formula>0</formula>
    </cfRule>
  </conditionalFormatting>
  <conditionalFormatting sqref="AB29:AE29">
    <cfRule type="cellIs" dxfId="1600" priority="857" operator="equal">
      <formula>0</formula>
    </cfRule>
  </conditionalFormatting>
  <conditionalFormatting sqref="AB30:AE30">
    <cfRule type="cellIs" dxfId="1599" priority="856" operator="equal">
      <formula>0</formula>
    </cfRule>
  </conditionalFormatting>
  <conditionalFormatting sqref="AB31:AE31">
    <cfRule type="cellIs" dxfId="1598" priority="855" operator="equal">
      <formula>0</formula>
    </cfRule>
  </conditionalFormatting>
  <conditionalFormatting sqref="AB32:AE32">
    <cfRule type="cellIs" dxfId="1597" priority="854" operator="equal">
      <formula>0</formula>
    </cfRule>
  </conditionalFormatting>
  <conditionalFormatting sqref="AB33:AE33">
    <cfRule type="cellIs" dxfId="1596" priority="853" operator="equal">
      <formula>0</formula>
    </cfRule>
  </conditionalFormatting>
  <conditionalFormatting sqref="AB34:AE34">
    <cfRule type="cellIs" dxfId="1595" priority="852" operator="equal">
      <formula>0</formula>
    </cfRule>
  </conditionalFormatting>
  <conditionalFormatting sqref="AB35:AE35">
    <cfRule type="cellIs" dxfId="1594" priority="851" operator="equal">
      <formula>0</formula>
    </cfRule>
  </conditionalFormatting>
  <conditionalFormatting sqref="AB36:AE36">
    <cfRule type="cellIs" dxfId="1593" priority="850" operator="equal">
      <formula>0</formula>
    </cfRule>
  </conditionalFormatting>
  <conditionalFormatting sqref="AB37:AE37">
    <cfRule type="cellIs" dxfId="1592" priority="849" operator="equal">
      <formula>0</formula>
    </cfRule>
  </conditionalFormatting>
  <conditionalFormatting sqref="AB38:AE38">
    <cfRule type="cellIs" dxfId="1591" priority="848" operator="equal">
      <formula>0</formula>
    </cfRule>
  </conditionalFormatting>
  <conditionalFormatting sqref="AB39:AE39">
    <cfRule type="cellIs" dxfId="1590" priority="847" operator="equal">
      <formula>0</formula>
    </cfRule>
  </conditionalFormatting>
  <conditionalFormatting sqref="AB40:AE40">
    <cfRule type="cellIs" dxfId="1589" priority="846" operator="equal">
      <formula>0</formula>
    </cfRule>
  </conditionalFormatting>
  <conditionalFormatting sqref="AB41:AE41">
    <cfRule type="cellIs" dxfId="1588" priority="845" operator="equal">
      <formula>0</formula>
    </cfRule>
  </conditionalFormatting>
  <conditionalFormatting sqref="AB42:AE42">
    <cfRule type="cellIs" dxfId="1587" priority="844" operator="equal">
      <formula>0</formula>
    </cfRule>
  </conditionalFormatting>
  <conditionalFormatting sqref="AB43:AE43">
    <cfRule type="cellIs" dxfId="1586" priority="843" operator="equal">
      <formula>0</formula>
    </cfRule>
  </conditionalFormatting>
  <conditionalFormatting sqref="AB44:AE44">
    <cfRule type="cellIs" dxfId="1585" priority="842" operator="equal">
      <formula>0</formula>
    </cfRule>
  </conditionalFormatting>
  <conditionalFormatting sqref="AB45:AE45">
    <cfRule type="cellIs" dxfId="1584" priority="841" operator="equal">
      <formula>0</formula>
    </cfRule>
  </conditionalFormatting>
  <conditionalFormatting sqref="AB46:AE46">
    <cfRule type="cellIs" dxfId="1583" priority="840" operator="equal">
      <formula>0</formula>
    </cfRule>
  </conditionalFormatting>
  <conditionalFormatting sqref="AB47:AE47">
    <cfRule type="cellIs" dxfId="1582" priority="839" operator="equal">
      <formula>0</formula>
    </cfRule>
  </conditionalFormatting>
  <conditionalFormatting sqref="AB48:AE48">
    <cfRule type="cellIs" dxfId="1581" priority="838" operator="equal">
      <formula>0</formula>
    </cfRule>
  </conditionalFormatting>
  <conditionalFormatting sqref="AB49:AE49">
    <cfRule type="cellIs" dxfId="1580" priority="837" operator="equal">
      <formula>0</formula>
    </cfRule>
  </conditionalFormatting>
  <conditionalFormatting sqref="AB50:AE50">
    <cfRule type="cellIs" dxfId="1579" priority="836" operator="equal">
      <formula>0</formula>
    </cfRule>
  </conditionalFormatting>
  <conditionalFormatting sqref="AB51:AE51">
    <cfRule type="cellIs" dxfId="1578" priority="835" operator="equal">
      <formula>0</formula>
    </cfRule>
  </conditionalFormatting>
  <conditionalFormatting sqref="AB52:AE52">
    <cfRule type="cellIs" dxfId="1577" priority="834" operator="equal">
      <formula>0</formula>
    </cfRule>
  </conditionalFormatting>
  <conditionalFormatting sqref="AB53:AE53">
    <cfRule type="cellIs" dxfId="1576" priority="831" operator="equal">
      <formula>0</formula>
    </cfRule>
  </conditionalFormatting>
  <conditionalFormatting sqref="AB54:AE54">
    <cfRule type="cellIs" dxfId="1575" priority="830" operator="equal">
      <formula>0</formula>
    </cfRule>
  </conditionalFormatting>
  <conditionalFormatting sqref="AB55:AE55">
    <cfRule type="cellIs" dxfId="1574" priority="829" operator="equal">
      <formula>0</formula>
    </cfRule>
  </conditionalFormatting>
  <conditionalFormatting sqref="AB56:AE56">
    <cfRule type="cellIs" dxfId="1573" priority="828" operator="equal">
      <formula>0</formula>
    </cfRule>
  </conditionalFormatting>
  <conditionalFormatting sqref="AB57:AE57">
    <cfRule type="cellIs" dxfId="1572" priority="827" operator="equal">
      <formula>0</formula>
    </cfRule>
  </conditionalFormatting>
  <conditionalFormatting sqref="AB58:AE58">
    <cfRule type="cellIs" dxfId="1571" priority="826" operator="equal">
      <formula>0</formula>
    </cfRule>
  </conditionalFormatting>
  <conditionalFormatting sqref="AB59:AE59">
    <cfRule type="cellIs" dxfId="1570" priority="825" operator="equal">
      <formula>0</formula>
    </cfRule>
  </conditionalFormatting>
  <conditionalFormatting sqref="AB60:AE60">
    <cfRule type="cellIs" dxfId="1569" priority="824" operator="equal">
      <formula>0</formula>
    </cfRule>
  </conditionalFormatting>
  <conditionalFormatting sqref="AB61:AE61">
    <cfRule type="cellIs" dxfId="1568" priority="823" operator="equal">
      <formula>0</formula>
    </cfRule>
  </conditionalFormatting>
  <conditionalFormatting sqref="AB62:AE62">
    <cfRule type="cellIs" dxfId="1567" priority="822" operator="equal">
      <formula>0</formula>
    </cfRule>
  </conditionalFormatting>
  <conditionalFormatting sqref="AB63:AE63">
    <cfRule type="cellIs" dxfId="1566" priority="821" operator="equal">
      <formula>0</formula>
    </cfRule>
  </conditionalFormatting>
  <conditionalFormatting sqref="AB64:AE64">
    <cfRule type="cellIs" dxfId="1565" priority="820" operator="equal">
      <formula>0</formula>
    </cfRule>
  </conditionalFormatting>
  <conditionalFormatting sqref="AB65:AE65">
    <cfRule type="cellIs" dxfId="1564" priority="819" operator="equal">
      <formula>0</formula>
    </cfRule>
  </conditionalFormatting>
  <conditionalFormatting sqref="AB66:AE66">
    <cfRule type="cellIs" dxfId="1563" priority="818" operator="equal">
      <formula>0</formula>
    </cfRule>
  </conditionalFormatting>
  <conditionalFormatting sqref="AB67:AE67">
    <cfRule type="cellIs" dxfId="1562" priority="817" operator="equal">
      <formula>0</formula>
    </cfRule>
  </conditionalFormatting>
  <conditionalFormatting sqref="AB68:AE68">
    <cfRule type="cellIs" dxfId="1561" priority="816" operator="equal">
      <formula>0</formula>
    </cfRule>
  </conditionalFormatting>
  <conditionalFormatting sqref="AB69:AE69">
    <cfRule type="cellIs" dxfId="1560" priority="815" operator="equal">
      <formula>0</formula>
    </cfRule>
  </conditionalFormatting>
  <conditionalFormatting sqref="AB70:AE70">
    <cfRule type="cellIs" dxfId="1559" priority="814" operator="equal">
      <formula>0</formula>
    </cfRule>
  </conditionalFormatting>
  <conditionalFormatting sqref="AB71:AE71">
    <cfRule type="cellIs" dxfId="1558" priority="813" operator="equal">
      <formula>0</formula>
    </cfRule>
  </conditionalFormatting>
  <conditionalFormatting sqref="AB72:AE72">
    <cfRule type="cellIs" dxfId="1557" priority="812" operator="equal">
      <formula>0</formula>
    </cfRule>
  </conditionalFormatting>
  <conditionalFormatting sqref="AB73:AE73">
    <cfRule type="cellIs" dxfId="1556" priority="811" operator="equal">
      <formula>0</formula>
    </cfRule>
  </conditionalFormatting>
  <conditionalFormatting sqref="AB74:AE74">
    <cfRule type="cellIs" dxfId="1555" priority="810" operator="equal">
      <formula>0</formula>
    </cfRule>
  </conditionalFormatting>
  <conditionalFormatting sqref="AB75:AE75">
    <cfRule type="cellIs" dxfId="1554" priority="809" operator="equal">
      <formula>0</formula>
    </cfRule>
  </conditionalFormatting>
  <conditionalFormatting sqref="AB76:AE76">
    <cfRule type="cellIs" dxfId="1553" priority="808" operator="equal">
      <formula>0</formula>
    </cfRule>
  </conditionalFormatting>
  <conditionalFormatting sqref="AB77:AE77">
    <cfRule type="cellIs" dxfId="1552" priority="807" operator="equal">
      <formula>0</formula>
    </cfRule>
  </conditionalFormatting>
  <conditionalFormatting sqref="AB78:AE78">
    <cfRule type="cellIs" dxfId="1551" priority="806" operator="equal">
      <formula>0</formula>
    </cfRule>
  </conditionalFormatting>
  <conditionalFormatting sqref="AB79:AE79">
    <cfRule type="cellIs" dxfId="1550" priority="805" operator="equal">
      <formula>0</formula>
    </cfRule>
  </conditionalFormatting>
  <conditionalFormatting sqref="AB80:AE80">
    <cfRule type="cellIs" dxfId="1549" priority="804" operator="equal">
      <formula>0</formula>
    </cfRule>
  </conditionalFormatting>
  <conditionalFormatting sqref="AB81:AE81">
    <cfRule type="cellIs" dxfId="1548" priority="803" operator="equal">
      <formula>0</formula>
    </cfRule>
  </conditionalFormatting>
  <conditionalFormatting sqref="AB82:AE82">
    <cfRule type="cellIs" dxfId="1547" priority="802" operator="equal">
      <formula>0</formula>
    </cfRule>
  </conditionalFormatting>
  <conditionalFormatting sqref="AB83:AE83">
    <cfRule type="cellIs" dxfId="1546" priority="801" operator="equal">
      <formula>0</formula>
    </cfRule>
  </conditionalFormatting>
  <conditionalFormatting sqref="AB84:AE84">
    <cfRule type="cellIs" dxfId="1545" priority="800" operator="equal">
      <formula>0</formula>
    </cfRule>
  </conditionalFormatting>
  <conditionalFormatting sqref="AB85:AE85">
    <cfRule type="cellIs" dxfId="1544" priority="799" operator="equal">
      <formula>0</formula>
    </cfRule>
  </conditionalFormatting>
  <conditionalFormatting sqref="AB86:AE86">
    <cfRule type="cellIs" dxfId="1543" priority="798" operator="equal">
      <formula>0</formula>
    </cfRule>
  </conditionalFormatting>
  <conditionalFormatting sqref="AB87:AE87">
    <cfRule type="cellIs" dxfId="1542" priority="797" operator="equal">
      <formula>0</formula>
    </cfRule>
  </conditionalFormatting>
  <conditionalFormatting sqref="AB88:AE88">
    <cfRule type="cellIs" dxfId="1541" priority="796" operator="equal">
      <formula>0</formula>
    </cfRule>
  </conditionalFormatting>
  <conditionalFormatting sqref="AB89:AE89">
    <cfRule type="cellIs" dxfId="1540" priority="795" operator="equal">
      <formula>0</formula>
    </cfRule>
  </conditionalFormatting>
  <conditionalFormatting sqref="AB90:AE90">
    <cfRule type="cellIs" dxfId="1539" priority="794" operator="equal">
      <formula>0</formula>
    </cfRule>
  </conditionalFormatting>
  <conditionalFormatting sqref="AG3:AJ3">
    <cfRule type="cellIs" dxfId="1538" priority="793" operator="equal">
      <formula>0</formula>
    </cfRule>
  </conditionalFormatting>
  <conditionalFormatting sqref="AG4:AJ4">
    <cfRule type="cellIs" dxfId="1537" priority="792" operator="equal">
      <formula>0</formula>
    </cfRule>
  </conditionalFormatting>
  <conditionalFormatting sqref="AG5:AJ5">
    <cfRule type="cellIs" dxfId="1536" priority="791" operator="equal">
      <formula>0</formula>
    </cfRule>
  </conditionalFormatting>
  <conditionalFormatting sqref="AG6:AJ6">
    <cfRule type="cellIs" dxfId="1535" priority="790" operator="equal">
      <formula>0</formula>
    </cfRule>
  </conditionalFormatting>
  <conditionalFormatting sqref="AG7:AJ7">
    <cfRule type="cellIs" dxfId="1534" priority="789" operator="equal">
      <formula>0</formula>
    </cfRule>
  </conditionalFormatting>
  <conditionalFormatting sqref="AG8:AJ8">
    <cfRule type="cellIs" dxfId="1533" priority="788" operator="equal">
      <formula>0</formula>
    </cfRule>
  </conditionalFormatting>
  <conditionalFormatting sqref="AG9:AJ9">
    <cfRule type="cellIs" dxfId="1532" priority="787" operator="equal">
      <formula>0</formula>
    </cfRule>
  </conditionalFormatting>
  <conditionalFormatting sqref="AG10:AJ10">
    <cfRule type="cellIs" dxfId="1531" priority="786" operator="equal">
      <formula>0</formula>
    </cfRule>
  </conditionalFormatting>
  <conditionalFormatting sqref="AG11:AJ11">
    <cfRule type="cellIs" dxfId="1530" priority="785" operator="equal">
      <formula>0</formula>
    </cfRule>
  </conditionalFormatting>
  <conditionalFormatting sqref="AG12:AJ12">
    <cfRule type="cellIs" dxfId="1529" priority="784" operator="equal">
      <formula>0</formula>
    </cfRule>
  </conditionalFormatting>
  <conditionalFormatting sqref="AG13:AJ13">
    <cfRule type="cellIs" dxfId="1528" priority="783" operator="equal">
      <formula>0</formula>
    </cfRule>
  </conditionalFormatting>
  <conditionalFormatting sqref="AG14:AJ14">
    <cfRule type="cellIs" dxfId="1527" priority="782" operator="equal">
      <formula>0</formula>
    </cfRule>
  </conditionalFormatting>
  <conditionalFormatting sqref="AG15:AJ15">
    <cfRule type="cellIs" dxfId="1526" priority="781" operator="equal">
      <formula>0</formula>
    </cfRule>
  </conditionalFormatting>
  <conditionalFormatting sqref="AG16:AJ16">
    <cfRule type="cellIs" dxfId="1525" priority="780" operator="equal">
      <formula>0</formula>
    </cfRule>
  </conditionalFormatting>
  <conditionalFormatting sqref="AG17:AJ17">
    <cfRule type="cellIs" dxfId="1524" priority="779" operator="equal">
      <formula>0</formula>
    </cfRule>
  </conditionalFormatting>
  <conditionalFormatting sqref="AG18:AJ18">
    <cfRule type="cellIs" dxfId="1523" priority="778" operator="equal">
      <formula>0</formula>
    </cfRule>
  </conditionalFormatting>
  <conditionalFormatting sqref="AG19:AJ19">
    <cfRule type="cellIs" dxfId="1522" priority="777" operator="equal">
      <formula>0</formula>
    </cfRule>
  </conditionalFormatting>
  <conditionalFormatting sqref="AG20:AJ20">
    <cfRule type="cellIs" dxfId="1521" priority="776" operator="equal">
      <formula>0</formula>
    </cfRule>
  </conditionalFormatting>
  <conditionalFormatting sqref="AG21:AJ21">
    <cfRule type="cellIs" dxfId="1520" priority="775" operator="equal">
      <formula>0</formula>
    </cfRule>
  </conditionalFormatting>
  <conditionalFormatting sqref="AG22:AJ22">
    <cfRule type="cellIs" dxfId="1519" priority="774" operator="equal">
      <formula>0</formula>
    </cfRule>
  </conditionalFormatting>
  <conditionalFormatting sqref="AG23:AJ23">
    <cfRule type="cellIs" dxfId="1518" priority="773" operator="equal">
      <formula>0</formula>
    </cfRule>
  </conditionalFormatting>
  <conditionalFormatting sqref="AG24:AJ24">
    <cfRule type="cellIs" dxfId="1517" priority="772" operator="equal">
      <formula>0</formula>
    </cfRule>
  </conditionalFormatting>
  <conditionalFormatting sqref="AG25:AJ25">
    <cfRule type="cellIs" dxfId="1516" priority="771" operator="equal">
      <formula>0</formula>
    </cfRule>
  </conditionalFormatting>
  <conditionalFormatting sqref="AG26:AJ26">
    <cfRule type="cellIs" dxfId="1515" priority="770" operator="equal">
      <formula>0</formula>
    </cfRule>
  </conditionalFormatting>
  <conditionalFormatting sqref="AG27:AJ27">
    <cfRule type="cellIs" dxfId="1514" priority="769" operator="equal">
      <formula>0</formula>
    </cfRule>
  </conditionalFormatting>
  <conditionalFormatting sqref="AG28:AJ28">
    <cfRule type="cellIs" dxfId="1513" priority="768" operator="equal">
      <formula>0</formula>
    </cfRule>
  </conditionalFormatting>
  <conditionalFormatting sqref="AG29:AJ29">
    <cfRule type="cellIs" dxfId="1512" priority="767" operator="equal">
      <formula>0</formula>
    </cfRule>
  </conditionalFormatting>
  <conditionalFormatting sqref="AG30:AJ30">
    <cfRule type="cellIs" dxfId="1511" priority="766" operator="equal">
      <formula>0</formula>
    </cfRule>
  </conditionalFormatting>
  <conditionalFormatting sqref="AG31:AJ31">
    <cfRule type="cellIs" dxfId="1510" priority="765" operator="equal">
      <formula>0</formula>
    </cfRule>
  </conditionalFormatting>
  <conditionalFormatting sqref="AG32:AJ32">
    <cfRule type="cellIs" dxfId="1509" priority="764" operator="equal">
      <formula>0</formula>
    </cfRule>
  </conditionalFormatting>
  <conditionalFormatting sqref="AG33:AJ33">
    <cfRule type="cellIs" dxfId="1508" priority="763" operator="equal">
      <formula>0</formula>
    </cfRule>
  </conditionalFormatting>
  <conditionalFormatting sqref="AG34:AJ34">
    <cfRule type="cellIs" dxfId="1507" priority="762" operator="equal">
      <formula>0</formula>
    </cfRule>
  </conditionalFormatting>
  <conditionalFormatting sqref="AG35:AJ35">
    <cfRule type="cellIs" dxfId="1506" priority="761" operator="equal">
      <formula>0</formula>
    </cfRule>
  </conditionalFormatting>
  <conditionalFormatting sqref="AG36:AJ36">
    <cfRule type="cellIs" dxfId="1505" priority="760" operator="equal">
      <formula>0</formula>
    </cfRule>
  </conditionalFormatting>
  <conditionalFormatting sqref="AG37:AJ37">
    <cfRule type="cellIs" dxfId="1504" priority="759" operator="equal">
      <formula>0</formula>
    </cfRule>
  </conditionalFormatting>
  <conditionalFormatting sqref="AG38:AJ38">
    <cfRule type="cellIs" dxfId="1503" priority="758" operator="equal">
      <formula>0</formula>
    </cfRule>
  </conditionalFormatting>
  <conditionalFormatting sqref="AG39:AJ39">
    <cfRule type="cellIs" dxfId="1502" priority="757" operator="equal">
      <formula>0</formula>
    </cfRule>
  </conditionalFormatting>
  <conditionalFormatting sqref="AG40:AJ40">
    <cfRule type="cellIs" dxfId="1501" priority="756" operator="equal">
      <formula>0</formula>
    </cfRule>
  </conditionalFormatting>
  <conditionalFormatting sqref="AG41:AJ41">
    <cfRule type="cellIs" dxfId="1500" priority="755" operator="equal">
      <formula>0</formula>
    </cfRule>
  </conditionalFormatting>
  <conditionalFormatting sqref="AG42:AJ42">
    <cfRule type="cellIs" dxfId="1499" priority="754" operator="equal">
      <formula>0</formula>
    </cfRule>
  </conditionalFormatting>
  <conditionalFormatting sqref="AG43:AJ43">
    <cfRule type="cellIs" dxfId="1498" priority="753" operator="equal">
      <formula>0</formula>
    </cfRule>
  </conditionalFormatting>
  <conditionalFormatting sqref="AG44:AJ44">
    <cfRule type="cellIs" dxfId="1497" priority="752" operator="equal">
      <formula>0</formula>
    </cfRule>
  </conditionalFormatting>
  <conditionalFormatting sqref="AG45:AJ45">
    <cfRule type="cellIs" dxfId="1496" priority="751" operator="equal">
      <formula>0</formula>
    </cfRule>
  </conditionalFormatting>
  <conditionalFormatting sqref="AG46:AJ46">
    <cfRule type="cellIs" dxfId="1495" priority="750" operator="equal">
      <formula>0</formula>
    </cfRule>
  </conditionalFormatting>
  <conditionalFormatting sqref="AG47:AJ47">
    <cfRule type="cellIs" dxfId="1494" priority="749" operator="equal">
      <formula>0</formula>
    </cfRule>
  </conditionalFormatting>
  <conditionalFormatting sqref="AG48:AJ48">
    <cfRule type="cellIs" dxfId="1493" priority="748" operator="equal">
      <formula>0</formula>
    </cfRule>
  </conditionalFormatting>
  <conditionalFormatting sqref="AG49:AJ49">
    <cfRule type="cellIs" dxfId="1492" priority="747" operator="equal">
      <formula>0</formula>
    </cfRule>
  </conditionalFormatting>
  <conditionalFormatting sqref="AG50:AJ50">
    <cfRule type="cellIs" dxfId="1491" priority="746" operator="equal">
      <formula>0</formula>
    </cfRule>
  </conditionalFormatting>
  <conditionalFormatting sqref="AG51:AJ51">
    <cfRule type="cellIs" dxfId="1490" priority="745" operator="equal">
      <formula>0</formula>
    </cfRule>
  </conditionalFormatting>
  <conditionalFormatting sqref="AG52:AJ52">
    <cfRule type="cellIs" dxfId="1489" priority="744" operator="equal">
      <formula>0</formula>
    </cfRule>
  </conditionalFormatting>
  <conditionalFormatting sqref="AG53:AJ53">
    <cfRule type="cellIs" dxfId="1488" priority="743" operator="equal">
      <formula>0</formula>
    </cfRule>
  </conditionalFormatting>
  <conditionalFormatting sqref="AG54:AJ54">
    <cfRule type="cellIs" dxfId="1487" priority="742" operator="equal">
      <formula>0</formula>
    </cfRule>
  </conditionalFormatting>
  <conditionalFormatting sqref="AG55:AJ55">
    <cfRule type="cellIs" dxfId="1486" priority="741" operator="equal">
      <formula>0</formula>
    </cfRule>
  </conditionalFormatting>
  <conditionalFormatting sqref="AG56:AJ56">
    <cfRule type="cellIs" dxfId="1485" priority="740" operator="equal">
      <formula>0</formula>
    </cfRule>
  </conditionalFormatting>
  <conditionalFormatting sqref="AG57:AJ57">
    <cfRule type="cellIs" dxfId="1484" priority="739" operator="equal">
      <formula>0</formula>
    </cfRule>
  </conditionalFormatting>
  <conditionalFormatting sqref="AG58:AJ58">
    <cfRule type="cellIs" dxfId="1483" priority="738" operator="equal">
      <formula>0</formula>
    </cfRule>
  </conditionalFormatting>
  <conditionalFormatting sqref="AG59:AJ59">
    <cfRule type="cellIs" dxfId="1482" priority="737" operator="equal">
      <formula>0</formula>
    </cfRule>
  </conditionalFormatting>
  <conditionalFormatting sqref="AG60:AJ60">
    <cfRule type="cellIs" dxfId="1481" priority="736" operator="equal">
      <formula>0</formula>
    </cfRule>
  </conditionalFormatting>
  <conditionalFormatting sqref="AG61:AJ61">
    <cfRule type="cellIs" dxfId="1480" priority="735" operator="equal">
      <formula>0</formula>
    </cfRule>
  </conditionalFormatting>
  <conditionalFormatting sqref="AG62:AJ62">
    <cfRule type="cellIs" dxfId="1479" priority="734" operator="equal">
      <formula>0</formula>
    </cfRule>
  </conditionalFormatting>
  <conditionalFormatting sqref="AG63:AJ63">
    <cfRule type="cellIs" dxfId="1478" priority="733" operator="equal">
      <formula>0</formula>
    </cfRule>
  </conditionalFormatting>
  <conditionalFormatting sqref="AG64:AJ64">
    <cfRule type="cellIs" dxfId="1477" priority="732" operator="equal">
      <formula>0</formula>
    </cfRule>
  </conditionalFormatting>
  <conditionalFormatting sqref="AG65:AJ65">
    <cfRule type="cellIs" dxfId="1476" priority="731" operator="equal">
      <formula>0</formula>
    </cfRule>
  </conditionalFormatting>
  <conditionalFormatting sqref="AG66:AJ66">
    <cfRule type="cellIs" dxfId="1475" priority="730" operator="equal">
      <formula>0</formula>
    </cfRule>
  </conditionalFormatting>
  <conditionalFormatting sqref="AG67:AJ67">
    <cfRule type="cellIs" dxfId="1474" priority="729" operator="equal">
      <formula>0</formula>
    </cfRule>
  </conditionalFormatting>
  <conditionalFormatting sqref="AG68:AJ68">
    <cfRule type="cellIs" dxfId="1473" priority="728" operator="equal">
      <formula>0</formula>
    </cfRule>
  </conditionalFormatting>
  <conditionalFormatting sqref="AG69:AJ69">
    <cfRule type="cellIs" dxfId="1472" priority="727" operator="equal">
      <formula>0</formula>
    </cfRule>
  </conditionalFormatting>
  <conditionalFormatting sqref="AG70:AJ70">
    <cfRule type="cellIs" dxfId="1471" priority="726" operator="equal">
      <formula>0</formula>
    </cfRule>
  </conditionalFormatting>
  <conditionalFormatting sqref="AG71:AJ71">
    <cfRule type="cellIs" dxfId="1470" priority="725" operator="equal">
      <formula>0</formula>
    </cfRule>
  </conditionalFormatting>
  <conditionalFormatting sqref="AG72:AJ72">
    <cfRule type="cellIs" dxfId="1469" priority="724" operator="equal">
      <formula>0</formula>
    </cfRule>
  </conditionalFormatting>
  <conditionalFormatting sqref="AG73:AJ73">
    <cfRule type="cellIs" dxfId="1468" priority="723" operator="equal">
      <formula>0</formula>
    </cfRule>
  </conditionalFormatting>
  <conditionalFormatting sqref="AG74:AJ74">
    <cfRule type="cellIs" dxfId="1467" priority="722" operator="equal">
      <formula>0</formula>
    </cfRule>
  </conditionalFormatting>
  <conditionalFormatting sqref="AG75:AJ75">
    <cfRule type="cellIs" dxfId="1466" priority="721" operator="equal">
      <formula>0</formula>
    </cfRule>
  </conditionalFormatting>
  <conditionalFormatting sqref="AG76:AJ76">
    <cfRule type="cellIs" dxfId="1465" priority="720" operator="equal">
      <formula>0</formula>
    </cfRule>
  </conditionalFormatting>
  <conditionalFormatting sqref="AG77:AJ77">
    <cfRule type="cellIs" dxfId="1464" priority="719" operator="equal">
      <formula>0</formula>
    </cfRule>
  </conditionalFormatting>
  <conditionalFormatting sqref="AG78:AJ78">
    <cfRule type="cellIs" dxfId="1463" priority="718" operator="equal">
      <formula>0</formula>
    </cfRule>
  </conditionalFormatting>
  <conditionalFormatting sqref="AG79:AJ79">
    <cfRule type="cellIs" dxfId="1462" priority="717" operator="equal">
      <formula>0</formula>
    </cfRule>
  </conditionalFormatting>
  <conditionalFormatting sqref="AG80:AJ80">
    <cfRule type="cellIs" dxfId="1461" priority="716" operator="equal">
      <formula>0</formula>
    </cfRule>
  </conditionalFormatting>
  <conditionalFormatting sqref="AG81:AJ81">
    <cfRule type="cellIs" dxfId="1460" priority="715" operator="equal">
      <formula>0</formula>
    </cfRule>
  </conditionalFormatting>
  <conditionalFormatting sqref="AG82:AJ82">
    <cfRule type="cellIs" dxfId="1459" priority="714" operator="equal">
      <formula>0</formula>
    </cfRule>
  </conditionalFormatting>
  <conditionalFormatting sqref="AG83:AJ83">
    <cfRule type="cellIs" dxfId="1458" priority="713" operator="equal">
      <formula>0</formula>
    </cfRule>
  </conditionalFormatting>
  <conditionalFormatting sqref="AG84:AJ84">
    <cfRule type="cellIs" dxfId="1457" priority="712" operator="equal">
      <formula>0</formula>
    </cfRule>
  </conditionalFormatting>
  <conditionalFormatting sqref="AG85:AJ85">
    <cfRule type="cellIs" dxfId="1456" priority="711" operator="equal">
      <formula>0</formula>
    </cfRule>
  </conditionalFormatting>
  <conditionalFormatting sqref="AG86:AJ86">
    <cfRule type="cellIs" dxfId="1455" priority="710" operator="equal">
      <formula>0</formula>
    </cfRule>
  </conditionalFormatting>
  <conditionalFormatting sqref="AG87:AJ87">
    <cfRule type="cellIs" dxfId="1454" priority="709" operator="equal">
      <formula>0</formula>
    </cfRule>
  </conditionalFormatting>
  <conditionalFormatting sqref="AG88:AJ88">
    <cfRule type="cellIs" dxfId="1453" priority="708" operator="equal">
      <formula>0</formula>
    </cfRule>
  </conditionalFormatting>
  <conditionalFormatting sqref="AG89:AJ89">
    <cfRule type="cellIs" dxfId="1452" priority="707" operator="equal">
      <formula>0</formula>
    </cfRule>
  </conditionalFormatting>
  <conditionalFormatting sqref="AG90:AJ90">
    <cfRule type="cellIs" dxfId="1451" priority="706" operator="equal">
      <formula>0</formula>
    </cfRule>
  </conditionalFormatting>
  <conditionalFormatting sqref="AL3:AO3">
    <cfRule type="cellIs" dxfId="1450" priority="705" operator="equal">
      <formula>0</formula>
    </cfRule>
  </conditionalFormatting>
  <conditionalFormatting sqref="AL4:AO4">
    <cfRule type="cellIs" dxfId="1449" priority="704" operator="equal">
      <formula>0</formula>
    </cfRule>
  </conditionalFormatting>
  <conditionalFormatting sqref="AL5:AO5">
    <cfRule type="cellIs" dxfId="1448" priority="703" operator="equal">
      <formula>0</formula>
    </cfRule>
  </conditionalFormatting>
  <conditionalFormatting sqref="AL6:AO6">
    <cfRule type="cellIs" dxfId="1447" priority="702" operator="equal">
      <formula>0</formula>
    </cfRule>
  </conditionalFormatting>
  <conditionalFormatting sqref="AL7:AO7">
    <cfRule type="cellIs" dxfId="1446" priority="701" operator="equal">
      <formula>0</formula>
    </cfRule>
  </conditionalFormatting>
  <conditionalFormatting sqref="AL8:AO8">
    <cfRule type="cellIs" dxfId="1445" priority="700" operator="equal">
      <formula>0</formula>
    </cfRule>
  </conditionalFormatting>
  <conditionalFormatting sqref="AL9:AO9">
    <cfRule type="cellIs" dxfId="1444" priority="699" operator="equal">
      <formula>0</formula>
    </cfRule>
  </conditionalFormatting>
  <conditionalFormatting sqref="AL10:AO10">
    <cfRule type="cellIs" dxfId="1443" priority="698" operator="equal">
      <formula>0</formula>
    </cfRule>
  </conditionalFormatting>
  <conditionalFormatting sqref="AL11:AO11">
    <cfRule type="cellIs" dxfId="1442" priority="697" operator="equal">
      <formula>0</formula>
    </cfRule>
  </conditionalFormatting>
  <conditionalFormatting sqref="AL12:AO12">
    <cfRule type="cellIs" dxfId="1441" priority="696" operator="equal">
      <formula>0</formula>
    </cfRule>
  </conditionalFormatting>
  <conditionalFormatting sqref="AL13:AO13">
    <cfRule type="cellIs" dxfId="1440" priority="695" operator="equal">
      <formula>0</formula>
    </cfRule>
  </conditionalFormatting>
  <conditionalFormatting sqref="AL14:AO14">
    <cfRule type="cellIs" dxfId="1439" priority="694" operator="equal">
      <formula>0</formula>
    </cfRule>
  </conditionalFormatting>
  <conditionalFormatting sqref="AL15:AO15">
    <cfRule type="cellIs" dxfId="1438" priority="693" operator="equal">
      <formula>0</formula>
    </cfRule>
  </conditionalFormatting>
  <conditionalFormatting sqref="AL16:AO16">
    <cfRule type="cellIs" dxfId="1437" priority="692" operator="equal">
      <formula>0</formula>
    </cfRule>
  </conditionalFormatting>
  <conditionalFormatting sqref="AL17:AO17">
    <cfRule type="cellIs" dxfId="1436" priority="691" operator="equal">
      <formula>0</formula>
    </cfRule>
  </conditionalFormatting>
  <conditionalFormatting sqref="AL18:AO18">
    <cfRule type="cellIs" dxfId="1435" priority="690" operator="equal">
      <formula>0</formula>
    </cfRule>
  </conditionalFormatting>
  <conditionalFormatting sqref="AL19:AO19">
    <cfRule type="cellIs" dxfId="1434" priority="689" operator="equal">
      <formula>0</formula>
    </cfRule>
  </conditionalFormatting>
  <conditionalFormatting sqref="AL20:AO20">
    <cfRule type="cellIs" dxfId="1433" priority="688" operator="equal">
      <formula>0</formula>
    </cfRule>
  </conditionalFormatting>
  <conditionalFormatting sqref="AL21:AO21">
    <cfRule type="cellIs" dxfId="1432" priority="687" operator="equal">
      <formula>0</formula>
    </cfRule>
  </conditionalFormatting>
  <conditionalFormatting sqref="AL22:AO22">
    <cfRule type="cellIs" dxfId="1431" priority="686" operator="equal">
      <formula>0</formula>
    </cfRule>
  </conditionalFormatting>
  <conditionalFormatting sqref="AL23:AO23">
    <cfRule type="cellIs" dxfId="1430" priority="685" operator="equal">
      <formula>0</formula>
    </cfRule>
  </conditionalFormatting>
  <conditionalFormatting sqref="AL24:AO24">
    <cfRule type="cellIs" dxfId="1429" priority="684" operator="equal">
      <formula>0</formula>
    </cfRule>
  </conditionalFormatting>
  <conditionalFormatting sqref="AL25:AO25">
    <cfRule type="cellIs" dxfId="1428" priority="683" operator="equal">
      <formula>0</formula>
    </cfRule>
  </conditionalFormatting>
  <conditionalFormatting sqref="AL26:AO26">
    <cfRule type="cellIs" dxfId="1427" priority="682" operator="equal">
      <formula>0</formula>
    </cfRule>
  </conditionalFormatting>
  <conditionalFormatting sqref="AL27:AO27">
    <cfRule type="cellIs" dxfId="1426" priority="681" operator="equal">
      <formula>0</formula>
    </cfRule>
  </conditionalFormatting>
  <conditionalFormatting sqref="AL28:AO28">
    <cfRule type="cellIs" dxfId="1425" priority="680" operator="equal">
      <formula>0</formula>
    </cfRule>
  </conditionalFormatting>
  <conditionalFormatting sqref="AL29:AO29">
    <cfRule type="cellIs" dxfId="1424" priority="679" operator="equal">
      <formula>0</formula>
    </cfRule>
  </conditionalFormatting>
  <conditionalFormatting sqref="AL30:AO30">
    <cfRule type="cellIs" dxfId="1423" priority="678" operator="equal">
      <formula>0</formula>
    </cfRule>
  </conditionalFormatting>
  <conditionalFormatting sqref="AL31:AO31">
    <cfRule type="cellIs" dxfId="1422" priority="677" operator="equal">
      <formula>0</formula>
    </cfRule>
  </conditionalFormatting>
  <conditionalFormatting sqref="AL32:AO32">
    <cfRule type="cellIs" dxfId="1421" priority="676" operator="equal">
      <formula>0</formula>
    </cfRule>
  </conditionalFormatting>
  <conditionalFormatting sqref="AL33:AO33">
    <cfRule type="cellIs" dxfId="1420" priority="675" operator="equal">
      <formula>0</formula>
    </cfRule>
  </conditionalFormatting>
  <conditionalFormatting sqref="AL34:AO34">
    <cfRule type="cellIs" dxfId="1419" priority="674" operator="equal">
      <formula>0</formula>
    </cfRule>
  </conditionalFormatting>
  <conditionalFormatting sqref="AL35:AO35">
    <cfRule type="cellIs" dxfId="1418" priority="673" operator="equal">
      <formula>0</formula>
    </cfRule>
  </conditionalFormatting>
  <conditionalFormatting sqref="AL36:AO36">
    <cfRule type="cellIs" dxfId="1417" priority="672" operator="equal">
      <formula>0</formula>
    </cfRule>
  </conditionalFormatting>
  <conditionalFormatting sqref="AL37:AO37">
    <cfRule type="cellIs" dxfId="1416" priority="671" operator="equal">
      <formula>0</formula>
    </cfRule>
  </conditionalFormatting>
  <conditionalFormatting sqref="AL38:AO38">
    <cfRule type="cellIs" dxfId="1415" priority="670" operator="equal">
      <formula>0</formula>
    </cfRule>
  </conditionalFormatting>
  <conditionalFormatting sqref="AL39:AO39">
    <cfRule type="cellIs" dxfId="1414" priority="669" operator="equal">
      <formula>0</formula>
    </cfRule>
  </conditionalFormatting>
  <conditionalFormatting sqref="AL40:AO40">
    <cfRule type="cellIs" dxfId="1413" priority="668" operator="equal">
      <formula>0</formula>
    </cfRule>
  </conditionalFormatting>
  <conditionalFormatting sqref="AL41:AO41">
    <cfRule type="cellIs" dxfId="1412" priority="667" operator="equal">
      <formula>0</formula>
    </cfRule>
  </conditionalFormatting>
  <conditionalFormatting sqref="AL42:AO42">
    <cfRule type="cellIs" dxfId="1411" priority="666" operator="equal">
      <formula>0</formula>
    </cfRule>
  </conditionalFormatting>
  <conditionalFormatting sqref="AL43:AO43">
    <cfRule type="cellIs" dxfId="1410" priority="665" operator="equal">
      <formula>0</formula>
    </cfRule>
  </conditionalFormatting>
  <conditionalFormatting sqref="AL44:AO44">
    <cfRule type="cellIs" dxfId="1409" priority="664" operator="equal">
      <formula>0</formula>
    </cfRule>
  </conditionalFormatting>
  <conditionalFormatting sqref="AL45:AO45">
    <cfRule type="cellIs" dxfId="1408" priority="663" operator="equal">
      <formula>0</formula>
    </cfRule>
  </conditionalFormatting>
  <conditionalFormatting sqref="AL46:AO46">
    <cfRule type="cellIs" dxfId="1407" priority="662" operator="equal">
      <formula>0</formula>
    </cfRule>
  </conditionalFormatting>
  <conditionalFormatting sqref="AL47:AO47">
    <cfRule type="cellIs" dxfId="1406" priority="661" operator="equal">
      <formula>0</formula>
    </cfRule>
  </conditionalFormatting>
  <conditionalFormatting sqref="AL48:AO48">
    <cfRule type="cellIs" dxfId="1405" priority="660" operator="equal">
      <formula>0</formula>
    </cfRule>
  </conditionalFormatting>
  <conditionalFormatting sqref="AL49:AO49">
    <cfRule type="cellIs" dxfId="1404" priority="659" operator="equal">
      <formula>0</formula>
    </cfRule>
  </conditionalFormatting>
  <conditionalFormatting sqref="AL50:AO50">
    <cfRule type="cellIs" dxfId="1403" priority="658" operator="equal">
      <formula>0</formula>
    </cfRule>
  </conditionalFormatting>
  <conditionalFormatting sqref="AL51:AO51">
    <cfRule type="cellIs" dxfId="1402" priority="657" operator="equal">
      <formula>0</formula>
    </cfRule>
  </conditionalFormatting>
  <conditionalFormatting sqref="AL52:AO52">
    <cfRule type="cellIs" dxfId="1401" priority="656" operator="equal">
      <formula>0</formula>
    </cfRule>
  </conditionalFormatting>
  <conditionalFormatting sqref="AL53:AO53">
    <cfRule type="cellIs" dxfId="1400" priority="655" operator="equal">
      <formula>0</formula>
    </cfRule>
  </conditionalFormatting>
  <conditionalFormatting sqref="AL54:AO54">
    <cfRule type="cellIs" dxfId="1399" priority="654" operator="equal">
      <formula>0</formula>
    </cfRule>
  </conditionalFormatting>
  <conditionalFormatting sqref="AL55:AO55">
    <cfRule type="cellIs" dxfId="1398" priority="653" operator="equal">
      <formula>0</formula>
    </cfRule>
  </conditionalFormatting>
  <conditionalFormatting sqref="AL56:AO56">
    <cfRule type="cellIs" dxfId="1397" priority="652" operator="equal">
      <formula>0</formula>
    </cfRule>
  </conditionalFormatting>
  <conditionalFormatting sqref="AL57:AO57">
    <cfRule type="cellIs" dxfId="1396" priority="651" operator="equal">
      <formula>0</formula>
    </cfRule>
  </conditionalFormatting>
  <conditionalFormatting sqref="AL58:AO58">
    <cfRule type="cellIs" dxfId="1395" priority="650" operator="equal">
      <formula>0</formula>
    </cfRule>
  </conditionalFormatting>
  <conditionalFormatting sqref="AL59:AO59">
    <cfRule type="cellIs" dxfId="1394" priority="649" operator="equal">
      <formula>0</formula>
    </cfRule>
  </conditionalFormatting>
  <conditionalFormatting sqref="AL60:AO60">
    <cfRule type="cellIs" dxfId="1393" priority="648" operator="equal">
      <formula>0</formula>
    </cfRule>
  </conditionalFormatting>
  <conditionalFormatting sqref="AL61:AO61">
    <cfRule type="cellIs" dxfId="1392" priority="647" operator="equal">
      <formula>0</formula>
    </cfRule>
  </conditionalFormatting>
  <conditionalFormatting sqref="AL62:AO62">
    <cfRule type="cellIs" dxfId="1391" priority="646" operator="equal">
      <formula>0</formula>
    </cfRule>
  </conditionalFormatting>
  <conditionalFormatting sqref="AL63:AO63">
    <cfRule type="cellIs" dxfId="1390" priority="645" operator="equal">
      <formula>0</formula>
    </cfRule>
  </conditionalFormatting>
  <conditionalFormatting sqref="AL64:AO64">
    <cfRule type="cellIs" dxfId="1389" priority="644" operator="equal">
      <formula>0</formula>
    </cfRule>
  </conditionalFormatting>
  <conditionalFormatting sqref="AL65:AO65">
    <cfRule type="cellIs" dxfId="1388" priority="643" operator="equal">
      <formula>0</formula>
    </cfRule>
  </conditionalFormatting>
  <conditionalFormatting sqref="AL66:AO66">
    <cfRule type="cellIs" dxfId="1387" priority="642" operator="equal">
      <formula>0</formula>
    </cfRule>
  </conditionalFormatting>
  <conditionalFormatting sqref="AL67:AO67">
    <cfRule type="cellIs" dxfId="1386" priority="641" operator="equal">
      <formula>0</formula>
    </cfRule>
  </conditionalFormatting>
  <conditionalFormatting sqref="AL68:AO68">
    <cfRule type="cellIs" dxfId="1385" priority="640" operator="equal">
      <formula>0</formula>
    </cfRule>
  </conditionalFormatting>
  <conditionalFormatting sqref="AL69:AO69">
    <cfRule type="cellIs" dxfId="1384" priority="639" operator="equal">
      <formula>0</formula>
    </cfRule>
  </conditionalFormatting>
  <conditionalFormatting sqref="AL70:AO70">
    <cfRule type="cellIs" dxfId="1383" priority="638" operator="equal">
      <formula>0</formula>
    </cfRule>
  </conditionalFormatting>
  <conditionalFormatting sqref="AL71:AO71">
    <cfRule type="cellIs" dxfId="1382" priority="637" operator="equal">
      <formula>0</formula>
    </cfRule>
  </conditionalFormatting>
  <conditionalFormatting sqref="AL72:AO72">
    <cfRule type="cellIs" dxfId="1381" priority="636" operator="equal">
      <formula>0</formula>
    </cfRule>
  </conditionalFormatting>
  <conditionalFormatting sqref="AL73:AO73">
    <cfRule type="cellIs" dxfId="1380" priority="635" operator="equal">
      <formula>0</formula>
    </cfRule>
  </conditionalFormatting>
  <conditionalFormatting sqref="AL74:AO74">
    <cfRule type="cellIs" dxfId="1379" priority="634" operator="equal">
      <formula>0</formula>
    </cfRule>
  </conditionalFormatting>
  <conditionalFormatting sqref="AL75:AO75">
    <cfRule type="cellIs" dxfId="1378" priority="633" operator="equal">
      <formula>0</formula>
    </cfRule>
  </conditionalFormatting>
  <conditionalFormatting sqref="AL76:AO76">
    <cfRule type="cellIs" dxfId="1377" priority="632" operator="equal">
      <formula>0</formula>
    </cfRule>
  </conditionalFormatting>
  <conditionalFormatting sqref="AL77:AO77">
    <cfRule type="cellIs" dxfId="1376" priority="631" operator="equal">
      <formula>0</formula>
    </cfRule>
  </conditionalFormatting>
  <conditionalFormatting sqref="AL78:AO78">
    <cfRule type="cellIs" dxfId="1375" priority="630" operator="equal">
      <formula>0</formula>
    </cfRule>
  </conditionalFormatting>
  <conditionalFormatting sqref="AL79:AO79">
    <cfRule type="cellIs" dxfId="1374" priority="629" operator="equal">
      <formula>0</formula>
    </cfRule>
  </conditionalFormatting>
  <conditionalFormatting sqref="AL80:AO80">
    <cfRule type="cellIs" dxfId="1373" priority="628" operator="equal">
      <formula>0</formula>
    </cfRule>
  </conditionalFormatting>
  <conditionalFormatting sqref="AL81:AO81">
    <cfRule type="cellIs" dxfId="1372" priority="627" operator="equal">
      <formula>0</formula>
    </cfRule>
  </conditionalFormatting>
  <conditionalFormatting sqref="AL82:AO82">
    <cfRule type="cellIs" dxfId="1371" priority="626" operator="equal">
      <formula>0</formula>
    </cfRule>
  </conditionalFormatting>
  <conditionalFormatting sqref="AL83:AO83">
    <cfRule type="cellIs" dxfId="1370" priority="625" operator="equal">
      <formula>0</formula>
    </cfRule>
  </conditionalFormatting>
  <conditionalFormatting sqref="AL84:AO84">
    <cfRule type="cellIs" dxfId="1369" priority="624" operator="equal">
      <formula>0</formula>
    </cfRule>
  </conditionalFormatting>
  <conditionalFormatting sqref="AL85:AO85">
    <cfRule type="cellIs" dxfId="1368" priority="623" operator="equal">
      <formula>0</formula>
    </cfRule>
  </conditionalFormatting>
  <conditionalFormatting sqref="AL86:AO86">
    <cfRule type="cellIs" dxfId="1367" priority="622" operator="equal">
      <formula>0</formula>
    </cfRule>
  </conditionalFormatting>
  <conditionalFormatting sqref="AL87:AO87">
    <cfRule type="cellIs" dxfId="1366" priority="621" operator="equal">
      <formula>0</formula>
    </cfRule>
  </conditionalFormatting>
  <conditionalFormatting sqref="AL88:AO88">
    <cfRule type="cellIs" dxfId="1365" priority="620" operator="equal">
      <formula>0</formula>
    </cfRule>
  </conditionalFormatting>
  <conditionalFormatting sqref="AL89:AO89">
    <cfRule type="cellIs" dxfId="1364" priority="619" operator="equal">
      <formula>0</formula>
    </cfRule>
  </conditionalFormatting>
  <conditionalFormatting sqref="AL90:AO90">
    <cfRule type="cellIs" dxfId="1363" priority="618" operator="equal">
      <formula>0</formula>
    </cfRule>
  </conditionalFormatting>
  <conditionalFormatting sqref="AQ3:AT3">
    <cfRule type="cellIs" dxfId="1362" priority="617" operator="equal">
      <formula>0</formula>
    </cfRule>
  </conditionalFormatting>
  <conditionalFormatting sqref="AQ4:AT4">
    <cfRule type="cellIs" dxfId="1361" priority="616" operator="equal">
      <formula>0</formula>
    </cfRule>
  </conditionalFormatting>
  <conditionalFormatting sqref="AQ5:AT5">
    <cfRule type="cellIs" dxfId="1360" priority="615" operator="equal">
      <formula>0</formula>
    </cfRule>
  </conditionalFormatting>
  <conditionalFormatting sqref="AQ6:AT6">
    <cfRule type="cellIs" dxfId="1359" priority="614" operator="equal">
      <formula>0</formula>
    </cfRule>
  </conditionalFormatting>
  <conditionalFormatting sqref="AQ7:AT7">
    <cfRule type="cellIs" dxfId="1358" priority="613" operator="equal">
      <formula>0</formula>
    </cfRule>
  </conditionalFormatting>
  <conditionalFormatting sqref="AQ8:AT8">
    <cfRule type="cellIs" dxfId="1357" priority="612" operator="equal">
      <formula>0</formula>
    </cfRule>
  </conditionalFormatting>
  <conditionalFormatting sqref="AQ9:AT9">
    <cfRule type="cellIs" dxfId="1356" priority="611" operator="equal">
      <formula>0</formula>
    </cfRule>
  </conditionalFormatting>
  <conditionalFormatting sqref="AQ10:AT10">
    <cfRule type="cellIs" dxfId="1355" priority="610" operator="equal">
      <formula>0</formula>
    </cfRule>
  </conditionalFormatting>
  <conditionalFormatting sqref="AQ11:AT11">
    <cfRule type="cellIs" dxfId="1354" priority="609" operator="equal">
      <formula>0</formula>
    </cfRule>
  </conditionalFormatting>
  <conditionalFormatting sqref="AQ12:AT12">
    <cfRule type="cellIs" dxfId="1353" priority="608" operator="equal">
      <formula>0</formula>
    </cfRule>
  </conditionalFormatting>
  <conditionalFormatting sqref="AQ13:AT13">
    <cfRule type="cellIs" dxfId="1352" priority="607" operator="equal">
      <formula>0</formula>
    </cfRule>
  </conditionalFormatting>
  <conditionalFormatting sqref="AQ14:AT14">
    <cfRule type="cellIs" dxfId="1351" priority="606" operator="equal">
      <formula>0</formula>
    </cfRule>
  </conditionalFormatting>
  <conditionalFormatting sqref="AQ15:AT15">
    <cfRule type="cellIs" dxfId="1350" priority="605" operator="equal">
      <formula>0</formula>
    </cfRule>
  </conditionalFormatting>
  <conditionalFormatting sqref="AQ16:AT16">
    <cfRule type="cellIs" dxfId="1349" priority="604" operator="equal">
      <formula>0</formula>
    </cfRule>
  </conditionalFormatting>
  <conditionalFormatting sqref="AQ17:AT17">
    <cfRule type="cellIs" dxfId="1348" priority="603" operator="equal">
      <formula>0</formula>
    </cfRule>
  </conditionalFormatting>
  <conditionalFormatting sqref="AQ18:AT18">
    <cfRule type="cellIs" dxfId="1347" priority="602" operator="equal">
      <formula>0</formula>
    </cfRule>
  </conditionalFormatting>
  <conditionalFormatting sqref="AQ19:AT19">
    <cfRule type="cellIs" dxfId="1346" priority="601" operator="equal">
      <formula>0</formula>
    </cfRule>
  </conditionalFormatting>
  <conditionalFormatting sqref="AQ20:AT20">
    <cfRule type="cellIs" dxfId="1345" priority="600" operator="equal">
      <formula>0</formula>
    </cfRule>
  </conditionalFormatting>
  <conditionalFormatting sqref="AQ21:AT21">
    <cfRule type="cellIs" dxfId="1344" priority="599" operator="equal">
      <formula>0</formula>
    </cfRule>
  </conditionalFormatting>
  <conditionalFormatting sqref="AQ22:AT22">
    <cfRule type="cellIs" dxfId="1343" priority="598" operator="equal">
      <formula>0</formula>
    </cfRule>
  </conditionalFormatting>
  <conditionalFormatting sqref="AQ23:AT23">
    <cfRule type="cellIs" dxfId="1342" priority="597" operator="equal">
      <formula>0</formula>
    </cfRule>
  </conditionalFormatting>
  <conditionalFormatting sqref="AQ24:AT24">
    <cfRule type="cellIs" dxfId="1341" priority="596" operator="equal">
      <formula>0</formula>
    </cfRule>
  </conditionalFormatting>
  <conditionalFormatting sqref="AQ25:AT25">
    <cfRule type="cellIs" dxfId="1340" priority="595" operator="equal">
      <formula>0</formula>
    </cfRule>
  </conditionalFormatting>
  <conditionalFormatting sqref="AQ26:AT26">
    <cfRule type="cellIs" dxfId="1339" priority="594" operator="equal">
      <formula>0</formula>
    </cfRule>
  </conditionalFormatting>
  <conditionalFormatting sqref="AQ27:AT27">
    <cfRule type="cellIs" dxfId="1338" priority="593" operator="equal">
      <formula>0</formula>
    </cfRule>
  </conditionalFormatting>
  <conditionalFormatting sqref="AQ28:AT28">
    <cfRule type="cellIs" dxfId="1337" priority="592" operator="equal">
      <formula>0</formula>
    </cfRule>
  </conditionalFormatting>
  <conditionalFormatting sqref="AQ29:AT29">
    <cfRule type="cellIs" dxfId="1336" priority="591" operator="equal">
      <formula>0</formula>
    </cfRule>
  </conditionalFormatting>
  <conditionalFormatting sqref="AQ30:AT30">
    <cfRule type="cellIs" dxfId="1335" priority="590" operator="equal">
      <formula>0</formula>
    </cfRule>
  </conditionalFormatting>
  <conditionalFormatting sqref="AQ31:AT31">
    <cfRule type="cellIs" dxfId="1334" priority="589" operator="equal">
      <formula>0</formula>
    </cfRule>
  </conditionalFormatting>
  <conditionalFormatting sqref="AQ32:AT32">
    <cfRule type="cellIs" dxfId="1333" priority="588" operator="equal">
      <formula>0</formula>
    </cfRule>
  </conditionalFormatting>
  <conditionalFormatting sqref="AQ33:AT33">
    <cfRule type="cellIs" dxfId="1332" priority="587" operator="equal">
      <formula>0</formula>
    </cfRule>
  </conditionalFormatting>
  <conditionalFormatting sqref="AQ34:AT34">
    <cfRule type="cellIs" dxfId="1331" priority="586" operator="equal">
      <formula>0</formula>
    </cfRule>
  </conditionalFormatting>
  <conditionalFormatting sqref="AQ35:AT35">
    <cfRule type="cellIs" dxfId="1330" priority="585" operator="equal">
      <formula>0</formula>
    </cfRule>
  </conditionalFormatting>
  <conditionalFormatting sqref="AQ36:AT36">
    <cfRule type="cellIs" dxfId="1329" priority="584" operator="equal">
      <formula>0</formula>
    </cfRule>
  </conditionalFormatting>
  <conditionalFormatting sqref="AQ37:AT37">
    <cfRule type="cellIs" dxfId="1328" priority="583" operator="equal">
      <formula>0</formula>
    </cfRule>
  </conditionalFormatting>
  <conditionalFormatting sqref="AQ38:AT38">
    <cfRule type="cellIs" dxfId="1327" priority="582" operator="equal">
      <formula>0</formula>
    </cfRule>
  </conditionalFormatting>
  <conditionalFormatting sqref="AQ39:AT39">
    <cfRule type="cellIs" dxfId="1326" priority="581" operator="equal">
      <formula>0</formula>
    </cfRule>
  </conditionalFormatting>
  <conditionalFormatting sqref="AQ40:AT40">
    <cfRule type="cellIs" dxfId="1325" priority="580" operator="equal">
      <formula>0</formula>
    </cfRule>
  </conditionalFormatting>
  <conditionalFormatting sqref="AQ41:AT41">
    <cfRule type="cellIs" dxfId="1324" priority="579" operator="equal">
      <formula>0</formula>
    </cfRule>
  </conditionalFormatting>
  <conditionalFormatting sqref="AQ42:AT42">
    <cfRule type="cellIs" dxfId="1323" priority="578" operator="equal">
      <formula>0</formula>
    </cfRule>
  </conditionalFormatting>
  <conditionalFormatting sqref="AQ43:AT43">
    <cfRule type="cellIs" dxfId="1322" priority="577" operator="equal">
      <formula>0</formula>
    </cfRule>
  </conditionalFormatting>
  <conditionalFormatting sqref="AQ44:AT44">
    <cfRule type="cellIs" dxfId="1321" priority="576" operator="equal">
      <formula>0</formula>
    </cfRule>
  </conditionalFormatting>
  <conditionalFormatting sqref="AQ45:AT45">
    <cfRule type="cellIs" dxfId="1320" priority="575" operator="equal">
      <formula>0</formula>
    </cfRule>
  </conditionalFormatting>
  <conditionalFormatting sqref="AQ46:AT46">
    <cfRule type="cellIs" dxfId="1319" priority="574" operator="equal">
      <formula>0</formula>
    </cfRule>
  </conditionalFormatting>
  <conditionalFormatting sqref="AQ47:AT47">
    <cfRule type="cellIs" dxfId="1318" priority="573" operator="equal">
      <formula>0</formula>
    </cfRule>
  </conditionalFormatting>
  <conditionalFormatting sqref="AQ48:AT48">
    <cfRule type="cellIs" dxfId="1317" priority="572" operator="equal">
      <formula>0</formula>
    </cfRule>
  </conditionalFormatting>
  <conditionalFormatting sqref="AQ49:AT49">
    <cfRule type="cellIs" dxfId="1316" priority="571" operator="equal">
      <formula>0</formula>
    </cfRule>
  </conditionalFormatting>
  <conditionalFormatting sqref="AQ50:AT50">
    <cfRule type="cellIs" dxfId="1315" priority="570" operator="equal">
      <formula>0</formula>
    </cfRule>
  </conditionalFormatting>
  <conditionalFormatting sqref="AQ51:AT51">
    <cfRule type="cellIs" dxfId="1314" priority="569" operator="equal">
      <formula>0</formula>
    </cfRule>
  </conditionalFormatting>
  <conditionalFormatting sqref="AQ52:AT52">
    <cfRule type="cellIs" dxfId="1313" priority="568" operator="equal">
      <formula>0</formula>
    </cfRule>
  </conditionalFormatting>
  <conditionalFormatting sqref="AQ53:AT53">
    <cfRule type="cellIs" dxfId="1312" priority="567" operator="equal">
      <formula>0</formula>
    </cfRule>
  </conditionalFormatting>
  <conditionalFormatting sqref="AQ54:AT54">
    <cfRule type="cellIs" dxfId="1311" priority="566" operator="equal">
      <formula>0</formula>
    </cfRule>
  </conditionalFormatting>
  <conditionalFormatting sqref="AQ55:AT55">
    <cfRule type="cellIs" dxfId="1310" priority="565" operator="equal">
      <formula>0</formula>
    </cfRule>
  </conditionalFormatting>
  <conditionalFormatting sqref="AQ56:AT56">
    <cfRule type="cellIs" dxfId="1309" priority="564" operator="equal">
      <formula>0</formula>
    </cfRule>
  </conditionalFormatting>
  <conditionalFormatting sqref="AQ57:AT57">
    <cfRule type="cellIs" dxfId="1308" priority="563" operator="equal">
      <formula>0</formula>
    </cfRule>
  </conditionalFormatting>
  <conditionalFormatting sqref="AQ58:AT58">
    <cfRule type="cellIs" dxfId="1307" priority="562" operator="equal">
      <formula>0</formula>
    </cfRule>
  </conditionalFormatting>
  <conditionalFormatting sqref="AQ59:AT59">
    <cfRule type="cellIs" dxfId="1306" priority="561" operator="equal">
      <formula>0</formula>
    </cfRule>
  </conditionalFormatting>
  <conditionalFormatting sqref="AQ60:AT60">
    <cfRule type="cellIs" dxfId="1305" priority="560" operator="equal">
      <formula>0</formula>
    </cfRule>
  </conditionalFormatting>
  <conditionalFormatting sqref="AQ61:AT61">
    <cfRule type="cellIs" dxfId="1304" priority="559" operator="equal">
      <formula>0</formula>
    </cfRule>
  </conditionalFormatting>
  <conditionalFormatting sqref="AQ62:AT62">
    <cfRule type="cellIs" dxfId="1303" priority="558" operator="equal">
      <formula>0</formula>
    </cfRule>
  </conditionalFormatting>
  <conditionalFormatting sqref="AQ63:AT63">
    <cfRule type="cellIs" dxfId="1302" priority="557" operator="equal">
      <formula>0</formula>
    </cfRule>
  </conditionalFormatting>
  <conditionalFormatting sqref="AQ64:AT64">
    <cfRule type="cellIs" dxfId="1301" priority="556" operator="equal">
      <formula>0</formula>
    </cfRule>
  </conditionalFormatting>
  <conditionalFormatting sqref="AQ65:AT65">
    <cfRule type="cellIs" dxfId="1300" priority="555" operator="equal">
      <formula>0</formula>
    </cfRule>
  </conditionalFormatting>
  <conditionalFormatting sqref="AQ66:AT66">
    <cfRule type="cellIs" dxfId="1299" priority="554" operator="equal">
      <formula>0</formula>
    </cfRule>
  </conditionalFormatting>
  <conditionalFormatting sqref="AQ67:AT67">
    <cfRule type="cellIs" dxfId="1298" priority="553" operator="equal">
      <formula>0</formula>
    </cfRule>
  </conditionalFormatting>
  <conditionalFormatting sqref="AQ68:AT68">
    <cfRule type="cellIs" dxfId="1297" priority="552" operator="equal">
      <formula>0</formula>
    </cfRule>
  </conditionalFormatting>
  <conditionalFormatting sqref="AQ69:AT69">
    <cfRule type="cellIs" dxfId="1296" priority="551" operator="equal">
      <formula>0</formula>
    </cfRule>
  </conditionalFormatting>
  <conditionalFormatting sqref="AQ70:AT70">
    <cfRule type="cellIs" dxfId="1295" priority="550" operator="equal">
      <formula>0</formula>
    </cfRule>
  </conditionalFormatting>
  <conditionalFormatting sqref="AQ71:AT71">
    <cfRule type="cellIs" dxfId="1294" priority="549" operator="equal">
      <formula>0</formula>
    </cfRule>
  </conditionalFormatting>
  <conditionalFormatting sqref="AQ72:AT72">
    <cfRule type="cellIs" dxfId="1293" priority="548" operator="equal">
      <formula>0</formula>
    </cfRule>
  </conditionalFormatting>
  <conditionalFormatting sqref="AQ73:AT73">
    <cfRule type="cellIs" dxfId="1292" priority="547" operator="equal">
      <formula>0</formula>
    </cfRule>
  </conditionalFormatting>
  <conditionalFormatting sqref="AQ74:AT74">
    <cfRule type="cellIs" dxfId="1291" priority="546" operator="equal">
      <formula>0</formula>
    </cfRule>
  </conditionalFormatting>
  <conditionalFormatting sqref="AQ75:AT75">
    <cfRule type="cellIs" dxfId="1290" priority="545" operator="equal">
      <formula>0</formula>
    </cfRule>
  </conditionalFormatting>
  <conditionalFormatting sqref="AQ76:AT76">
    <cfRule type="cellIs" dxfId="1289" priority="544" operator="equal">
      <formula>0</formula>
    </cfRule>
  </conditionalFormatting>
  <conditionalFormatting sqref="AQ77:AT77">
    <cfRule type="cellIs" dxfId="1288" priority="543" operator="equal">
      <formula>0</formula>
    </cfRule>
  </conditionalFormatting>
  <conditionalFormatting sqref="AQ78:AT78">
    <cfRule type="cellIs" dxfId="1287" priority="542" operator="equal">
      <formula>0</formula>
    </cfRule>
  </conditionalFormatting>
  <conditionalFormatting sqref="AQ79:AT79">
    <cfRule type="cellIs" dxfId="1286" priority="541" operator="equal">
      <formula>0</formula>
    </cfRule>
  </conditionalFormatting>
  <conditionalFormatting sqref="AQ80:AT80">
    <cfRule type="cellIs" dxfId="1285" priority="540" operator="equal">
      <formula>0</formula>
    </cfRule>
  </conditionalFormatting>
  <conditionalFormatting sqref="AQ81:AT81">
    <cfRule type="cellIs" dxfId="1284" priority="539" operator="equal">
      <formula>0</formula>
    </cfRule>
  </conditionalFormatting>
  <conditionalFormatting sqref="AQ82:AT82">
    <cfRule type="cellIs" dxfId="1283" priority="538" operator="equal">
      <formula>0</formula>
    </cfRule>
  </conditionalFormatting>
  <conditionalFormatting sqref="AQ83:AT83">
    <cfRule type="cellIs" dxfId="1282" priority="537" operator="equal">
      <formula>0</formula>
    </cfRule>
  </conditionalFormatting>
  <conditionalFormatting sqref="AQ84:AT84">
    <cfRule type="cellIs" dxfId="1281" priority="536" operator="equal">
      <formula>0</formula>
    </cfRule>
  </conditionalFormatting>
  <conditionalFormatting sqref="AQ85:AT85">
    <cfRule type="cellIs" dxfId="1280" priority="535" operator="equal">
      <formula>0</formula>
    </cfRule>
  </conditionalFormatting>
  <conditionalFormatting sqref="AQ86:AT86">
    <cfRule type="cellIs" dxfId="1279" priority="534" operator="equal">
      <formula>0</formula>
    </cfRule>
  </conditionalFormatting>
  <conditionalFormatting sqref="AQ87:AT87">
    <cfRule type="cellIs" dxfId="1278" priority="533" operator="equal">
      <formula>0</formula>
    </cfRule>
  </conditionalFormatting>
  <conditionalFormatting sqref="AQ88:AT88">
    <cfRule type="cellIs" dxfId="1277" priority="532" operator="equal">
      <formula>0</formula>
    </cfRule>
  </conditionalFormatting>
  <conditionalFormatting sqref="AQ89:AT89">
    <cfRule type="cellIs" dxfId="1276" priority="531" operator="equal">
      <formula>0</formula>
    </cfRule>
  </conditionalFormatting>
  <conditionalFormatting sqref="AQ90:AT90">
    <cfRule type="cellIs" dxfId="1275" priority="530" operator="equal">
      <formula>0</formula>
    </cfRule>
  </conditionalFormatting>
  <conditionalFormatting sqref="AV3:AY3">
    <cfRule type="cellIs" dxfId="1274" priority="529" operator="equal">
      <formula>0</formula>
    </cfRule>
  </conditionalFormatting>
  <conditionalFormatting sqref="AV4:AY4">
    <cfRule type="cellIs" dxfId="1273" priority="528" operator="equal">
      <formula>0</formula>
    </cfRule>
  </conditionalFormatting>
  <conditionalFormatting sqref="AV5:AY5">
    <cfRule type="cellIs" dxfId="1272" priority="527" operator="equal">
      <formula>0</formula>
    </cfRule>
  </conditionalFormatting>
  <conditionalFormatting sqref="AV6:AY6">
    <cfRule type="cellIs" dxfId="1271" priority="526" operator="equal">
      <formula>0</formula>
    </cfRule>
  </conditionalFormatting>
  <conditionalFormatting sqref="AV7:AY7">
    <cfRule type="cellIs" dxfId="1270" priority="525" operator="equal">
      <formula>0</formula>
    </cfRule>
  </conditionalFormatting>
  <conditionalFormatting sqref="AV8:AY8">
    <cfRule type="cellIs" dxfId="1269" priority="524" operator="equal">
      <formula>0</formula>
    </cfRule>
  </conditionalFormatting>
  <conditionalFormatting sqref="AV9:AY9">
    <cfRule type="cellIs" dxfId="1268" priority="523" operator="equal">
      <formula>0</formula>
    </cfRule>
  </conditionalFormatting>
  <conditionalFormatting sqref="AV10:AY10">
    <cfRule type="cellIs" dxfId="1267" priority="522" operator="equal">
      <formula>0</formula>
    </cfRule>
  </conditionalFormatting>
  <conditionalFormatting sqref="AV11:AY11">
    <cfRule type="cellIs" dxfId="1266" priority="521" operator="equal">
      <formula>0</formula>
    </cfRule>
  </conditionalFormatting>
  <conditionalFormatting sqref="AV12:AY12">
    <cfRule type="cellIs" dxfId="1265" priority="520" operator="equal">
      <formula>0</formula>
    </cfRule>
  </conditionalFormatting>
  <conditionalFormatting sqref="AV13:AY13">
    <cfRule type="cellIs" dxfId="1264" priority="519" operator="equal">
      <formula>0</formula>
    </cfRule>
  </conditionalFormatting>
  <conditionalFormatting sqref="AV14:AY14">
    <cfRule type="cellIs" dxfId="1263" priority="518" operator="equal">
      <formula>0</formula>
    </cfRule>
  </conditionalFormatting>
  <conditionalFormatting sqref="AV15:AY15">
    <cfRule type="cellIs" dxfId="1262" priority="517" operator="equal">
      <formula>0</formula>
    </cfRule>
  </conditionalFormatting>
  <conditionalFormatting sqref="AV16:AY16">
    <cfRule type="cellIs" dxfId="1261" priority="516" operator="equal">
      <formula>0</formula>
    </cfRule>
  </conditionalFormatting>
  <conditionalFormatting sqref="AV17:AY17">
    <cfRule type="cellIs" dxfId="1260" priority="515" operator="equal">
      <formula>0</formula>
    </cfRule>
  </conditionalFormatting>
  <conditionalFormatting sqref="AV18:AY18">
    <cfRule type="cellIs" dxfId="1259" priority="514" operator="equal">
      <formula>0</formula>
    </cfRule>
  </conditionalFormatting>
  <conditionalFormatting sqref="AV19:AY19">
    <cfRule type="cellIs" dxfId="1258" priority="513" operator="equal">
      <formula>0</formula>
    </cfRule>
  </conditionalFormatting>
  <conditionalFormatting sqref="AV20:AY20">
    <cfRule type="cellIs" dxfId="1257" priority="512" operator="equal">
      <formula>0</formula>
    </cfRule>
  </conditionalFormatting>
  <conditionalFormatting sqref="AV21:AY21">
    <cfRule type="cellIs" dxfId="1256" priority="511" operator="equal">
      <formula>0</formula>
    </cfRule>
  </conditionalFormatting>
  <conditionalFormatting sqref="AV22:AY22">
    <cfRule type="cellIs" dxfId="1255" priority="510" operator="equal">
      <formula>0</formula>
    </cfRule>
  </conditionalFormatting>
  <conditionalFormatting sqref="AV23:AY23">
    <cfRule type="cellIs" dxfId="1254" priority="509" operator="equal">
      <formula>0</formula>
    </cfRule>
  </conditionalFormatting>
  <conditionalFormatting sqref="AV24:AY24">
    <cfRule type="cellIs" dxfId="1253" priority="508" operator="equal">
      <formula>0</formula>
    </cfRule>
  </conditionalFormatting>
  <conditionalFormatting sqref="AV25:AY25">
    <cfRule type="cellIs" dxfId="1252" priority="507" operator="equal">
      <formula>0</formula>
    </cfRule>
  </conditionalFormatting>
  <conditionalFormatting sqref="AV26:AY26">
    <cfRule type="cellIs" dxfId="1251" priority="506" operator="equal">
      <formula>0</formula>
    </cfRule>
  </conditionalFormatting>
  <conditionalFormatting sqref="AV27:AY27">
    <cfRule type="cellIs" dxfId="1250" priority="505" operator="equal">
      <formula>0</formula>
    </cfRule>
  </conditionalFormatting>
  <conditionalFormatting sqref="AV28:AY28">
    <cfRule type="cellIs" dxfId="1249" priority="504" operator="equal">
      <formula>0</formula>
    </cfRule>
  </conditionalFormatting>
  <conditionalFormatting sqref="AV29:AY29">
    <cfRule type="cellIs" dxfId="1248" priority="503" operator="equal">
      <formula>0</formula>
    </cfRule>
  </conditionalFormatting>
  <conditionalFormatting sqref="AV30:AY30">
    <cfRule type="cellIs" dxfId="1247" priority="502" operator="equal">
      <formula>0</formula>
    </cfRule>
  </conditionalFormatting>
  <conditionalFormatting sqref="AV31:AY31">
    <cfRule type="cellIs" dxfId="1246" priority="501" operator="equal">
      <formula>0</formula>
    </cfRule>
  </conditionalFormatting>
  <conditionalFormatting sqref="AV32:AY32">
    <cfRule type="cellIs" dxfId="1245" priority="500" operator="equal">
      <formula>0</formula>
    </cfRule>
  </conditionalFormatting>
  <conditionalFormatting sqref="AV33:AY33">
    <cfRule type="cellIs" dxfId="1244" priority="499" operator="equal">
      <formula>0</formula>
    </cfRule>
  </conditionalFormatting>
  <conditionalFormatting sqref="AV34:AY34">
    <cfRule type="cellIs" dxfId="1243" priority="498" operator="equal">
      <formula>0</formula>
    </cfRule>
  </conditionalFormatting>
  <conditionalFormatting sqref="AV35:AY35">
    <cfRule type="cellIs" dxfId="1242" priority="497" operator="equal">
      <formula>0</formula>
    </cfRule>
  </conditionalFormatting>
  <conditionalFormatting sqref="AV36:AY36">
    <cfRule type="cellIs" dxfId="1241" priority="496" operator="equal">
      <formula>0</formula>
    </cfRule>
  </conditionalFormatting>
  <conditionalFormatting sqref="AV37:AY37">
    <cfRule type="cellIs" dxfId="1240" priority="495" operator="equal">
      <formula>0</formula>
    </cfRule>
  </conditionalFormatting>
  <conditionalFormatting sqref="AV38:AY38">
    <cfRule type="cellIs" dxfId="1239" priority="494" operator="equal">
      <formula>0</formula>
    </cfRule>
  </conditionalFormatting>
  <conditionalFormatting sqref="AV39:AY39">
    <cfRule type="cellIs" dxfId="1238" priority="493" operator="equal">
      <formula>0</formula>
    </cfRule>
  </conditionalFormatting>
  <conditionalFormatting sqref="AV40:AY40">
    <cfRule type="cellIs" dxfId="1237" priority="492" operator="equal">
      <formula>0</formula>
    </cfRule>
  </conditionalFormatting>
  <conditionalFormatting sqref="AV41:AY41">
    <cfRule type="cellIs" dxfId="1236" priority="491" operator="equal">
      <formula>0</formula>
    </cfRule>
  </conditionalFormatting>
  <conditionalFormatting sqref="AV42:AY42">
    <cfRule type="cellIs" dxfId="1235" priority="490" operator="equal">
      <formula>0</formula>
    </cfRule>
  </conditionalFormatting>
  <conditionalFormatting sqref="AV43:AY43">
    <cfRule type="cellIs" dxfId="1234" priority="489" operator="equal">
      <formula>0</formula>
    </cfRule>
  </conditionalFormatting>
  <conditionalFormatting sqref="AV44:AY44">
    <cfRule type="cellIs" dxfId="1233" priority="488" operator="equal">
      <formula>0</formula>
    </cfRule>
  </conditionalFormatting>
  <conditionalFormatting sqref="AV45:AY45">
    <cfRule type="cellIs" dxfId="1232" priority="487" operator="equal">
      <formula>0</formula>
    </cfRule>
  </conditionalFormatting>
  <conditionalFormatting sqref="AV46:AY46">
    <cfRule type="cellIs" dxfId="1231" priority="486" operator="equal">
      <formula>0</formula>
    </cfRule>
  </conditionalFormatting>
  <conditionalFormatting sqref="AV47:AY47">
    <cfRule type="cellIs" dxfId="1230" priority="485" operator="equal">
      <formula>0</formula>
    </cfRule>
  </conditionalFormatting>
  <conditionalFormatting sqref="AV48:AY48">
    <cfRule type="cellIs" dxfId="1229" priority="484" operator="equal">
      <formula>0</formula>
    </cfRule>
  </conditionalFormatting>
  <conditionalFormatting sqref="AV49:AY49">
    <cfRule type="cellIs" dxfId="1228" priority="483" operator="equal">
      <formula>0</formula>
    </cfRule>
  </conditionalFormatting>
  <conditionalFormatting sqref="AV50:AY50">
    <cfRule type="cellIs" dxfId="1227" priority="482" operator="equal">
      <formula>0</formula>
    </cfRule>
  </conditionalFormatting>
  <conditionalFormatting sqref="AV51:AY51">
    <cfRule type="cellIs" dxfId="1226" priority="481" operator="equal">
      <formula>0</formula>
    </cfRule>
  </conditionalFormatting>
  <conditionalFormatting sqref="AV52:AY52">
    <cfRule type="cellIs" dxfId="1225" priority="480" operator="equal">
      <formula>0</formula>
    </cfRule>
  </conditionalFormatting>
  <conditionalFormatting sqref="AV53:AY53">
    <cfRule type="cellIs" dxfId="1224" priority="479" operator="equal">
      <formula>0</formula>
    </cfRule>
  </conditionalFormatting>
  <conditionalFormatting sqref="AV54:AY54">
    <cfRule type="cellIs" dxfId="1223" priority="478" operator="equal">
      <formula>0</formula>
    </cfRule>
  </conditionalFormatting>
  <conditionalFormatting sqref="AV55:AY55">
    <cfRule type="cellIs" dxfId="1222" priority="477" operator="equal">
      <formula>0</formula>
    </cfRule>
  </conditionalFormatting>
  <conditionalFormatting sqref="AV56:AY56">
    <cfRule type="cellIs" dxfId="1221" priority="476" operator="equal">
      <formula>0</formula>
    </cfRule>
  </conditionalFormatting>
  <conditionalFormatting sqref="AV57:AY57">
    <cfRule type="cellIs" dxfId="1220" priority="475" operator="equal">
      <formula>0</formula>
    </cfRule>
  </conditionalFormatting>
  <conditionalFormatting sqref="AV58:AY58">
    <cfRule type="cellIs" dxfId="1219" priority="474" operator="equal">
      <formula>0</formula>
    </cfRule>
  </conditionalFormatting>
  <conditionalFormatting sqref="AV59:AY59">
    <cfRule type="cellIs" dxfId="1218" priority="473" operator="equal">
      <formula>0</formula>
    </cfRule>
  </conditionalFormatting>
  <conditionalFormatting sqref="AV60:AY60">
    <cfRule type="cellIs" dxfId="1217" priority="472" operator="equal">
      <formula>0</formula>
    </cfRule>
  </conditionalFormatting>
  <conditionalFormatting sqref="AV61:AY61">
    <cfRule type="cellIs" dxfId="1216" priority="471" operator="equal">
      <formula>0</formula>
    </cfRule>
  </conditionalFormatting>
  <conditionalFormatting sqref="AV62:AY62">
    <cfRule type="cellIs" dxfId="1215" priority="470" operator="equal">
      <formula>0</formula>
    </cfRule>
  </conditionalFormatting>
  <conditionalFormatting sqref="AV63:AY63">
    <cfRule type="cellIs" dxfId="1214" priority="469" operator="equal">
      <formula>0</formula>
    </cfRule>
  </conditionalFormatting>
  <conditionalFormatting sqref="AV64:AY64">
    <cfRule type="cellIs" dxfId="1213" priority="468" operator="equal">
      <formula>0</formula>
    </cfRule>
  </conditionalFormatting>
  <conditionalFormatting sqref="AV65:AY65">
    <cfRule type="cellIs" dxfId="1212" priority="467" operator="equal">
      <formula>0</formula>
    </cfRule>
  </conditionalFormatting>
  <conditionalFormatting sqref="AV66:AY66">
    <cfRule type="cellIs" dxfId="1211" priority="466" operator="equal">
      <formula>0</formula>
    </cfRule>
  </conditionalFormatting>
  <conditionalFormatting sqref="AV67:AY67">
    <cfRule type="cellIs" dxfId="1210" priority="465" operator="equal">
      <formula>0</formula>
    </cfRule>
  </conditionalFormatting>
  <conditionalFormatting sqref="AV68:AY68">
    <cfRule type="cellIs" dxfId="1209" priority="464" operator="equal">
      <formula>0</formula>
    </cfRule>
  </conditionalFormatting>
  <conditionalFormatting sqref="AV69:AY69">
    <cfRule type="cellIs" dxfId="1208" priority="463" operator="equal">
      <formula>0</formula>
    </cfRule>
  </conditionalFormatting>
  <conditionalFormatting sqref="AV70:AY70">
    <cfRule type="cellIs" dxfId="1207" priority="462" operator="equal">
      <formula>0</formula>
    </cfRule>
  </conditionalFormatting>
  <conditionalFormatting sqref="AV71:AY71">
    <cfRule type="cellIs" dxfId="1206" priority="461" operator="equal">
      <formula>0</formula>
    </cfRule>
  </conditionalFormatting>
  <conditionalFormatting sqref="AV72:AY72">
    <cfRule type="cellIs" dxfId="1205" priority="460" operator="equal">
      <formula>0</formula>
    </cfRule>
  </conditionalFormatting>
  <conditionalFormatting sqref="AV73:AY73">
    <cfRule type="cellIs" dxfId="1204" priority="459" operator="equal">
      <formula>0</formula>
    </cfRule>
  </conditionalFormatting>
  <conditionalFormatting sqref="AV74:AY74">
    <cfRule type="cellIs" dxfId="1203" priority="458" operator="equal">
      <formula>0</formula>
    </cfRule>
  </conditionalFormatting>
  <conditionalFormatting sqref="AV75:AY75">
    <cfRule type="cellIs" dxfId="1202" priority="457" operator="equal">
      <formula>0</formula>
    </cfRule>
  </conditionalFormatting>
  <conditionalFormatting sqref="AV76:AY76">
    <cfRule type="cellIs" dxfId="1201" priority="456" operator="equal">
      <formula>0</formula>
    </cfRule>
  </conditionalFormatting>
  <conditionalFormatting sqref="AV77:AY77">
    <cfRule type="cellIs" dxfId="1200" priority="455" operator="equal">
      <formula>0</formula>
    </cfRule>
  </conditionalFormatting>
  <conditionalFormatting sqref="AV78:AY78">
    <cfRule type="cellIs" dxfId="1199" priority="454" operator="equal">
      <formula>0</formula>
    </cfRule>
  </conditionalFormatting>
  <conditionalFormatting sqref="AV79:AY79">
    <cfRule type="cellIs" dxfId="1198" priority="453" operator="equal">
      <formula>0</formula>
    </cfRule>
  </conditionalFormatting>
  <conditionalFormatting sqref="AV80:AY80">
    <cfRule type="cellIs" dxfId="1197" priority="452" operator="equal">
      <formula>0</formula>
    </cfRule>
  </conditionalFormatting>
  <conditionalFormatting sqref="AV81:AY81">
    <cfRule type="cellIs" dxfId="1196" priority="451" operator="equal">
      <formula>0</formula>
    </cfRule>
  </conditionalFormatting>
  <conditionalFormatting sqref="AV82:AY82">
    <cfRule type="cellIs" dxfId="1195" priority="450" operator="equal">
      <formula>0</formula>
    </cfRule>
  </conditionalFormatting>
  <conditionalFormatting sqref="AV83:AY83">
    <cfRule type="cellIs" dxfId="1194" priority="449" operator="equal">
      <formula>0</formula>
    </cfRule>
  </conditionalFormatting>
  <conditionalFormatting sqref="AV84:AY84">
    <cfRule type="cellIs" dxfId="1193" priority="448" operator="equal">
      <formula>0</formula>
    </cfRule>
  </conditionalFormatting>
  <conditionalFormatting sqref="AV85:AY85">
    <cfRule type="cellIs" dxfId="1192" priority="447" operator="equal">
      <formula>0</formula>
    </cfRule>
  </conditionalFormatting>
  <conditionalFormatting sqref="AV86:AY86">
    <cfRule type="cellIs" dxfId="1191" priority="446" operator="equal">
      <formula>0</formula>
    </cfRule>
  </conditionalFormatting>
  <conditionalFormatting sqref="AV87:AY87">
    <cfRule type="cellIs" dxfId="1190" priority="445" operator="equal">
      <formula>0</formula>
    </cfRule>
  </conditionalFormatting>
  <conditionalFormatting sqref="AV88:AY88">
    <cfRule type="cellIs" dxfId="1189" priority="444" operator="equal">
      <formula>0</formula>
    </cfRule>
  </conditionalFormatting>
  <conditionalFormatting sqref="AV89:AY89">
    <cfRule type="cellIs" dxfId="1188" priority="443" operator="equal">
      <formula>0</formula>
    </cfRule>
  </conditionalFormatting>
  <conditionalFormatting sqref="AV90:AY90">
    <cfRule type="cellIs" dxfId="1187" priority="442" operator="equal">
      <formula>0</formula>
    </cfRule>
  </conditionalFormatting>
  <conditionalFormatting sqref="BA3:BD3">
    <cfRule type="cellIs" dxfId="1186" priority="441" operator="equal">
      <formula>0</formula>
    </cfRule>
  </conditionalFormatting>
  <conditionalFormatting sqref="BA4:BD4">
    <cfRule type="cellIs" dxfId="1185" priority="440" operator="equal">
      <formula>0</formula>
    </cfRule>
  </conditionalFormatting>
  <conditionalFormatting sqref="BA5:BD5">
    <cfRule type="cellIs" dxfId="1184" priority="439" operator="equal">
      <formula>0</formula>
    </cfRule>
  </conditionalFormatting>
  <conditionalFormatting sqref="BA6:BD6">
    <cfRule type="cellIs" dxfId="1183" priority="438" operator="equal">
      <formula>0</formula>
    </cfRule>
  </conditionalFormatting>
  <conditionalFormatting sqref="BA7:BD7">
    <cfRule type="cellIs" dxfId="1182" priority="437" operator="equal">
      <formula>0</formula>
    </cfRule>
  </conditionalFormatting>
  <conditionalFormatting sqref="BA8:BD8">
    <cfRule type="cellIs" dxfId="1181" priority="436" operator="equal">
      <formula>0</formula>
    </cfRule>
  </conditionalFormatting>
  <conditionalFormatting sqref="BA9:BD9">
    <cfRule type="cellIs" dxfId="1180" priority="435" operator="equal">
      <formula>0</formula>
    </cfRule>
  </conditionalFormatting>
  <conditionalFormatting sqref="BA10:BD10">
    <cfRule type="cellIs" dxfId="1179" priority="434" operator="equal">
      <formula>0</formula>
    </cfRule>
  </conditionalFormatting>
  <conditionalFormatting sqref="BA11:BD11">
    <cfRule type="cellIs" dxfId="1178" priority="433" operator="equal">
      <formula>0</formula>
    </cfRule>
  </conditionalFormatting>
  <conditionalFormatting sqref="BA12:BD12">
    <cfRule type="cellIs" dxfId="1177" priority="432" operator="equal">
      <formula>0</formula>
    </cfRule>
  </conditionalFormatting>
  <conditionalFormatting sqref="BA13:BD13">
    <cfRule type="cellIs" dxfId="1176" priority="431" operator="equal">
      <formula>0</formula>
    </cfRule>
  </conditionalFormatting>
  <conditionalFormatting sqref="BA14:BD14">
    <cfRule type="cellIs" dxfId="1175" priority="430" operator="equal">
      <formula>0</formula>
    </cfRule>
  </conditionalFormatting>
  <conditionalFormatting sqref="BA15:BD15">
    <cfRule type="cellIs" dxfId="1174" priority="429" operator="equal">
      <formula>0</formula>
    </cfRule>
  </conditionalFormatting>
  <conditionalFormatting sqref="BA16:BD16">
    <cfRule type="cellIs" dxfId="1173" priority="428" operator="equal">
      <formula>0</formula>
    </cfRule>
  </conditionalFormatting>
  <conditionalFormatting sqref="BA17:BD17">
    <cfRule type="cellIs" dxfId="1172" priority="427" operator="equal">
      <formula>0</formula>
    </cfRule>
  </conditionalFormatting>
  <conditionalFormatting sqref="BA18:BD18">
    <cfRule type="cellIs" dxfId="1171" priority="426" operator="equal">
      <formula>0</formula>
    </cfRule>
  </conditionalFormatting>
  <conditionalFormatting sqref="BA19:BD19">
    <cfRule type="cellIs" dxfId="1170" priority="425" operator="equal">
      <formula>0</formula>
    </cfRule>
  </conditionalFormatting>
  <conditionalFormatting sqref="BA20:BD20">
    <cfRule type="cellIs" dxfId="1169" priority="424" operator="equal">
      <formula>0</formula>
    </cfRule>
  </conditionalFormatting>
  <conditionalFormatting sqref="BA21:BD21">
    <cfRule type="cellIs" dxfId="1168" priority="423" operator="equal">
      <formula>0</formula>
    </cfRule>
  </conditionalFormatting>
  <conditionalFormatting sqref="BA22:BD22">
    <cfRule type="cellIs" dxfId="1167" priority="422" operator="equal">
      <formula>0</formula>
    </cfRule>
  </conditionalFormatting>
  <conditionalFormatting sqref="BA23:BD23">
    <cfRule type="cellIs" dxfId="1166" priority="421" operator="equal">
      <formula>0</formula>
    </cfRule>
  </conditionalFormatting>
  <conditionalFormatting sqref="BA24:BD24">
    <cfRule type="cellIs" dxfId="1165" priority="420" operator="equal">
      <formula>0</formula>
    </cfRule>
  </conditionalFormatting>
  <conditionalFormatting sqref="BA25:BD25">
    <cfRule type="cellIs" dxfId="1164" priority="419" operator="equal">
      <formula>0</formula>
    </cfRule>
  </conditionalFormatting>
  <conditionalFormatting sqref="BA26:BD26">
    <cfRule type="cellIs" dxfId="1163" priority="418" operator="equal">
      <formula>0</formula>
    </cfRule>
  </conditionalFormatting>
  <conditionalFormatting sqref="BA27:BD27">
    <cfRule type="cellIs" dxfId="1162" priority="417" operator="equal">
      <formula>0</formula>
    </cfRule>
  </conditionalFormatting>
  <conditionalFormatting sqref="BA28:BD28">
    <cfRule type="cellIs" dxfId="1161" priority="416" operator="equal">
      <formula>0</formula>
    </cfRule>
  </conditionalFormatting>
  <conditionalFormatting sqref="BA29:BD29">
    <cfRule type="cellIs" dxfId="1160" priority="415" operator="equal">
      <formula>0</formula>
    </cfRule>
  </conditionalFormatting>
  <conditionalFormatting sqref="BA30:BD30">
    <cfRule type="cellIs" dxfId="1159" priority="414" operator="equal">
      <formula>0</formula>
    </cfRule>
  </conditionalFormatting>
  <conditionalFormatting sqref="BA31:BD31">
    <cfRule type="cellIs" dxfId="1158" priority="413" operator="equal">
      <formula>0</formula>
    </cfRule>
  </conditionalFormatting>
  <conditionalFormatting sqref="BA32:BD32">
    <cfRule type="cellIs" dxfId="1157" priority="412" operator="equal">
      <formula>0</formula>
    </cfRule>
  </conditionalFormatting>
  <conditionalFormatting sqref="BA33:BD33">
    <cfRule type="cellIs" dxfId="1156" priority="411" operator="equal">
      <formula>0</formula>
    </cfRule>
  </conditionalFormatting>
  <conditionalFormatting sqref="BA34:BD34">
    <cfRule type="cellIs" dxfId="1155" priority="410" operator="equal">
      <formula>0</formula>
    </cfRule>
  </conditionalFormatting>
  <conditionalFormatting sqref="BA35:BD35">
    <cfRule type="cellIs" dxfId="1154" priority="409" operator="equal">
      <formula>0</formula>
    </cfRule>
  </conditionalFormatting>
  <conditionalFormatting sqref="BA36:BD36">
    <cfRule type="cellIs" dxfId="1153" priority="408" operator="equal">
      <formula>0</formula>
    </cfRule>
  </conditionalFormatting>
  <conditionalFormatting sqref="BA37:BD37">
    <cfRule type="cellIs" dxfId="1152" priority="407" operator="equal">
      <formula>0</formula>
    </cfRule>
  </conditionalFormatting>
  <conditionalFormatting sqref="BA38:BD38">
    <cfRule type="cellIs" dxfId="1151" priority="406" operator="equal">
      <formula>0</formula>
    </cfRule>
  </conditionalFormatting>
  <conditionalFormatting sqref="BA39:BD39">
    <cfRule type="cellIs" dxfId="1150" priority="405" operator="equal">
      <formula>0</formula>
    </cfRule>
  </conditionalFormatting>
  <conditionalFormatting sqref="BA40:BD40">
    <cfRule type="cellIs" dxfId="1149" priority="404" operator="equal">
      <formula>0</formula>
    </cfRule>
  </conditionalFormatting>
  <conditionalFormatting sqref="BA41:BD41">
    <cfRule type="cellIs" dxfId="1148" priority="403" operator="equal">
      <formula>0</formula>
    </cfRule>
  </conditionalFormatting>
  <conditionalFormatting sqref="BA42:BD42">
    <cfRule type="cellIs" dxfId="1147" priority="402" operator="equal">
      <formula>0</formula>
    </cfRule>
  </conditionalFormatting>
  <conditionalFormatting sqref="BA43:BD43">
    <cfRule type="cellIs" dxfId="1146" priority="401" operator="equal">
      <formula>0</formula>
    </cfRule>
  </conditionalFormatting>
  <conditionalFormatting sqref="BA44:BD44">
    <cfRule type="cellIs" dxfId="1145" priority="400" operator="equal">
      <formula>0</formula>
    </cfRule>
  </conditionalFormatting>
  <conditionalFormatting sqref="BA45:BD45">
    <cfRule type="cellIs" dxfId="1144" priority="399" operator="equal">
      <formula>0</formula>
    </cfRule>
  </conditionalFormatting>
  <conditionalFormatting sqref="BA46:BD46">
    <cfRule type="cellIs" dxfId="1143" priority="398" operator="equal">
      <formula>0</formula>
    </cfRule>
  </conditionalFormatting>
  <conditionalFormatting sqref="BA47:BD47">
    <cfRule type="cellIs" dxfId="1142" priority="397" operator="equal">
      <formula>0</formula>
    </cfRule>
  </conditionalFormatting>
  <conditionalFormatting sqref="BA48:BD48">
    <cfRule type="cellIs" dxfId="1141" priority="396" operator="equal">
      <formula>0</formula>
    </cfRule>
  </conditionalFormatting>
  <conditionalFormatting sqref="BA49:BD49">
    <cfRule type="cellIs" dxfId="1140" priority="395" operator="equal">
      <formula>0</formula>
    </cfRule>
  </conditionalFormatting>
  <conditionalFormatting sqref="BA50:BD50">
    <cfRule type="cellIs" dxfId="1139" priority="394" operator="equal">
      <formula>0</formula>
    </cfRule>
  </conditionalFormatting>
  <conditionalFormatting sqref="BA51:BD51">
    <cfRule type="cellIs" dxfId="1138" priority="393" operator="equal">
      <formula>0</formula>
    </cfRule>
  </conditionalFormatting>
  <conditionalFormatting sqref="BA52:BD52">
    <cfRule type="cellIs" dxfId="1137" priority="392" operator="equal">
      <formula>0</formula>
    </cfRule>
  </conditionalFormatting>
  <conditionalFormatting sqref="BA53:BD53">
    <cfRule type="cellIs" dxfId="1136" priority="391" operator="equal">
      <formula>0</formula>
    </cfRule>
  </conditionalFormatting>
  <conditionalFormatting sqref="BA54:BD54">
    <cfRule type="cellIs" dxfId="1135" priority="390" operator="equal">
      <formula>0</formula>
    </cfRule>
  </conditionalFormatting>
  <conditionalFormatting sqref="BA55:BD55">
    <cfRule type="cellIs" dxfId="1134" priority="389" operator="equal">
      <formula>0</formula>
    </cfRule>
  </conditionalFormatting>
  <conditionalFormatting sqref="BA56:BD56">
    <cfRule type="cellIs" dxfId="1133" priority="388" operator="equal">
      <formula>0</formula>
    </cfRule>
  </conditionalFormatting>
  <conditionalFormatting sqref="BA57:BD57">
    <cfRule type="cellIs" dxfId="1132" priority="387" operator="equal">
      <formula>0</formula>
    </cfRule>
  </conditionalFormatting>
  <conditionalFormatting sqref="BA58:BD58">
    <cfRule type="cellIs" dxfId="1131" priority="386" operator="equal">
      <formula>0</formula>
    </cfRule>
  </conditionalFormatting>
  <conditionalFormatting sqref="BA59:BD59">
    <cfRule type="cellIs" dxfId="1130" priority="385" operator="equal">
      <formula>0</formula>
    </cfRule>
  </conditionalFormatting>
  <conditionalFormatting sqref="BA60:BD60">
    <cfRule type="cellIs" dxfId="1129" priority="384" operator="equal">
      <formula>0</formula>
    </cfRule>
  </conditionalFormatting>
  <conditionalFormatting sqref="BA61:BD61">
    <cfRule type="cellIs" dxfId="1128" priority="383" operator="equal">
      <formula>0</formula>
    </cfRule>
  </conditionalFormatting>
  <conditionalFormatting sqref="BA62:BD62">
    <cfRule type="cellIs" dxfId="1127" priority="382" operator="equal">
      <formula>0</formula>
    </cfRule>
  </conditionalFormatting>
  <conditionalFormatting sqref="BA63:BD63">
    <cfRule type="cellIs" dxfId="1126" priority="381" operator="equal">
      <formula>0</formula>
    </cfRule>
  </conditionalFormatting>
  <conditionalFormatting sqref="BA64:BD64">
    <cfRule type="cellIs" dxfId="1125" priority="380" operator="equal">
      <formula>0</formula>
    </cfRule>
  </conditionalFormatting>
  <conditionalFormatting sqref="BA65:BD65">
    <cfRule type="cellIs" dxfId="1124" priority="379" operator="equal">
      <formula>0</formula>
    </cfRule>
  </conditionalFormatting>
  <conditionalFormatting sqref="BA66:BD66">
    <cfRule type="cellIs" dxfId="1123" priority="378" operator="equal">
      <formula>0</formula>
    </cfRule>
  </conditionalFormatting>
  <conditionalFormatting sqref="BA67:BD67">
    <cfRule type="cellIs" dxfId="1122" priority="377" operator="equal">
      <formula>0</formula>
    </cfRule>
  </conditionalFormatting>
  <conditionalFormatting sqref="BA68:BD68">
    <cfRule type="cellIs" dxfId="1121" priority="376" operator="equal">
      <formula>0</formula>
    </cfRule>
  </conditionalFormatting>
  <conditionalFormatting sqref="BA69:BD69">
    <cfRule type="cellIs" dxfId="1120" priority="375" operator="equal">
      <formula>0</formula>
    </cfRule>
  </conditionalFormatting>
  <conditionalFormatting sqref="BA70:BD70">
    <cfRule type="cellIs" dxfId="1119" priority="374" operator="equal">
      <formula>0</formula>
    </cfRule>
  </conditionalFormatting>
  <conditionalFormatting sqref="BA71:BD71">
    <cfRule type="cellIs" dxfId="1118" priority="373" operator="equal">
      <formula>0</formula>
    </cfRule>
  </conditionalFormatting>
  <conditionalFormatting sqref="BA72:BD72">
    <cfRule type="cellIs" dxfId="1117" priority="372" operator="equal">
      <formula>0</formula>
    </cfRule>
  </conditionalFormatting>
  <conditionalFormatting sqref="BA73:BD73">
    <cfRule type="cellIs" dxfId="1116" priority="371" operator="equal">
      <formula>0</formula>
    </cfRule>
  </conditionalFormatting>
  <conditionalFormatting sqref="BA74:BD74">
    <cfRule type="cellIs" dxfId="1115" priority="370" operator="equal">
      <formula>0</formula>
    </cfRule>
  </conditionalFormatting>
  <conditionalFormatting sqref="BA75:BD75">
    <cfRule type="cellIs" dxfId="1114" priority="369" operator="equal">
      <formula>0</formula>
    </cfRule>
  </conditionalFormatting>
  <conditionalFormatting sqref="BA76:BD76">
    <cfRule type="cellIs" dxfId="1113" priority="368" operator="equal">
      <formula>0</formula>
    </cfRule>
  </conditionalFormatting>
  <conditionalFormatting sqref="BA77:BD77">
    <cfRule type="cellIs" dxfId="1112" priority="367" operator="equal">
      <formula>0</formula>
    </cfRule>
  </conditionalFormatting>
  <conditionalFormatting sqref="BA78:BD78">
    <cfRule type="cellIs" dxfId="1111" priority="366" operator="equal">
      <formula>0</formula>
    </cfRule>
  </conditionalFormatting>
  <conditionalFormatting sqref="BA79:BD79">
    <cfRule type="cellIs" dxfId="1110" priority="365" operator="equal">
      <formula>0</formula>
    </cfRule>
  </conditionalFormatting>
  <conditionalFormatting sqref="BA80:BD80">
    <cfRule type="cellIs" dxfId="1109" priority="364" operator="equal">
      <formula>0</formula>
    </cfRule>
  </conditionalFormatting>
  <conditionalFormatting sqref="BA81:BD81">
    <cfRule type="cellIs" dxfId="1108" priority="363" operator="equal">
      <formula>0</formula>
    </cfRule>
  </conditionalFormatting>
  <conditionalFormatting sqref="BA82:BD82">
    <cfRule type="cellIs" dxfId="1107" priority="362" operator="equal">
      <formula>0</formula>
    </cfRule>
  </conditionalFormatting>
  <conditionalFormatting sqref="BA83:BD83">
    <cfRule type="cellIs" dxfId="1106" priority="361" operator="equal">
      <formula>0</formula>
    </cfRule>
  </conditionalFormatting>
  <conditionalFormatting sqref="BA84:BD84">
    <cfRule type="cellIs" dxfId="1105" priority="360" operator="equal">
      <formula>0</formula>
    </cfRule>
  </conditionalFormatting>
  <conditionalFormatting sqref="BA85:BD85">
    <cfRule type="cellIs" dxfId="1104" priority="359" operator="equal">
      <formula>0</formula>
    </cfRule>
  </conditionalFormatting>
  <conditionalFormatting sqref="BA86:BD86">
    <cfRule type="cellIs" dxfId="1103" priority="358" operator="equal">
      <formula>0</formula>
    </cfRule>
  </conditionalFormatting>
  <conditionalFormatting sqref="BA87:BD87">
    <cfRule type="cellIs" dxfId="1102" priority="357" operator="equal">
      <formula>0</formula>
    </cfRule>
  </conditionalFormatting>
  <conditionalFormatting sqref="BA88:BD88">
    <cfRule type="cellIs" dxfId="1101" priority="356" operator="equal">
      <formula>0</formula>
    </cfRule>
  </conditionalFormatting>
  <conditionalFormatting sqref="BA89:BD89">
    <cfRule type="cellIs" dxfId="1100" priority="355" operator="equal">
      <formula>0</formula>
    </cfRule>
  </conditionalFormatting>
  <conditionalFormatting sqref="BA90:BD90">
    <cfRule type="cellIs" dxfId="1099" priority="354" operator="equal">
      <formula>0</formula>
    </cfRule>
  </conditionalFormatting>
  <conditionalFormatting sqref="BF3:BI3">
    <cfRule type="cellIs" dxfId="1098" priority="353" operator="equal">
      <formula>0</formula>
    </cfRule>
  </conditionalFormatting>
  <conditionalFormatting sqref="BF4:BI4">
    <cfRule type="cellIs" dxfId="1097" priority="352" operator="equal">
      <formula>0</formula>
    </cfRule>
  </conditionalFormatting>
  <conditionalFormatting sqref="BF5:BI5">
    <cfRule type="cellIs" dxfId="1096" priority="351" operator="equal">
      <formula>0</formula>
    </cfRule>
  </conditionalFormatting>
  <conditionalFormatting sqref="BF6:BI6">
    <cfRule type="cellIs" dxfId="1095" priority="350" operator="equal">
      <formula>0</formula>
    </cfRule>
  </conditionalFormatting>
  <conditionalFormatting sqref="BF7:BI7">
    <cfRule type="cellIs" dxfId="1094" priority="349" operator="equal">
      <formula>0</formula>
    </cfRule>
  </conditionalFormatting>
  <conditionalFormatting sqref="BF8:BI8">
    <cfRule type="cellIs" dxfId="1093" priority="348" operator="equal">
      <formula>0</formula>
    </cfRule>
  </conditionalFormatting>
  <conditionalFormatting sqref="BF9:BI9">
    <cfRule type="cellIs" dxfId="1092" priority="347" operator="equal">
      <formula>0</formula>
    </cfRule>
  </conditionalFormatting>
  <conditionalFormatting sqref="BF10:BI10">
    <cfRule type="cellIs" dxfId="1091" priority="346" operator="equal">
      <formula>0</formula>
    </cfRule>
  </conditionalFormatting>
  <conditionalFormatting sqref="BF11:BI11">
    <cfRule type="cellIs" dxfId="1090" priority="345" operator="equal">
      <formula>0</formula>
    </cfRule>
  </conditionalFormatting>
  <conditionalFormatting sqref="BF12:BI12">
    <cfRule type="cellIs" dxfId="1089" priority="344" operator="equal">
      <formula>0</formula>
    </cfRule>
  </conditionalFormatting>
  <conditionalFormatting sqref="BF13:BI13">
    <cfRule type="cellIs" dxfId="1088" priority="343" operator="equal">
      <formula>0</formula>
    </cfRule>
  </conditionalFormatting>
  <conditionalFormatting sqref="BF14:BI14">
    <cfRule type="cellIs" dxfId="1087" priority="342" operator="equal">
      <formula>0</formula>
    </cfRule>
  </conditionalFormatting>
  <conditionalFormatting sqref="BF15:BI15">
    <cfRule type="cellIs" dxfId="1086" priority="341" operator="equal">
      <formula>0</formula>
    </cfRule>
  </conditionalFormatting>
  <conditionalFormatting sqref="BF16:BI16">
    <cfRule type="cellIs" dxfId="1085" priority="340" operator="equal">
      <formula>0</formula>
    </cfRule>
  </conditionalFormatting>
  <conditionalFormatting sqref="BF17:BI17">
    <cfRule type="cellIs" dxfId="1084" priority="339" operator="equal">
      <formula>0</formula>
    </cfRule>
  </conditionalFormatting>
  <conditionalFormatting sqref="BF18:BI18">
    <cfRule type="cellIs" dxfId="1083" priority="338" operator="equal">
      <formula>0</formula>
    </cfRule>
  </conditionalFormatting>
  <conditionalFormatting sqref="BF19:BI19">
    <cfRule type="cellIs" dxfId="1082" priority="337" operator="equal">
      <formula>0</formula>
    </cfRule>
  </conditionalFormatting>
  <conditionalFormatting sqref="BF20:BI20">
    <cfRule type="cellIs" dxfId="1081" priority="336" operator="equal">
      <formula>0</formula>
    </cfRule>
  </conditionalFormatting>
  <conditionalFormatting sqref="BF21:BI21">
    <cfRule type="cellIs" dxfId="1080" priority="335" operator="equal">
      <formula>0</formula>
    </cfRule>
  </conditionalFormatting>
  <conditionalFormatting sqref="BF22:BI22">
    <cfRule type="cellIs" dxfId="1079" priority="334" operator="equal">
      <formula>0</formula>
    </cfRule>
  </conditionalFormatting>
  <conditionalFormatting sqref="BF23:BI23">
    <cfRule type="cellIs" dxfId="1078" priority="333" operator="equal">
      <formula>0</formula>
    </cfRule>
  </conditionalFormatting>
  <conditionalFormatting sqref="BF24:BI24">
    <cfRule type="cellIs" dxfId="1077" priority="332" operator="equal">
      <formula>0</formula>
    </cfRule>
  </conditionalFormatting>
  <conditionalFormatting sqref="BF25:BI25">
    <cfRule type="cellIs" dxfId="1076" priority="331" operator="equal">
      <formula>0</formula>
    </cfRule>
  </conditionalFormatting>
  <conditionalFormatting sqref="BF26:BI26">
    <cfRule type="cellIs" dxfId="1075" priority="330" operator="equal">
      <formula>0</formula>
    </cfRule>
  </conditionalFormatting>
  <conditionalFormatting sqref="BF27:BI27">
    <cfRule type="cellIs" dxfId="1074" priority="329" operator="equal">
      <formula>0</formula>
    </cfRule>
  </conditionalFormatting>
  <conditionalFormatting sqref="BF28:BI28">
    <cfRule type="cellIs" dxfId="1073" priority="328" operator="equal">
      <formula>0</formula>
    </cfRule>
  </conditionalFormatting>
  <conditionalFormatting sqref="BF29:BI29">
    <cfRule type="cellIs" dxfId="1072" priority="327" operator="equal">
      <formula>0</formula>
    </cfRule>
  </conditionalFormatting>
  <conditionalFormatting sqref="BF30:BI30">
    <cfRule type="cellIs" dxfId="1071" priority="326" operator="equal">
      <formula>0</formula>
    </cfRule>
  </conditionalFormatting>
  <conditionalFormatting sqref="BF31:BI31">
    <cfRule type="cellIs" dxfId="1070" priority="325" operator="equal">
      <formula>0</formula>
    </cfRule>
  </conditionalFormatting>
  <conditionalFormatting sqref="BF32:BI32">
    <cfRule type="cellIs" dxfId="1069" priority="324" operator="equal">
      <formula>0</formula>
    </cfRule>
  </conditionalFormatting>
  <conditionalFormatting sqref="BF33:BI33">
    <cfRule type="cellIs" dxfId="1068" priority="323" operator="equal">
      <formula>0</formula>
    </cfRule>
  </conditionalFormatting>
  <conditionalFormatting sqref="BF34:BI34">
    <cfRule type="cellIs" dxfId="1067" priority="322" operator="equal">
      <formula>0</formula>
    </cfRule>
  </conditionalFormatting>
  <conditionalFormatting sqref="BF35:BI35">
    <cfRule type="cellIs" dxfId="1066" priority="321" operator="equal">
      <formula>0</formula>
    </cfRule>
  </conditionalFormatting>
  <conditionalFormatting sqref="BF36:BI36">
    <cfRule type="cellIs" dxfId="1065" priority="320" operator="equal">
      <formula>0</formula>
    </cfRule>
  </conditionalFormatting>
  <conditionalFormatting sqref="BF37:BI37">
    <cfRule type="cellIs" dxfId="1064" priority="319" operator="equal">
      <formula>0</formula>
    </cfRule>
  </conditionalFormatting>
  <conditionalFormatting sqref="BF38:BI38">
    <cfRule type="cellIs" dxfId="1063" priority="318" operator="equal">
      <formula>0</formula>
    </cfRule>
  </conditionalFormatting>
  <conditionalFormatting sqref="BF39:BI39">
    <cfRule type="cellIs" dxfId="1062" priority="317" operator="equal">
      <formula>0</formula>
    </cfRule>
  </conditionalFormatting>
  <conditionalFormatting sqref="BF40:BI40">
    <cfRule type="cellIs" dxfId="1061" priority="316" operator="equal">
      <formula>0</formula>
    </cfRule>
  </conditionalFormatting>
  <conditionalFormatting sqref="BF41:BI41">
    <cfRule type="cellIs" dxfId="1060" priority="315" operator="equal">
      <formula>0</formula>
    </cfRule>
  </conditionalFormatting>
  <conditionalFormatting sqref="BF42:BI42">
    <cfRule type="cellIs" dxfId="1059" priority="314" operator="equal">
      <formula>0</formula>
    </cfRule>
  </conditionalFormatting>
  <conditionalFormatting sqref="BF43:BI43">
    <cfRule type="cellIs" dxfId="1058" priority="313" operator="equal">
      <formula>0</formula>
    </cfRule>
  </conditionalFormatting>
  <conditionalFormatting sqref="BF44:BI44">
    <cfRule type="cellIs" dxfId="1057" priority="312" operator="equal">
      <formula>0</formula>
    </cfRule>
  </conditionalFormatting>
  <conditionalFormatting sqref="BF45:BI45">
    <cfRule type="cellIs" dxfId="1056" priority="311" operator="equal">
      <formula>0</formula>
    </cfRule>
  </conditionalFormatting>
  <conditionalFormatting sqref="BF46:BI46">
    <cfRule type="cellIs" dxfId="1055" priority="310" operator="equal">
      <formula>0</formula>
    </cfRule>
  </conditionalFormatting>
  <conditionalFormatting sqref="BF47:BI47">
    <cfRule type="cellIs" dxfId="1054" priority="309" operator="equal">
      <formula>0</formula>
    </cfRule>
  </conditionalFormatting>
  <conditionalFormatting sqref="BF48:BI48">
    <cfRule type="cellIs" dxfId="1053" priority="308" operator="equal">
      <formula>0</formula>
    </cfRule>
  </conditionalFormatting>
  <conditionalFormatting sqref="BF49:BI49">
    <cfRule type="cellIs" dxfId="1052" priority="307" operator="equal">
      <formula>0</formula>
    </cfRule>
  </conditionalFormatting>
  <conditionalFormatting sqref="BF50:BI50">
    <cfRule type="cellIs" dxfId="1051" priority="306" operator="equal">
      <formula>0</formula>
    </cfRule>
  </conditionalFormatting>
  <conditionalFormatting sqref="BF51:BI51">
    <cfRule type="cellIs" dxfId="1050" priority="305" operator="equal">
      <formula>0</formula>
    </cfRule>
  </conditionalFormatting>
  <conditionalFormatting sqref="BF52:BI52">
    <cfRule type="cellIs" dxfId="1049" priority="304" operator="equal">
      <formula>0</formula>
    </cfRule>
  </conditionalFormatting>
  <conditionalFormatting sqref="BF53:BI53">
    <cfRule type="cellIs" dxfId="1048" priority="303" operator="equal">
      <formula>0</formula>
    </cfRule>
  </conditionalFormatting>
  <conditionalFormatting sqref="BF54:BI54">
    <cfRule type="cellIs" dxfId="1047" priority="302" operator="equal">
      <formula>0</formula>
    </cfRule>
  </conditionalFormatting>
  <conditionalFormatting sqref="BF55:BI55">
    <cfRule type="cellIs" dxfId="1046" priority="301" operator="equal">
      <formula>0</formula>
    </cfRule>
  </conditionalFormatting>
  <conditionalFormatting sqref="BF56:BI56">
    <cfRule type="cellIs" dxfId="1045" priority="300" operator="equal">
      <formula>0</formula>
    </cfRule>
  </conditionalFormatting>
  <conditionalFormatting sqref="BF57:BI57">
    <cfRule type="cellIs" dxfId="1044" priority="299" operator="equal">
      <formula>0</formula>
    </cfRule>
  </conditionalFormatting>
  <conditionalFormatting sqref="BF58:BI58">
    <cfRule type="cellIs" dxfId="1043" priority="298" operator="equal">
      <formula>0</formula>
    </cfRule>
  </conditionalFormatting>
  <conditionalFormatting sqref="BF59:BI59">
    <cfRule type="cellIs" dxfId="1042" priority="297" operator="equal">
      <formula>0</formula>
    </cfRule>
  </conditionalFormatting>
  <conditionalFormatting sqref="BF60:BI60">
    <cfRule type="cellIs" dxfId="1041" priority="296" operator="equal">
      <formula>0</formula>
    </cfRule>
  </conditionalFormatting>
  <conditionalFormatting sqref="BF61:BI61">
    <cfRule type="cellIs" dxfId="1040" priority="295" operator="equal">
      <formula>0</formula>
    </cfRule>
  </conditionalFormatting>
  <conditionalFormatting sqref="BF62:BI62">
    <cfRule type="cellIs" dxfId="1039" priority="294" operator="equal">
      <formula>0</formula>
    </cfRule>
  </conditionalFormatting>
  <conditionalFormatting sqref="BF63:BI63">
    <cfRule type="cellIs" dxfId="1038" priority="293" operator="equal">
      <formula>0</formula>
    </cfRule>
  </conditionalFormatting>
  <conditionalFormatting sqref="BF64:BI64">
    <cfRule type="cellIs" dxfId="1037" priority="292" operator="equal">
      <formula>0</formula>
    </cfRule>
  </conditionalFormatting>
  <conditionalFormatting sqref="BF65:BI65">
    <cfRule type="cellIs" dxfId="1036" priority="291" operator="equal">
      <formula>0</formula>
    </cfRule>
  </conditionalFormatting>
  <conditionalFormatting sqref="BF66:BI66">
    <cfRule type="cellIs" dxfId="1035" priority="290" operator="equal">
      <formula>0</formula>
    </cfRule>
  </conditionalFormatting>
  <conditionalFormatting sqref="BF67:BI67">
    <cfRule type="cellIs" dxfId="1034" priority="289" operator="equal">
      <formula>0</formula>
    </cfRule>
  </conditionalFormatting>
  <conditionalFormatting sqref="BF68:BI68">
    <cfRule type="cellIs" dxfId="1033" priority="288" operator="equal">
      <formula>0</formula>
    </cfRule>
  </conditionalFormatting>
  <conditionalFormatting sqref="BF69:BI69">
    <cfRule type="cellIs" dxfId="1032" priority="287" operator="equal">
      <formula>0</formula>
    </cfRule>
  </conditionalFormatting>
  <conditionalFormatting sqref="BF70:BI70">
    <cfRule type="cellIs" dxfId="1031" priority="286" operator="equal">
      <formula>0</formula>
    </cfRule>
  </conditionalFormatting>
  <conditionalFormatting sqref="BF71:BI71">
    <cfRule type="cellIs" dxfId="1030" priority="285" operator="equal">
      <formula>0</formula>
    </cfRule>
  </conditionalFormatting>
  <conditionalFormatting sqref="BF72:BI72">
    <cfRule type="cellIs" dxfId="1029" priority="284" operator="equal">
      <formula>0</formula>
    </cfRule>
  </conditionalFormatting>
  <conditionalFormatting sqref="BF73:BI73">
    <cfRule type="cellIs" dxfId="1028" priority="283" operator="equal">
      <formula>0</formula>
    </cfRule>
  </conditionalFormatting>
  <conditionalFormatting sqref="BF74:BI74">
    <cfRule type="cellIs" dxfId="1027" priority="282" operator="equal">
      <formula>0</formula>
    </cfRule>
  </conditionalFormatting>
  <conditionalFormatting sqref="BF75:BI75">
    <cfRule type="cellIs" dxfId="1026" priority="281" operator="equal">
      <formula>0</formula>
    </cfRule>
  </conditionalFormatting>
  <conditionalFormatting sqref="BF76:BI76">
    <cfRule type="cellIs" dxfId="1025" priority="280" operator="equal">
      <formula>0</formula>
    </cfRule>
  </conditionalFormatting>
  <conditionalFormatting sqref="BF77:BI77">
    <cfRule type="cellIs" dxfId="1024" priority="279" operator="equal">
      <formula>0</formula>
    </cfRule>
  </conditionalFormatting>
  <conditionalFormatting sqref="BF78:BI78">
    <cfRule type="cellIs" dxfId="1023" priority="278" operator="equal">
      <formula>0</formula>
    </cfRule>
  </conditionalFormatting>
  <conditionalFormatting sqref="BF79:BI79">
    <cfRule type="cellIs" dxfId="1022" priority="277" operator="equal">
      <formula>0</formula>
    </cfRule>
  </conditionalFormatting>
  <conditionalFormatting sqref="BF80:BI80">
    <cfRule type="cellIs" dxfId="1021" priority="276" operator="equal">
      <formula>0</formula>
    </cfRule>
  </conditionalFormatting>
  <conditionalFormatting sqref="BF81:BI81">
    <cfRule type="cellIs" dxfId="1020" priority="275" operator="equal">
      <formula>0</formula>
    </cfRule>
  </conditionalFormatting>
  <conditionalFormatting sqref="BF82:BI82">
    <cfRule type="cellIs" dxfId="1019" priority="274" operator="equal">
      <formula>0</formula>
    </cfRule>
  </conditionalFormatting>
  <conditionalFormatting sqref="BF83:BI83">
    <cfRule type="cellIs" dxfId="1018" priority="273" operator="equal">
      <formula>0</formula>
    </cfRule>
  </conditionalFormatting>
  <conditionalFormatting sqref="BF84:BI84">
    <cfRule type="cellIs" dxfId="1017" priority="272" operator="equal">
      <formula>0</formula>
    </cfRule>
  </conditionalFormatting>
  <conditionalFormatting sqref="BF85:BI85">
    <cfRule type="cellIs" dxfId="1016" priority="271" operator="equal">
      <formula>0</formula>
    </cfRule>
  </conditionalFormatting>
  <conditionalFormatting sqref="BF86:BI86">
    <cfRule type="cellIs" dxfId="1015" priority="270" operator="equal">
      <formula>0</formula>
    </cfRule>
  </conditionalFormatting>
  <conditionalFormatting sqref="BF87:BI87">
    <cfRule type="cellIs" dxfId="1014" priority="269" operator="equal">
      <formula>0</formula>
    </cfRule>
  </conditionalFormatting>
  <conditionalFormatting sqref="BF88:BI88">
    <cfRule type="cellIs" dxfId="1013" priority="268" operator="equal">
      <formula>0</formula>
    </cfRule>
  </conditionalFormatting>
  <conditionalFormatting sqref="BF89:BI89">
    <cfRule type="cellIs" dxfId="1012" priority="267" operator="equal">
      <formula>0</formula>
    </cfRule>
  </conditionalFormatting>
  <conditionalFormatting sqref="BF90:BI90">
    <cfRule type="cellIs" dxfId="1011" priority="266" operator="equal">
      <formula>0</formula>
    </cfRule>
  </conditionalFormatting>
  <conditionalFormatting sqref="BK3:BN3">
    <cfRule type="cellIs" dxfId="1010" priority="265" operator="equal">
      <formula>0</formula>
    </cfRule>
  </conditionalFormatting>
  <conditionalFormatting sqref="BK4:BN4">
    <cfRule type="cellIs" dxfId="1009" priority="264" operator="equal">
      <formula>0</formula>
    </cfRule>
  </conditionalFormatting>
  <conditionalFormatting sqref="BK5:BN5">
    <cfRule type="cellIs" dxfId="1008" priority="263" operator="equal">
      <formula>0</formula>
    </cfRule>
  </conditionalFormatting>
  <conditionalFormatting sqref="BK6:BN6">
    <cfRule type="cellIs" dxfId="1007" priority="262" operator="equal">
      <formula>0</formula>
    </cfRule>
  </conditionalFormatting>
  <conditionalFormatting sqref="BK7:BN7">
    <cfRule type="cellIs" dxfId="1006" priority="261" operator="equal">
      <formula>0</formula>
    </cfRule>
  </conditionalFormatting>
  <conditionalFormatting sqref="BK8:BN8">
    <cfRule type="cellIs" dxfId="1005" priority="259" operator="equal">
      <formula>0</formula>
    </cfRule>
  </conditionalFormatting>
  <conditionalFormatting sqref="BK9:BN9">
    <cfRule type="cellIs" dxfId="1004" priority="258" operator="equal">
      <formula>0</formula>
    </cfRule>
  </conditionalFormatting>
  <conditionalFormatting sqref="BK10:BN10">
    <cfRule type="cellIs" dxfId="1003" priority="257" operator="equal">
      <formula>0</formula>
    </cfRule>
  </conditionalFormatting>
  <conditionalFormatting sqref="BK11:BN11">
    <cfRule type="cellIs" dxfId="1002" priority="256" operator="equal">
      <formula>0</formula>
    </cfRule>
  </conditionalFormatting>
  <conditionalFormatting sqref="BK12:BN12">
    <cfRule type="cellIs" dxfId="1001" priority="255" operator="equal">
      <formula>0</formula>
    </cfRule>
  </conditionalFormatting>
  <conditionalFormatting sqref="BK13:BN13">
    <cfRule type="cellIs" dxfId="1000" priority="254" operator="equal">
      <formula>0</formula>
    </cfRule>
  </conditionalFormatting>
  <conditionalFormatting sqref="BK14:BN14">
    <cfRule type="cellIs" dxfId="999" priority="253" operator="equal">
      <formula>0</formula>
    </cfRule>
  </conditionalFormatting>
  <conditionalFormatting sqref="BK15:BN15">
    <cfRule type="cellIs" dxfId="998" priority="252" operator="equal">
      <formula>0</formula>
    </cfRule>
  </conditionalFormatting>
  <conditionalFormatting sqref="BK16:BN16">
    <cfRule type="cellIs" dxfId="997" priority="251" operator="equal">
      <formula>0</formula>
    </cfRule>
  </conditionalFormatting>
  <conditionalFormatting sqref="BK17:BN17">
    <cfRule type="cellIs" dxfId="996" priority="250" operator="equal">
      <formula>0</formula>
    </cfRule>
  </conditionalFormatting>
  <conditionalFormatting sqref="BK18:BN18">
    <cfRule type="cellIs" dxfId="995" priority="249" operator="equal">
      <formula>0</formula>
    </cfRule>
  </conditionalFormatting>
  <conditionalFormatting sqref="BK19:BN19">
    <cfRule type="cellIs" dxfId="994" priority="248" operator="equal">
      <formula>0</formula>
    </cfRule>
  </conditionalFormatting>
  <conditionalFormatting sqref="BK20:BN20">
    <cfRule type="cellIs" dxfId="993" priority="247" operator="equal">
      <formula>0</formula>
    </cfRule>
  </conditionalFormatting>
  <conditionalFormatting sqref="BK21:BN21">
    <cfRule type="cellIs" dxfId="992" priority="246" operator="equal">
      <formula>0</formula>
    </cfRule>
  </conditionalFormatting>
  <conditionalFormatting sqref="BK22:BN22">
    <cfRule type="cellIs" dxfId="991" priority="245" operator="equal">
      <formula>0</formula>
    </cfRule>
  </conditionalFormatting>
  <conditionalFormatting sqref="BK23:BN23">
    <cfRule type="cellIs" dxfId="990" priority="244" operator="equal">
      <formula>0</formula>
    </cfRule>
  </conditionalFormatting>
  <conditionalFormatting sqref="BK24:BN24">
    <cfRule type="cellIs" dxfId="989" priority="243" operator="equal">
      <formula>0</formula>
    </cfRule>
  </conditionalFormatting>
  <conditionalFormatting sqref="BK25:BN25">
    <cfRule type="cellIs" dxfId="988" priority="242" operator="equal">
      <formula>0</formula>
    </cfRule>
  </conditionalFormatting>
  <conditionalFormatting sqref="BK26:BN26">
    <cfRule type="cellIs" dxfId="987" priority="241" operator="equal">
      <formula>0</formula>
    </cfRule>
  </conditionalFormatting>
  <conditionalFormatting sqref="BK27:BN27">
    <cfRule type="cellIs" dxfId="986" priority="240" operator="equal">
      <formula>0</formula>
    </cfRule>
  </conditionalFormatting>
  <conditionalFormatting sqref="BK28:BN28">
    <cfRule type="cellIs" dxfId="985" priority="239" operator="equal">
      <formula>0</formula>
    </cfRule>
  </conditionalFormatting>
  <conditionalFormatting sqref="BK29:BN29">
    <cfRule type="cellIs" dxfId="984" priority="238" operator="equal">
      <formula>0</formula>
    </cfRule>
  </conditionalFormatting>
  <conditionalFormatting sqref="BK30:BN30">
    <cfRule type="cellIs" dxfId="983" priority="237" operator="equal">
      <formula>0</formula>
    </cfRule>
  </conditionalFormatting>
  <conditionalFormatting sqref="BK31:BN31">
    <cfRule type="cellIs" dxfId="982" priority="236" operator="equal">
      <formula>0</formula>
    </cfRule>
  </conditionalFormatting>
  <conditionalFormatting sqref="BK32:BN32">
    <cfRule type="cellIs" dxfId="981" priority="235" operator="equal">
      <formula>0</formula>
    </cfRule>
  </conditionalFormatting>
  <conditionalFormatting sqref="BK33:BN33">
    <cfRule type="cellIs" dxfId="980" priority="234" operator="equal">
      <formula>0</formula>
    </cfRule>
  </conditionalFormatting>
  <conditionalFormatting sqref="BK34:BN34">
    <cfRule type="cellIs" dxfId="979" priority="233" operator="equal">
      <formula>0</formula>
    </cfRule>
  </conditionalFormatting>
  <conditionalFormatting sqref="BK35:BN35">
    <cfRule type="cellIs" dxfId="978" priority="232" operator="equal">
      <formula>0</formula>
    </cfRule>
  </conditionalFormatting>
  <conditionalFormatting sqref="BK36:BN36">
    <cfRule type="cellIs" dxfId="977" priority="231" operator="equal">
      <formula>0</formula>
    </cfRule>
  </conditionalFormatting>
  <conditionalFormatting sqref="BK37:BN37">
    <cfRule type="cellIs" dxfId="976" priority="230" operator="equal">
      <formula>0</formula>
    </cfRule>
  </conditionalFormatting>
  <conditionalFormatting sqref="BK38:BN38">
    <cfRule type="cellIs" dxfId="975" priority="229" operator="equal">
      <formula>0</formula>
    </cfRule>
  </conditionalFormatting>
  <conditionalFormatting sqref="BK39:BN39">
    <cfRule type="cellIs" dxfId="974" priority="228" operator="equal">
      <formula>0</formula>
    </cfRule>
  </conditionalFormatting>
  <conditionalFormatting sqref="BK40:BN40">
    <cfRule type="cellIs" dxfId="973" priority="227" operator="equal">
      <formula>0</formula>
    </cfRule>
  </conditionalFormatting>
  <conditionalFormatting sqref="BK41:BN41">
    <cfRule type="cellIs" dxfId="972" priority="226" operator="equal">
      <formula>0</formula>
    </cfRule>
  </conditionalFormatting>
  <conditionalFormatting sqref="BK42:BN42">
    <cfRule type="cellIs" dxfId="971" priority="225" operator="equal">
      <formula>0</formula>
    </cfRule>
  </conditionalFormatting>
  <conditionalFormatting sqref="BK43:BN43">
    <cfRule type="cellIs" dxfId="970" priority="224" operator="equal">
      <formula>0</formula>
    </cfRule>
  </conditionalFormatting>
  <conditionalFormatting sqref="BK44:BN44">
    <cfRule type="cellIs" dxfId="969" priority="223" operator="equal">
      <formula>0</formula>
    </cfRule>
  </conditionalFormatting>
  <conditionalFormatting sqref="BK45:BN45">
    <cfRule type="cellIs" dxfId="968" priority="222" operator="equal">
      <formula>0</formula>
    </cfRule>
  </conditionalFormatting>
  <conditionalFormatting sqref="BK46:BN46">
    <cfRule type="cellIs" dxfId="967" priority="221" operator="equal">
      <formula>0</formula>
    </cfRule>
  </conditionalFormatting>
  <conditionalFormatting sqref="BK47:BN47">
    <cfRule type="cellIs" dxfId="966" priority="220" operator="equal">
      <formula>0</formula>
    </cfRule>
  </conditionalFormatting>
  <conditionalFormatting sqref="BK48:BN48">
    <cfRule type="cellIs" dxfId="965" priority="219" operator="equal">
      <formula>0</formula>
    </cfRule>
  </conditionalFormatting>
  <conditionalFormatting sqref="BK49:BN49">
    <cfRule type="cellIs" dxfId="964" priority="218" operator="equal">
      <formula>0</formula>
    </cfRule>
  </conditionalFormatting>
  <conditionalFormatting sqref="BK50:BN50">
    <cfRule type="cellIs" dxfId="963" priority="217" operator="equal">
      <formula>0</formula>
    </cfRule>
  </conditionalFormatting>
  <conditionalFormatting sqref="BK51:BN51">
    <cfRule type="cellIs" dxfId="962" priority="216" operator="equal">
      <formula>0</formula>
    </cfRule>
  </conditionalFormatting>
  <conditionalFormatting sqref="BK52:BN52">
    <cfRule type="cellIs" dxfId="961" priority="215" operator="equal">
      <formula>0</formula>
    </cfRule>
  </conditionalFormatting>
  <conditionalFormatting sqref="BK53:BN53">
    <cfRule type="cellIs" dxfId="960" priority="214" operator="equal">
      <formula>0</formula>
    </cfRule>
  </conditionalFormatting>
  <conditionalFormatting sqref="BK54:BN54">
    <cfRule type="cellIs" dxfId="959" priority="213" operator="equal">
      <formula>0</formula>
    </cfRule>
  </conditionalFormatting>
  <conditionalFormatting sqref="BK55:BN55">
    <cfRule type="cellIs" dxfId="958" priority="212" operator="equal">
      <formula>0</formula>
    </cfRule>
  </conditionalFormatting>
  <conditionalFormatting sqref="BK56:BN56">
    <cfRule type="cellIs" dxfId="957" priority="211" operator="equal">
      <formula>0</formula>
    </cfRule>
  </conditionalFormatting>
  <conditionalFormatting sqref="BK57:BN57">
    <cfRule type="cellIs" dxfId="956" priority="210" operator="equal">
      <formula>0</formula>
    </cfRule>
  </conditionalFormatting>
  <conditionalFormatting sqref="BK58:BN58">
    <cfRule type="cellIs" dxfId="955" priority="209" operator="equal">
      <formula>0</formula>
    </cfRule>
  </conditionalFormatting>
  <conditionalFormatting sqref="BK59:BN59">
    <cfRule type="cellIs" dxfId="954" priority="208" operator="equal">
      <formula>0</formula>
    </cfRule>
  </conditionalFormatting>
  <conditionalFormatting sqref="BK60:BN60">
    <cfRule type="cellIs" dxfId="953" priority="207" operator="equal">
      <formula>0</formula>
    </cfRule>
  </conditionalFormatting>
  <conditionalFormatting sqref="BK61:BN61">
    <cfRule type="cellIs" dxfId="952" priority="206" operator="equal">
      <formula>0</formula>
    </cfRule>
  </conditionalFormatting>
  <conditionalFormatting sqref="BK62:BN62">
    <cfRule type="cellIs" dxfId="951" priority="205" operator="equal">
      <formula>0</formula>
    </cfRule>
  </conditionalFormatting>
  <conditionalFormatting sqref="BK63:BN63">
    <cfRule type="cellIs" dxfId="950" priority="204" operator="equal">
      <formula>0</formula>
    </cfRule>
  </conditionalFormatting>
  <conditionalFormatting sqref="BK64:BN64">
    <cfRule type="cellIs" dxfId="949" priority="203" operator="equal">
      <formula>0</formula>
    </cfRule>
  </conditionalFormatting>
  <conditionalFormatting sqref="BK65:BN65">
    <cfRule type="cellIs" dxfId="948" priority="202" operator="equal">
      <formula>0</formula>
    </cfRule>
  </conditionalFormatting>
  <conditionalFormatting sqref="BK66:BN66">
    <cfRule type="cellIs" dxfId="947" priority="201" operator="equal">
      <formula>0</formula>
    </cfRule>
  </conditionalFormatting>
  <conditionalFormatting sqref="BK67:BN67">
    <cfRule type="cellIs" dxfId="946" priority="200" operator="equal">
      <formula>0</formula>
    </cfRule>
  </conditionalFormatting>
  <conditionalFormatting sqref="BK68:BN68">
    <cfRule type="cellIs" dxfId="945" priority="199" operator="equal">
      <formula>0</formula>
    </cfRule>
  </conditionalFormatting>
  <conditionalFormatting sqref="BK69:BN69">
    <cfRule type="cellIs" dxfId="944" priority="198" operator="equal">
      <formula>0</formula>
    </cfRule>
  </conditionalFormatting>
  <conditionalFormatting sqref="BK70:BN70">
    <cfRule type="cellIs" dxfId="943" priority="197" operator="equal">
      <formula>0</formula>
    </cfRule>
  </conditionalFormatting>
  <conditionalFormatting sqref="BK71:BN71">
    <cfRule type="cellIs" dxfId="942" priority="196" operator="equal">
      <formula>0</formula>
    </cfRule>
  </conditionalFormatting>
  <conditionalFormatting sqref="BK72:BN72">
    <cfRule type="cellIs" dxfId="941" priority="195" operator="equal">
      <formula>0</formula>
    </cfRule>
  </conditionalFormatting>
  <conditionalFormatting sqref="BK73:BN73">
    <cfRule type="cellIs" dxfId="940" priority="194" operator="equal">
      <formula>0</formula>
    </cfRule>
  </conditionalFormatting>
  <conditionalFormatting sqref="BK74:BN74">
    <cfRule type="cellIs" dxfId="939" priority="193" operator="equal">
      <formula>0</formula>
    </cfRule>
  </conditionalFormatting>
  <conditionalFormatting sqref="BK75:BN75">
    <cfRule type="cellIs" dxfId="938" priority="192" operator="equal">
      <formula>0</formula>
    </cfRule>
  </conditionalFormatting>
  <conditionalFormatting sqref="BK76:BN76">
    <cfRule type="cellIs" dxfId="937" priority="191" operator="equal">
      <formula>0</formula>
    </cfRule>
  </conditionalFormatting>
  <conditionalFormatting sqref="BK77:BN77">
    <cfRule type="cellIs" dxfId="936" priority="190" operator="equal">
      <formula>0</formula>
    </cfRule>
  </conditionalFormatting>
  <conditionalFormatting sqref="BK78:BN78">
    <cfRule type="cellIs" dxfId="935" priority="189" operator="equal">
      <formula>0</formula>
    </cfRule>
  </conditionalFormatting>
  <conditionalFormatting sqref="BK79:BN79">
    <cfRule type="cellIs" dxfId="934" priority="188" operator="equal">
      <formula>0</formula>
    </cfRule>
  </conditionalFormatting>
  <conditionalFormatting sqref="BK80:BN80">
    <cfRule type="cellIs" dxfId="933" priority="187" operator="equal">
      <formula>0</formula>
    </cfRule>
  </conditionalFormatting>
  <conditionalFormatting sqref="BK81:BN81">
    <cfRule type="cellIs" dxfId="932" priority="186" operator="equal">
      <formula>0</formula>
    </cfRule>
  </conditionalFormatting>
  <conditionalFormatting sqref="BK82:BN82">
    <cfRule type="cellIs" dxfId="931" priority="185" operator="equal">
      <formula>0</formula>
    </cfRule>
  </conditionalFormatting>
  <conditionalFormatting sqref="BK83:BN83">
    <cfRule type="cellIs" dxfId="930" priority="184" operator="equal">
      <formula>0</formula>
    </cfRule>
  </conditionalFormatting>
  <conditionalFormatting sqref="BK84:BN84">
    <cfRule type="cellIs" dxfId="929" priority="183" operator="equal">
      <formula>0</formula>
    </cfRule>
  </conditionalFormatting>
  <conditionalFormatting sqref="BK85:BN85">
    <cfRule type="cellIs" dxfId="928" priority="182" operator="equal">
      <formula>0</formula>
    </cfRule>
  </conditionalFormatting>
  <conditionalFormatting sqref="BK86:BN86">
    <cfRule type="cellIs" dxfId="927" priority="181" operator="equal">
      <formula>0</formula>
    </cfRule>
  </conditionalFormatting>
  <conditionalFormatting sqref="BK87:BN87">
    <cfRule type="cellIs" dxfId="926" priority="180" operator="equal">
      <formula>0</formula>
    </cfRule>
  </conditionalFormatting>
  <conditionalFormatting sqref="BK88:BN88">
    <cfRule type="cellIs" dxfId="925" priority="179" operator="equal">
      <formula>0</formula>
    </cfRule>
  </conditionalFormatting>
  <conditionalFormatting sqref="BK89:BN89">
    <cfRule type="cellIs" dxfId="924" priority="178" operator="equal">
      <formula>0</formula>
    </cfRule>
  </conditionalFormatting>
  <conditionalFormatting sqref="BK90:BN90">
    <cfRule type="cellIs" dxfId="923" priority="177" operator="equal">
      <formula>0</formula>
    </cfRule>
  </conditionalFormatting>
  <conditionalFormatting sqref="BP3:BS3">
    <cfRule type="cellIs" dxfId="922" priority="176" operator="equal">
      <formula>0</formula>
    </cfRule>
  </conditionalFormatting>
  <conditionalFormatting sqref="BP4:BS4">
    <cfRule type="cellIs" dxfId="921" priority="175" operator="equal">
      <formula>0</formula>
    </cfRule>
  </conditionalFormatting>
  <conditionalFormatting sqref="BP5:BS5">
    <cfRule type="cellIs" dxfId="920" priority="174" operator="equal">
      <formula>0</formula>
    </cfRule>
  </conditionalFormatting>
  <conditionalFormatting sqref="BP6:BS6">
    <cfRule type="cellIs" dxfId="919" priority="173" operator="equal">
      <formula>0</formula>
    </cfRule>
  </conditionalFormatting>
  <conditionalFormatting sqref="BP7:BS7">
    <cfRule type="cellIs" dxfId="918" priority="172" operator="equal">
      <formula>0</formula>
    </cfRule>
  </conditionalFormatting>
  <conditionalFormatting sqref="BP8:BS8">
    <cfRule type="cellIs" dxfId="917" priority="171" operator="equal">
      <formula>0</formula>
    </cfRule>
  </conditionalFormatting>
  <conditionalFormatting sqref="BP9:BS9">
    <cfRule type="cellIs" dxfId="916" priority="170" operator="equal">
      <formula>0</formula>
    </cfRule>
  </conditionalFormatting>
  <conditionalFormatting sqref="BP10:BS10">
    <cfRule type="cellIs" dxfId="915" priority="169" operator="equal">
      <formula>0</formula>
    </cfRule>
  </conditionalFormatting>
  <conditionalFormatting sqref="BP11:BS11">
    <cfRule type="cellIs" dxfId="914" priority="168" operator="equal">
      <formula>0</formula>
    </cfRule>
  </conditionalFormatting>
  <conditionalFormatting sqref="BP12:BS12">
    <cfRule type="cellIs" dxfId="913" priority="167" operator="equal">
      <formula>0</formula>
    </cfRule>
  </conditionalFormatting>
  <conditionalFormatting sqref="BP13:BS13">
    <cfRule type="cellIs" dxfId="912" priority="166" operator="equal">
      <formula>0</formula>
    </cfRule>
  </conditionalFormatting>
  <conditionalFormatting sqref="BP14:BS14">
    <cfRule type="cellIs" dxfId="911" priority="165" operator="equal">
      <formula>0</formula>
    </cfRule>
  </conditionalFormatting>
  <conditionalFormatting sqref="BP15:BS15">
    <cfRule type="cellIs" dxfId="910" priority="164" operator="equal">
      <formula>0</formula>
    </cfRule>
  </conditionalFormatting>
  <conditionalFormatting sqref="BP16:BS16">
    <cfRule type="cellIs" dxfId="909" priority="163" operator="equal">
      <formula>0</formula>
    </cfRule>
  </conditionalFormatting>
  <conditionalFormatting sqref="BP17:BS17">
    <cfRule type="cellIs" dxfId="908" priority="162" operator="equal">
      <formula>0</formula>
    </cfRule>
  </conditionalFormatting>
  <conditionalFormatting sqref="BP18:BS18">
    <cfRule type="cellIs" dxfId="907" priority="161" operator="equal">
      <formula>0</formula>
    </cfRule>
  </conditionalFormatting>
  <conditionalFormatting sqref="BP19:BS19">
    <cfRule type="cellIs" dxfId="906" priority="160" operator="equal">
      <formula>0</formula>
    </cfRule>
  </conditionalFormatting>
  <conditionalFormatting sqref="BP20:BS20">
    <cfRule type="cellIs" dxfId="905" priority="159" operator="equal">
      <formula>0</formula>
    </cfRule>
  </conditionalFormatting>
  <conditionalFormatting sqref="BP21:BS21">
    <cfRule type="cellIs" dxfId="904" priority="158" operator="equal">
      <formula>0</formula>
    </cfRule>
  </conditionalFormatting>
  <conditionalFormatting sqref="BP22:BS22">
    <cfRule type="cellIs" dxfId="903" priority="157" operator="equal">
      <formula>0</formula>
    </cfRule>
  </conditionalFormatting>
  <conditionalFormatting sqref="BP23:BS23">
    <cfRule type="cellIs" dxfId="902" priority="156" operator="equal">
      <formula>0</formula>
    </cfRule>
  </conditionalFormatting>
  <conditionalFormatting sqref="BP24:BS24">
    <cfRule type="cellIs" dxfId="901" priority="155" operator="equal">
      <formula>0</formula>
    </cfRule>
  </conditionalFormatting>
  <conditionalFormatting sqref="BP25:BS25">
    <cfRule type="cellIs" dxfId="900" priority="154" operator="equal">
      <formula>0</formula>
    </cfRule>
  </conditionalFormatting>
  <conditionalFormatting sqref="BP26:BS26">
    <cfRule type="cellIs" dxfId="899" priority="153" operator="equal">
      <formula>0</formula>
    </cfRule>
  </conditionalFormatting>
  <conditionalFormatting sqref="BP27:BS27">
    <cfRule type="cellIs" dxfId="898" priority="152" operator="equal">
      <formula>0</formula>
    </cfRule>
  </conditionalFormatting>
  <conditionalFormatting sqref="BP28:BS28">
    <cfRule type="cellIs" dxfId="897" priority="151" operator="equal">
      <formula>0</formula>
    </cfRule>
  </conditionalFormatting>
  <conditionalFormatting sqref="BP29:BS29">
    <cfRule type="cellIs" dxfId="896" priority="150" operator="equal">
      <formula>0</formula>
    </cfRule>
  </conditionalFormatting>
  <conditionalFormatting sqref="BP30:BS30">
    <cfRule type="cellIs" dxfId="895" priority="149" operator="equal">
      <formula>0</formula>
    </cfRule>
  </conditionalFormatting>
  <conditionalFormatting sqref="BP31:BS31">
    <cfRule type="cellIs" dxfId="894" priority="148" operator="equal">
      <formula>0</formula>
    </cfRule>
  </conditionalFormatting>
  <conditionalFormatting sqref="BP32:BS32">
    <cfRule type="cellIs" dxfId="893" priority="147" operator="equal">
      <formula>0</formula>
    </cfRule>
  </conditionalFormatting>
  <conditionalFormatting sqref="BP33:BS33">
    <cfRule type="cellIs" dxfId="892" priority="146" operator="equal">
      <formula>0</formula>
    </cfRule>
  </conditionalFormatting>
  <conditionalFormatting sqref="BP34:BS34">
    <cfRule type="cellIs" dxfId="891" priority="145" operator="equal">
      <formula>0</formula>
    </cfRule>
  </conditionalFormatting>
  <conditionalFormatting sqref="BP35:BS35">
    <cfRule type="cellIs" dxfId="890" priority="144" operator="equal">
      <formula>0</formula>
    </cfRule>
  </conditionalFormatting>
  <conditionalFormatting sqref="BP36:BS36">
    <cfRule type="cellIs" dxfId="889" priority="143" operator="equal">
      <formula>0</formula>
    </cfRule>
  </conditionalFormatting>
  <conditionalFormatting sqref="BP37:BS37">
    <cfRule type="cellIs" dxfId="888" priority="142" operator="equal">
      <formula>0</formula>
    </cfRule>
  </conditionalFormatting>
  <conditionalFormatting sqref="BP38:BS38">
    <cfRule type="cellIs" dxfId="887" priority="141" operator="equal">
      <formula>0</formula>
    </cfRule>
  </conditionalFormatting>
  <conditionalFormatting sqref="BP39:BS39">
    <cfRule type="cellIs" dxfId="886" priority="140" operator="equal">
      <formula>0</formula>
    </cfRule>
  </conditionalFormatting>
  <conditionalFormatting sqref="BP40:BS40">
    <cfRule type="cellIs" dxfId="885" priority="139" operator="equal">
      <formula>0</formula>
    </cfRule>
  </conditionalFormatting>
  <conditionalFormatting sqref="BP41:BS41">
    <cfRule type="cellIs" dxfId="884" priority="138" operator="equal">
      <formula>0</formula>
    </cfRule>
  </conditionalFormatting>
  <conditionalFormatting sqref="BP42:BS42">
    <cfRule type="cellIs" dxfId="883" priority="137" operator="equal">
      <formula>0</formula>
    </cfRule>
  </conditionalFormatting>
  <conditionalFormatting sqref="BP43:BS43">
    <cfRule type="cellIs" dxfId="882" priority="136" operator="equal">
      <formula>0</formula>
    </cfRule>
  </conditionalFormatting>
  <conditionalFormatting sqref="BP44:BS44">
    <cfRule type="cellIs" dxfId="881" priority="135" operator="equal">
      <formula>0</formula>
    </cfRule>
  </conditionalFormatting>
  <conditionalFormatting sqref="BP45:BS45">
    <cfRule type="cellIs" dxfId="880" priority="134" operator="equal">
      <formula>0</formula>
    </cfRule>
  </conditionalFormatting>
  <conditionalFormatting sqref="BP46:BS46">
    <cfRule type="cellIs" dxfId="879" priority="133" operator="equal">
      <formula>0</formula>
    </cfRule>
  </conditionalFormatting>
  <conditionalFormatting sqref="BP47:BS47">
    <cfRule type="cellIs" dxfId="878" priority="132" operator="equal">
      <formula>0</formula>
    </cfRule>
  </conditionalFormatting>
  <conditionalFormatting sqref="BP48:BS48">
    <cfRule type="cellIs" dxfId="877" priority="131" operator="equal">
      <formula>0</formula>
    </cfRule>
  </conditionalFormatting>
  <conditionalFormatting sqref="BP49:BS49">
    <cfRule type="cellIs" dxfId="876" priority="130" operator="equal">
      <formula>0</formula>
    </cfRule>
  </conditionalFormatting>
  <conditionalFormatting sqref="BP50:BS50">
    <cfRule type="cellIs" dxfId="875" priority="129" operator="equal">
      <formula>0</formula>
    </cfRule>
  </conditionalFormatting>
  <conditionalFormatting sqref="BP51:BS51">
    <cfRule type="cellIs" dxfId="874" priority="128" operator="equal">
      <formula>0</formula>
    </cfRule>
  </conditionalFormatting>
  <conditionalFormatting sqref="BP52:BS52">
    <cfRule type="cellIs" dxfId="873" priority="127" operator="equal">
      <formula>0</formula>
    </cfRule>
  </conditionalFormatting>
  <conditionalFormatting sqref="BP53:BS53">
    <cfRule type="cellIs" dxfId="872" priority="126" operator="equal">
      <formula>0</formula>
    </cfRule>
  </conditionalFormatting>
  <conditionalFormatting sqref="BP54:BS54">
    <cfRule type="cellIs" dxfId="871" priority="125" operator="equal">
      <formula>0</formula>
    </cfRule>
  </conditionalFormatting>
  <conditionalFormatting sqref="BP55:BS55">
    <cfRule type="cellIs" dxfId="870" priority="124" operator="equal">
      <formula>0</formula>
    </cfRule>
  </conditionalFormatting>
  <conditionalFormatting sqref="BP56:BS56">
    <cfRule type="cellIs" dxfId="869" priority="123" operator="equal">
      <formula>0</formula>
    </cfRule>
  </conditionalFormatting>
  <conditionalFormatting sqref="BP57:BS57">
    <cfRule type="cellIs" dxfId="868" priority="122" operator="equal">
      <formula>0</formula>
    </cfRule>
  </conditionalFormatting>
  <conditionalFormatting sqref="BP58:BS58">
    <cfRule type="cellIs" dxfId="867" priority="121" operator="equal">
      <formula>0</formula>
    </cfRule>
  </conditionalFormatting>
  <conditionalFormatting sqref="BP59:BS59">
    <cfRule type="cellIs" dxfId="866" priority="120" operator="equal">
      <formula>0</formula>
    </cfRule>
  </conditionalFormatting>
  <conditionalFormatting sqref="BP60:BS60">
    <cfRule type="cellIs" dxfId="865" priority="119" operator="equal">
      <formula>0</formula>
    </cfRule>
  </conditionalFormatting>
  <conditionalFormatting sqref="BP61:BS61">
    <cfRule type="cellIs" dxfId="864" priority="118" operator="equal">
      <formula>0</formula>
    </cfRule>
  </conditionalFormatting>
  <conditionalFormatting sqref="BP62:BS62">
    <cfRule type="cellIs" dxfId="863" priority="117" operator="equal">
      <formula>0</formula>
    </cfRule>
  </conditionalFormatting>
  <conditionalFormatting sqref="BP63:BS63">
    <cfRule type="cellIs" dxfId="862" priority="116" operator="equal">
      <formula>0</formula>
    </cfRule>
  </conditionalFormatting>
  <conditionalFormatting sqref="BP64:BS64">
    <cfRule type="cellIs" dxfId="861" priority="115" operator="equal">
      <formula>0</formula>
    </cfRule>
  </conditionalFormatting>
  <conditionalFormatting sqref="BP65:BS65">
    <cfRule type="cellIs" dxfId="860" priority="114" operator="equal">
      <formula>0</formula>
    </cfRule>
  </conditionalFormatting>
  <conditionalFormatting sqref="BP66:BS66">
    <cfRule type="cellIs" dxfId="859" priority="113" operator="equal">
      <formula>0</formula>
    </cfRule>
  </conditionalFormatting>
  <conditionalFormatting sqref="BP67:BS67">
    <cfRule type="cellIs" dxfId="858" priority="112" operator="equal">
      <formula>0</formula>
    </cfRule>
  </conditionalFormatting>
  <conditionalFormatting sqref="BP68:BS68">
    <cfRule type="cellIs" dxfId="857" priority="111" operator="equal">
      <formula>0</formula>
    </cfRule>
  </conditionalFormatting>
  <conditionalFormatting sqref="BP69:BS69">
    <cfRule type="cellIs" dxfId="856" priority="110" operator="equal">
      <formula>0</formula>
    </cfRule>
  </conditionalFormatting>
  <conditionalFormatting sqref="BP70:BS70">
    <cfRule type="cellIs" dxfId="855" priority="109" operator="equal">
      <formula>0</formula>
    </cfRule>
  </conditionalFormatting>
  <conditionalFormatting sqref="BP71:BS71">
    <cfRule type="cellIs" dxfId="854" priority="108" operator="equal">
      <formula>0</formula>
    </cfRule>
  </conditionalFormatting>
  <conditionalFormatting sqref="BP72:BS72">
    <cfRule type="cellIs" dxfId="853" priority="107" operator="equal">
      <formula>0</formula>
    </cfRule>
  </conditionalFormatting>
  <conditionalFormatting sqref="BP73:BS73">
    <cfRule type="cellIs" dxfId="852" priority="106" operator="equal">
      <formula>0</formula>
    </cfRule>
  </conditionalFormatting>
  <conditionalFormatting sqref="BP74:BS74">
    <cfRule type="cellIs" dxfId="851" priority="105" operator="equal">
      <formula>0</formula>
    </cfRule>
  </conditionalFormatting>
  <conditionalFormatting sqref="BP75:BS75">
    <cfRule type="cellIs" dxfId="850" priority="104" operator="equal">
      <formula>0</formula>
    </cfRule>
  </conditionalFormatting>
  <conditionalFormatting sqref="BP76:BS76">
    <cfRule type="cellIs" dxfId="849" priority="103" operator="equal">
      <formula>0</formula>
    </cfRule>
  </conditionalFormatting>
  <conditionalFormatting sqref="BP77:BS77">
    <cfRule type="cellIs" dxfId="848" priority="102" operator="equal">
      <formula>0</formula>
    </cfRule>
  </conditionalFormatting>
  <conditionalFormatting sqref="BP78:BS78">
    <cfRule type="cellIs" dxfId="847" priority="101" operator="equal">
      <formula>0</formula>
    </cfRule>
  </conditionalFormatting>
  <conditionalFormatting sqref="BP79:BS79">
    <cfRule type="cellIs" dxfId="846" priority="100" operator="equal">
      <formula>0</formula>
    </cfRule>
  </conditionalFormatting>
  <conditionalFormatting sqref="BP80:BS80">
    <cfRule type="cellIs" dxfId="845" priority="99" operator="equal">
      <formula>0</formula>
    </cfRule>
  </conditionalFormatting>
  <conditionalFormatting sqref="BP81:BS81">
    <cfRule type="cellIs" dxfId="844" priority="98" operator="equal">
      <formula>0</formula>
    </cfRule>
  </conditionalFormatting>
  <conditionalFormatting sqref="BP82:BS82">
    <cfRule type="cellIs" dxfId="843" priority="97" operator="equal">
      <formula>0</formula>
    </cfRule>
  </conditionalFormatting>
  <conditionalFormatting sqref="BP83:BS83">
    <cfRule type="cellIs" dxfId="842" priority="96" operator="equal">
      <formula>0</formula>
    </cfRule>
  </conditionalFormatting>
  <conditionalFormatting sqref="BP84:BS84">
    <cfRule type="cellIs" dxfId="841" priority="95" operator="equal">
      <formula>0</formula>
    </cfRule>
  </conditionalFormatting>
  <conditionalFormatting sqref="BP85:BS85">
    <cfRule type="cellIs" dxfId="840" priority="94" operator="equal">
      <formula>0</formula>
    </cfRule>
  </conditionalFormatting>
  <conditionalFormatting sqref="BP86:BS86">
    <cfRule type="cellIs" dxfId="839" priority="93" operator="equal">
      <formula>0</formula>
    </cfRule>
  </conditionalFormatting>
  <conditionalFormatting sqref="BP87:BS87">
    <cfRule type="cellIs" dxfId="838" priority="92" operator="equal">
      <formula>0</formula>
    </cfRule>
  </conditionalFormatting>
  <conditionalFormatting sqref="BP88:BS88">
    <cfRule type="cellIs" dxfId="837" priority="91" operator="equal">
      <formula>0</formula>
    </cfRule>
  </conditionalFormatting>
  <conditionalFormatting sqref="BP89:BS89">
    <cfRule type="cellIs" dxfId="836" priority="90" operator="equal">
      <formula>0</formula>
    </cfRule>
  </conditionalFormatting>
  <conditionalFormatting sqref="BP90:BS90">
    <cfRule type="cellIs" dxfId="835" priority="89" operator="equal">
      <formula>0</formula>
    </cfRule>
  </conditionalFormatting>
  <conditionalFormatting sqref="BU3:BX3">
    <cfRule type="cellIs" dxfId="834" priority="88" operator="equal">
      <formula>0</formula>
    </cfRule>
  </conditionalFormatting>
  <conditionalFormatting sqref="BU4:BX4">
    <cfRule type="cellIs" dxfId="833" priority="87" operator="equal">
      <formula>0</formula>
    </cfRule>
  </conditionalFormatting>
  <conditionalFormatting sqref="BU5:BX5">
    <cfRule type="cellIs" dxfId="832" priority="86" operator="equal">
      <formula>0</formula>
    </cfRule>
  </conditionalFormatting>
  <conditionalFormatting sqref="BU6:BX6">
    <cfRule type="cellIs" dxfId="831" priority="85" operator="equal">
      <formula>0</formula>
    </cfRule>
  </conditionalFormatting>
  <conditionalFormatting sqref="BU7:BX7">
    <cfRule type="cellIs" dxfId="830" priority="84" operator="equal">
      <formula>0</formula>
    </cfRule>
  </conditionalFormatting>
  <conditionalFormatting sqref="BU8:BX8">
    <cfRule type="cellIs" dxfId="829" priority="83" operator="equal">
      <formula>0</formula>
    </cfRule>
  </conditionalFormatting>
  <conditionalFormatting sqref="BU9:BX9">
    <cfRule type="cellIs" dxfId="828" priority="82" operator="equal">
      <formula>0</formula>
    </cfRule>
  </conditionalFormatting>
  <conditionalFormatting sqref="BU10:BX10">
    <cfRule type="cellIs" dxfId="827" priority="81" operator="equal">
      <formula>0</formula>
    </cfRule>
  </conditionalFormatting>
  <conditionalFormatting sqref="BU11:BX11">
    <cfRule type="cellIs" dxfId="826" priority="80" operator="equal">
      <formula>0</formula>
    </cfRule>
  </conditionalFormatting>
  <conditionalFormatting sqref="BU12:BX12">
    <cfRule type="cellIs" dxfId="825" priority="79" operator="equal">
      <formula>0</formula>
    </cfRule>
  </conditionalFormatting>
  <conditionalFormatting sqref="BU13:BX13">
    <cfRule type="cellIs" dxfId="824" priority="78" operator="equal">
      <formula>0</formula>
    </cfRule>
  </conditionalFormatting>
  <conditionalFormatting sqref="BU14:BX14">
    <cfRule type="cellIs" dxfId="823" priority="77" operator="equal">
      <formula>0</formula>
    </cfRule>
  </conditionalFormatting>
  <conditionalFormatting sqref="BU15:BX15">
    <cfRule type="cellIs" dxfId="822" priority="76" operator="equal">
      <formula>0</formula>
    </cfRule>
  </conditionalFormatting>
  <conditionalFormatting sqref="BU16:BX16">
    <cfRule type="cellIs" dxfId="821" priority="75" operator="equal">
      <formula>0</formula>
    </cfRule>
  </conditionalFormatting>
  <conditionalFormatting sqref="BU17:BX17">
    <cfRule type="cellIs" dxfId="820" priority="74" operator="equal">
      <formula>0</formula>
    </cfRule>
  </conditionalFormatting>
  <conditionalFormatting sqref="BU18:BX18">
    <cfRule type="cellIs" dxfId="819" priority="73" operator="equal">
      <formula>0</formula>
    </cfRule>
  </conditionalFormatting>
  <conditionalFormatting sqref="BU19:BX19">
    <cfRule type="cellIs" dxfId="818" priority="72" operator="equal">
      <formula>0</formula>
    </cfRule>
  </conditionalFormatting>
  <conditionalFormatting sqref="BU20:BX20">
    <cfRule type="cellIs" dxfId="817" priority="71" operator="equal">
      <formula>0</formula>
    </cfRule>
  </conditionalFormatting>
  <conditionalFormatting sqref="BU21:BX21">
    <cfRule type="cellIs" dxfId="816" priority="70" operator="equal">
      <formula>0</formula>
    </cfRule>
  </conditionalFormatting>
  <conditionalFormatting sqref="BU22:BX22">
    <cfRule type="cellIs" dxfId="815" priority="69" operator="equal">
      <formula>0</formula>
    </cfRule>
  </conditionalFormatting>
  <conditionalFormatting sqref="BU23:BX23">
    <cfRule type="cellIs" dxfId="814" priority="68" operator="equal">
      <formula>0</formula>
    </cfRule>
  </conditionalFormatting>
  <conditionalFormatting sqref="BU24:BX24">
    <cfRule type="cellIs" dxfId="813" priority="67" operator="equal">
      <formula>0</formula>
    </cfRule>
  </conditionalFormatting>
  <conditionalFormatting sqref="BU25:BX25">
    <cfRule type="cellIs" dxfId="812" priority="66" operator="equal">
      <formula>0</formula>
    </cfRule>
  </conditionalFormatting>
  <conditionalFormatting sqref="BU26:BX26">
    <cfRule type="cellIs" dxfId="811" priority="65" operator="equal">
      <formula>0</formula>
    </cfRule>
  </conditionalFormatting>
  <conditionalFormatting sqref="BU27:BX27">
    <cfRule type="cellIs" dxfId="810" priority="64" operator="equal">
      <formula>0</formula>
    </cfRule>
  </conditionalFormatting>
  <conditionalFormatting sqref="BU28:BX28">
    <cfRule type="cellIs" dxfId="809" priority="63" operator="equal">
      <formula>0</formula>
    </cfRule>
  </conditionalFormatting>
  <conditionalFormatting sqref="BU29:BX29">
    <cfRule type="cellIs" dxfId="808" priority="62" operator="equal">
      <formula>0</formula>
    </cfRule>
  </conditionalFormatting>
  <conditionalFormatting sqref="BU30:BX30">
    <cfRule type="cellIs" dxfId="807" priority="61" operator="equal">
      <formula>0</formula>
    </cfRule>
  </conditionalFormatting>
  <conditionalFormatting sqref="BU31:BX31">
    <cfRule type="cellIs" dxfId="806" priority="60" operator="equal">
      <formula>0</formula>
    </cfRule>
  </conditionalFormatting>
  <conditionalFormatting sqref="BU32:BX32">
    <cfRule type="cellIs" dxfId="805" priority="59" operator="equal">
      <formula>0</formula>
    </cfRule>
  </conditionalFormatting>
  <conditionalFormatting sqref="BU33:BX33">
    <cfRule type="cellIs" dxfId="804" priority="58" operator="equal">
      <formula>0</formula>
    </cfRule>
  </conditionalFormatting>
  <conditionalFormatting sqref="BU34:BX34">
    <cfRule type="cellIs" dxfId="803" priority="57" operator="equal">
      <formula>0</formula>
    </cfRule>
  </conditionalFormatting>
  <conditionalFormatting sqref="BU35:BX35">
    <cfRule type="cellIs" dxfId="802" priority="56" operator="equal">
      <formula>0</formula>
    </cfRule>
  </conditionalFormatting>
  <conditionalFormatting sqref="BU36:BX36">
    <cfRule type="cellIs" dxfId="801" priority="55" operator="equal">
      <formula>0</formula>
    </cfRule>
  </conditionalFormatting>
  <conditionalFormatting sqref="BU37:BX37">
    <cfRule type="cellIs" dxfId="800" priority="54" operator="equal">
      <formula>0</formula>
    </cfRule>
  </conditionalFormatting>
  <conditionalFormatting sqref="BU38:BX38">
    <cfRule type="cellIs" dxfId="799" priority="53" operator="equal">
      <formula>0</formula>
    </cfRule>
  </conditionalFormatting>
  <conditionalFormatting sqref="BU39:BX39">
    <cfRule type="cellIs" dxfId="798" priority="52" operator="equal">
      <formula>0</formula>
    </cfRule>
  </conditionalFormatting>
  <conditionalFormatting sqref="BU40:BX40">
    <cfRule type="cellIs" dxfId="797" priority="51" operator="equal">
      <formula>0</formula>
    </cfRule>
  </conditionalFormatting>
  <conditionalFormatting sqref="BU41:BX41">
    <cfRule type="cellIs" dxfId="796" priority="50" operator="equal">
      <formula>0</formula>
    </cfRule>
  </conditionalFormatting>
  <conditionalFormatting sqref="BU42:BX42">
    <cfRule type="cellIs" dxfId="795" priority="49" operator="equal">
      <formula>0</formula>
    </cfRule>
  </conditionalFormatting>
  <conditionalFormatting sqref="BU43:BX43">
    <cfRule type="cellIs" dxfId="794" priority="48" operator="equal">
      <formula>0</formula>
    </cfRule>
  </conditionalFormatting>
  <conditionalFormatting sqref="BU44:BX44">
    <cfRule type="cellIs" dxfId="793" priority="47" operator="equal">
      <formula>0</formula>
    </cfRule>
  </conditionalFormatting>
  <conditionalFormatting sqref="BU45:BX45">
    <cfRule type="cellIs" dxfId="792" priority="46" operator="equal">
      <formula>0</formula>
    </cfRule>
  </conditionalFormatting>
  <conditionalFormatting sqref="BU46:BX46">
    <cfRule type="cellIs" dxfId="791" priority="45" operator="equal">
      <formula>0</formula>
    </cfRule>
  </conditionalFormatting>
  <conditionalFormatting sqref="BU47:BX47">
    <cfRule type="cellIs" dxfId="790" priority="44" operator="equal">
      <formula>0</formula>
    </cfRule>
  </conditionalFormatting>
  <conditionalFormatting sqref="BU48:BX48">
    <cfRule type="cellIs" dxfId="789" priority="43" operator="equal">
      <formula>0</formula>
    </cfRule>
  </conditionalFormatting>
  <conditionalFormatting sqref="BU49:BX49">
    <cfRule type="cellIs" dxfId="788" priority="42" operator="equal">
      <formula>0</formula>
    </cfRule>
  </conditionalFormatting>
  <conditionalFormatting sqref="BU50:BX50">
    <cfRule type="cellIs" dxfId="787" priority="41" operator="equal">
      <formula>0</formula>
    </cfRule>
  </conditionalFormatting>
  <conditionalFormatting sqref="BU51:BX51">
    <cfRule type="cellIs" dxfId="786" priority="40" operator="equal">
      <formula>0</formula>
    </cfRule>
  </conditionalFormatting>
  <conditionalFormatting sqref="BU52:BX52">
    <cfRule type="cellIs" dxfId="785" priority="39" operator="equal">
      <formula>0</formula>
    </cfRule>
  </conditionalFormatting>
  <conditionalFormatting sqref="BU53:BX53">
    <cfRule type="cellIs" dxfId="784" priority="38" operator="equal">
      <formula>0</formula>
    </cfRule>
  </conditionalFormatting>
  <conditionalFormatting sqref="BU54:BX54">
    <cfRule type="cellIs" dxfId="783" priority="37" operator="equal">
      <formula>0</formula>
    </cfRule>
  </conditionalFormatting>
  <conditionalFormatting sqref="BU55:BX55">
    <cfRule type="cellIs" dxfId="782" priority="36" operator="equal">
      <formula>0</formula>
    </cfRule>
  </conditionalFormatting>
  <conditionalFormatting sqref="BU56:BX56">
    <cfRule type="cellIs" dxfId="781" priority="35" operator="equal">
      <formula>0</formula>
    </cfRule>
  </conditionalFormatting>
  <conditionalFormatting sqref="BU57:BX57">
    <cfRule type="cellIs" dxfId="780" priority="34" operator="equal">
      <formula>0</formula>
    </cfRule>
  </conditionalFormatting>
  <conditionalFormatting sqref="BU58:BX58">
    <cfRule type="cellIs" dxfId="779" priority="33" operator="equal">
      <formula>0</formula>
    </cfRule>
  </conditionalFormatting>
  <conditionalFormatting sqref="BU59:BX59">
    <cfRule type="cellIs" dxfId="778" priority="32" operator="equal">
      <formula>0</formula>
    </cfRule>
  </conditionalFormatting>
  <conditionalFormatting sqref="BU60:BX60">
    <cfRule type="cellIs" dxfId="777" priority="31" operator="equal">
      <formula>0</formula>
    </cfRule>
  </conditionalFormatting>
  <conditionalFormatting sqref="BU61:BX61">
    <cfRule type="cellIs" dxfId="776" priority="30" operator="equal">
      <formula>0</formula>
    </cfRule>
  </conditionalFormatting>
  <conditionalFormatting sqref="BU62:BX62">
    <cfRule type="cellIs" dxfId="775" priority="29" operator="equal">
      <formula>0</formula>
    </cfRule>
  </conditionalFormatting>
  <conditionalFormatting sqref="BU63:BX63">
    <cfRule type="cellIs" dxfId="774" priority="28" operator="equal">
      <formula>0</formula>
    </cfRule>
  </conditionalFormatting>
  <conditionalFormatting sqref="BU64:BX64">
    <cfRule type="cellIs" dxfId="773" priority="27" operator="equal">
      <formula>0</formula>
    </cfRule>
  </conditionalFormatting>
  <conditionalFormatting sqref="BU65:BX65">
    <cfRule type="cellIs" dxfId="772" priority="26" operator="equal">
      <formula>0</formula>
    </cfRule>
  </conditionalFormatting>
  <conditionalFormatting sqref="BU66:BX66">
    <cfRule type="cellIs" dxfId="771" priority="25" operator="equal">
      <formula>0</formula>
    </cfRule>
  </conditionalFormatting>
  <conditionalFormatting sqref="BU67:BX67">
    <cfRule type="cellIs" dxfId="770" priority="24" operator="equal">
      <formula>0</formula>
    </cfRule>
  </conditionalFormatting>
  <conditionalFormatting sqref="BU68:BX68">
    <cfRule type="cellIs" dxfId="769" priority="23" operator="equal">
      <formula>0</formula>
    </cfRule>
  </conditionalFormatting>
  <conditionalFormatting sqref="BU69:BX69">
    <cfRule type="cellIs" dxfId="768" priority="22" operator="equal">
      <formula>0</formula>
    </cfRule>
  </conditionalFormatting>
  <conditionalFormatting sqref="BU70:BX70">
    <cfRule type="cellIs" dxfId="767" priority="21" operator="equal">
      <formula>0</formula>
    </cfRule>
  </conditionalFormatting>
  <conditionalFormatting sqref="BU71:BX71">
    <cfRule type="cellIs" dxfId="766" priority="20" operator="equal">
      <formula>0</formula>
    </cfRule>
  </conditionalFormatting>
  <conditionalFormatting sqref="BU72:BX72">
    <cfRule type="cellIs" dxfId="765" priority="19" operator="equal">
      <formula>0</formula>
    </cfRule>
  </conditionalFormatting>
  <conditionalFormatting sqref="BU73:BX73">
    <cfRule type="cellIs" dxfId="764" priority="18" operator="equal">
      <formula>0</formula>
    </cfRule>
  </conditionalFormatting>
  <conditionalFormatting sqref="BU74:BX74">
    <cfRule type="cellIs" dxfId="763" priority="17" operator="equal">
      <formula>0</formula>
    </cfRule>
  </conditionalFormatting>
  <conditionalFormatting sqref="BU75:BX75">
    <cfRule type="cellIs" dxfId="762" priority="16" operator="equal">
      <formula>0</formula>
    </cfRule>
  </conditionalFormatting>
  <conditionalFormatting sqref="BU76:BX76">
    <cfRule type="cellIs" dxfId="761" priority="15" operator="equal">
      <formula>0</formula>
    </cfRule>
  </conditionalFormatting>
  <conditionalFormatting sqref="BU77:BX77">
    <cfRule type="cellIs" dxfId="760" priority="14" operator="equal">
      <formula>0</formula>
    </cfRule>
  </conditionalFormatting>
  <conditionalFormatting sqref="BU78:BX78">
    <cfRule type="cellIs" dxfId="759" priority="13" operator="equal">
      <formula>0</formula>
    </cfRule>
  </conditionalFormatting>
  <conditionalFormatting sqref="BU79:BX79">
    <cfRule type="cellIs" dxfId="758" priority="12" operator="equal">
      <formula>0</formula>
    </cfRule>
  </conditionalFormatting>
  <conditionalFormatting sqref="BU80:BX80">
    <cfRule type="cellIs" dxfId="757" priority="11" operator="equal">
      <formula>0</formula>
    </cfRule>
  </conditionalFormatting>
  <conditionalFormatting sqref="BU81:BX81">
    <cfRule type="cellIs" dxfId="756" priority="10" operator="equal">
      <formula>0</formula>
    </cfRule>
  </conditionalFormatting>
  <conditionalFormatting sqref="BU82:BX82">
    <cfRule type="cellIs" dxfId="755" priority="9" operator="equal">
      <formula>0</formula>
    </cfRule>
  </conditionalFormatting>
  <conditionalFormatting sqref="BU83:BX83">
    <cfRule type="cellIs" dxfId="754" priority="8" operator="equal">
      <formula>0</formula>
    </cfRule>
  </conditionalFormatting>
  <conditionalFormatting sqref="BU84:BX84">
    <cfRule type="cellIs" dxfId="753" priority="7" operator="equal">
      <formula>0</formula>
    </cfRule>
  </conditionalFormatting>
  <conditionalFormatting sqref="BU85:BX85">
    <cfRule type="cellIs" dxfId="752" priority="6" operator="equal">
      <formula>0</formula>
    </cfRule>
  </conditionalFormatting>
  <conditionalFormatting sqref="BU86:BX86">
    <cfRule type="cellIs" dxfId="751" priority="5" operator="equal">
      <formula>0</formula>
    </cfRule>
  </conditionalFormatting>
  <conditionalFormatting sqref="BU87:BX87">
    <cfRule type="cellIs" dxfId="750" priority="4" operator="equal">
      <formula>0</formula>
    </cfRule>
  </conditionalFormatting>
  <conditionalFormatting sqref="BU88:BX88">
    <cfRule type="cellIs" dxfId="749" priority="3" operator="equal">
      <formula>0</formula>
    </cfRule>
  </conditionalFormatting>
  <conditionalFormatting sqref="BU89:BX89">
    <cfRule type="cellIs" dxfId="748" priority="2" operator="equal">
      <formula>0</formula>
    </cfRule>
  </conditionalFormatting>
  <conditionalFormatting sqref="BU90:BX90">
    <cfRule type="cellIs" dxfId="747" priority="1" operator="equal">
      <formula>0</formula>
    </cfRule>
  </conditionalFormatting>
  <pageMargins left="0.7" right="0.7" top="0.75" bottom="0.75" header="0.3" footer="0.3"/>
  <pageSetup orientation="portrait" horizontalDpi="0" verticalDpi="0" r:id="rId1"/>
  <ignoredErrors>
    <ignoredError sqref="AF28 AU27 BJ27 AF41 AU28 BE41 G43 AF43 BE43 G45 AF45 BE45 G48 AF48 BE48 G53 AF53 BE53 G57 AF57 BE57 G59 AF59 BE59 G61 AK61 BJ61 G62 AF62 BE62 G63 AF63 BE63 G64 AF64 BE64 G67 AF67 BE67 G71 AF71 BJ71 G74 AF74 BE74 G79 AF79 BE79 G82 AK82 BO82 G84 AF84 BE84 G86 AF86 BE86 G87 AF87 BJ87 G90 AF90 BE90 G42 G44 G46 G47 G49 G50 G51 G52 G54 G55 G56 G58 G60 G65 G66 G68 G69 G70 G72 G73 G75 G76 G77 G78 G80 G81 G83 G85 G88 G89 L42 L43 L44 L45 L46 L47 L48 L49 L50 L51 L52 L53 L54 L55 L56 L57 L58 L59 L60 L61 L62 L63 L64 L65 L66 L67 L68 L69 L70 L71 L72 L73 L74 L75 L76 L77 L78 L79 L80 L81 L82 L83 L84 L85 L86 L87 L88 L89 L90 Q42 Q43 Q44 Q45 Q46 Q47 Q48 Q49 Q50 Q51 Q52 Q53 Q54 Q55 Q56 Q57 Q58 Q59 Q60 Q61 Q62 Q63 Q64 Q65 Q66 Q67 Q68 Q69 Q70 Q71 Q72 Q73 Q74 Q75 Q76 Q77 Q78 Q79 Q80 Q81 Q82 Q83 Q84 Q85 Q86 Q87 Q88 Q89 Q90 V42 V43 V44 V45 V46 V47 V48 V49 V50 V51 V52 V53 V54 V55 V56 V57 V58 V59 V60 V61 V62 V63 V64 V65 V66 V67 V68 V69 V70 V71 V72 V73 V74 V75 V76 V77 V78 V79 V80 V81 V82 V83 V84 V85 V86 V87 V88 V89 V90 AA60 AA61 AA68 AA69 AA70 AA71 AA72 AA73 AA74 AA80 AA81 AA82 AA85 AA86 AA87 AA88 AA89 AA90 AF2 AF3 AF4 AF5 AF6 AF7 AF8 AF9 AF10 AF11 AF12 AF13 AF14 AF15 AF16 AF17 AF18 AF19 AF20 AF21 AF22 AF23 AF24 AF25 AF26 AF27 AF29 AF30 AF31 AF32 AF33 AF34 AF35 AF36 AF37 AF38 AF39 AF40 AF42 AF44 AF46 AF47 AF49 AF50 AF51 AF52 AF54 AF55 AF56 AF58 AF60 AF61 AF65 AF66 AF68 AF69 AF70 AF72 AF73 AF75 AF76 AF77 AF78 AF80 AF81 AF82 AF83 AF85 AF88 AF89 AK2 AK3 AK4 AK5 AK6 AK7 AK8 AK9 AK10 AK11 AK12 AK13 AK14 AK15 AK16 AK17 AK18 AK19 AK20 AK21 AK22 AK23 AK24 AK25 AK26 AK27 AK28 AK29 AK30 AK31 AK32 AK33 AK34 AK35 AK36 AK37 AK38 AK39 AK40 AK41 AK42 AK43 AK44 AK45 AK46 AK47 AK48 AK49 AK50 AK51 AK52 AK53 AK54 AK55 AK56 AK57 AK58 AK59 AK60 AK62 AK63 AK64 AK65 AK66 AK67 AK68 AK69 AK70 AK71 AK72 AK73 AK74 AK75 AK76 AK77 AK78 AK79 AK80 AK81 AK83 AK84 AK85 AK86 AK87 AK88 AK89 AK90 AP29 AP30 AP31 AP32 AP33 AP34 AP35 AP36 AP37 AP38 AP39 AP40 AP41 AP42 AP43 AP44 AP45 AP46 AP47 AP48 AP49 AP50 AP51 AP52 AP53 AP54 AP55 AP56 AP57 AP58 AP59 AP60 AP61 AP62 AP63 AP64 AP65 AP66 AP67 AP68 AP69 AP70 AP71 AP72 AP73 AP74 AP75 AP76 AP77 AP78 AP79 AP80 AP81 AP82 AP83 AP84 AP85 AP86 AP87 AP88 AP89 AP90 AU2 AU3 AU4 AU5 AU6 AU7 AU8 AU9 AU10 AU11 AU12 AU13 AU14 AU15 AU16 AU17 AU18 AU19 AU20 AU21 AU22 AU23 AU24 AU25 AU26 AU29 AU30 AU31 AU32 AU33 AU34 AU35 AU36 AU37 AU38 AU39 AU40 AU41 AU42 AU43 AU44 AU45 AU46 AU47 AU48 AU49 AU50 AU51 AU52 AU53 AU54 AU55 AU56 AU57 AU58 AU59 AU60 AU61 AU62 AU63 AU64 AU65 AU66 AU67 AU68 AU69 AU70 AU71 AU72 AU73 AU74 AU75 AU76 AU77 AU78 AU79 AU80 AU81 AU82 AU83 AU84 AU85 AU86 AU87 AU88 AU89 AU90 AZ2 AZ3 AZ4 AZ5 AZ6 AZ7 AZ8 AZ9 AZ10 AZ11 AZ12 AZ13 AZ14 AZ15 AZ16 AZ17 AZ18 AZ19 AZ20 AZ21 AZ22 AZ23 AZ24 AZ25 AZ26 AZ27 AZ28 AZ29 AZ30 AZ31 AZ32 AZ33 AZ34 AZ35 AZ36 AZ37 AZ38 AZ39 AZ40 AZ41 AZ49 AZ50 AZ51 AZ52 AZ53 AZ58 AZ59 AZ60 AZ61 AZ62 AZ63 AZ64 AZ65 AZ66 AZ67 AZ68 AZ69 AZ70 AZ71 AZ72 AZ73 AZ74 AZ75 AZ76 AZ77 AZ78 AZ79 AZ80 AZ81 AZ82 AZ83 AZ84 AZ85 AZ86 AZ87 AZ88 AZ89 AZ90 BE28 BE29 BE30 BE31 BE32 BE33 BE34 BE35 BE36 BE37 BE38 BE39 BE40 BE42 BE44 BE46 BE47 BE49 BE50 BE51 BE52 BE54 BE55 BE56 BE58 BE60 BE61 BE65 BE66 BE68 BE69 BE70 BE71 BE72 BE73 BE75 BE76 BE77 BE78 BE80 BE81 BE82 BE83 BE85 BE88 BE89 BJ2 BJ3 BJ4 BJ5 BJ6 BJ7 BJ8 BJ9 BJ10 BJ11 BJ12 BJ13 BJ14 BJ15 BJ16 BJ17 BJ18 BJ19 BJ20 BJ21 BJ22 BJ23 BJ24 BJ25 BJ26 BJ28 BJ29 BJ30 BJ31 BJ32 BJ33 BJ34 BJ35 BJ36 BJ37 BJ38 BJ39 BJ40 BJ41 BJ42 BJ43 BJ44 BJ45 BJ46 BJ47 BJ48 BJ49 BJ50 BJ51 BJ52 BJ53 BJ54 BJ55 BJ56 BJ57 BJ58 BJ59 BJ60 BJ62 BJ63 BJ64 BJ65 BJ66 BJ67 BJ68 BJ69 BJ70 BJ72 BJ73 BJ74 BJ75 BJ76 BJ77 BJ78 BJ79 BJ83 BJ84 BJ85 BJ86 BJ88 BJ89 BJ90 BO2 BO3 BO4 BO5 BO6 BO7 BO8 BO9 BO10 BO11 BO12 BO13 BO14 BO15 BO16 BO17 BO18 BO19 BO20 BO21 BO22 BO23 BO24 BO25 BO26 BO27 BO28 BO29 BO30 BO31 BO32 BO33 BO34 BO35 BO36 BO37 BO38 BO39 BO40 BO41 BO42 BO43 BO44 BO45 BO46 BO47 BO48 BO49 BO50 BO51 BO52 BO53 BO54 BO55 BO56 BO57 BO58 BO59 BO60 BO61 BO62 BO63 BO64 BO65 BO66 BO67 BO68 BO69 BO70 BO71 BO72 BO73 BO74 BO75 BO76 BO77 BO78 BO79 BO80 BO81 BO83 BO84 BO85 BO86 BO87 BO88 BO89 BO90 BT2 BT3 BT4 BT5 BT6 BT7 BT8 BT9 BT10 BT11 BT12 BT13 BT14 BT15 BT16 BT17 BT18 BT19 BT20 BT21 BT22 BT23 BT24 BT25 BT26 BT27 BT28 BT29 BT30 BT31 BT32 BT33 BT34 BT35 BT36 BT37 BT38 BT39 BT40 BT41 BT42 BT43 BT44 BT45 BT46 BT47 BT48 BT49 BT50 BT51 BT52 BT53 BT54 BT55 BT56 BT57 BT58 BT59 BT60 BT61 BT62 BT63 BT64 BT65 BT66 BT67 BT68 BT69 BT70 BT71 BT72 BT73 BT74 BT75 BT76 BT77 BT78 BT79 BT80 BT81 BT82 BT83 BT84 BT85 BT86 BT87 BT88 BT89 BT90" unlocked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4"/>
  <dimension ref="A1:AC1610"/>
  <sheetViews>
    <sheetView showGridLines="0" zoomScale="95" zoomScaleNormal="95" workbookViewId="0">
      <pane ySplit="8" topLeftCell="A9" activePane="bottomLeft" state="frozen"/>
      <selection pane="bottomLeft" activeCell="F8" sqref="F8"/>
    </sheetView>
  </sheetViews>
  <sheetFormatPr baseColWidth="10" defaultColWidth="11.42578125" defaultRowHeight="15" x14ac:dyDescent="0.25"/>
  <cols>
    <col min="1" max="1" width="8.42578125" style="64" customWidth="1"/>
    <col min="2" max="2" width="29.28515625" style="64" customWidth="1"/>
    <col min="3" max="3" width="22.42578125" style="64" customWidth="1"/>
    <col min="4" max="4" width="6.7109375" style="64" customWidth="1"/>
    <col min="5" max="6" width="11.42578125" style="64"/>
    <col min="7" max="8" width="6.7109375" style="64" customWidth="1"/>
    <col min="9" max="9" width="0.85546875" style="190" customWidth="1"/>
    <col min="10" max="10" width="13.85546875" style="64" customWidth="1"/>
    <col min="11" max="11" width="51.85546875" style="64" customWidth="1"/>
    <col min="12" max="12" width="0.85546875" style="64" hidden="1" customWidth="1"/>
    <col min="13" max="13" width="23.7109375" style="64" customWidth="1"/>
    <col min="14" max="14" width="11.42578125" style="64"/>
    <col min="15" max="15" width="61.7109375" style="64" customWidth="1"/>
    <col min="16" max="22" width="11.42578125" style="64"/>
    <col min="23" max="23" width="16.5703125" style="64" customWidth="1"/>
    <col min="24" max="25" width="11.42578125" style="64"/>
    <col min="26" max="26" width="24.28515625" style="64" customWidth="1"/>
    <col min="27" max="27" width="15.85546875" style="64" customWidth="1"/>
    <col min="28" max="16384" width="11.42578125" style="64"/>
  </cols>
  <sheetData>
    <row r="1" spans="1:29" ht="35.450000000000003" customHeight="1" x14ac:dyDescent="0.25">
      <c r="A1" s="605"/>
      <c r="B1" s="605"/>
      <c r="C1" s="606"/>
      <c r="D1" s="606"/>
      <c r="E1" s="606"/>
      <c r="F1" s="606"/>
      <c r="G1" s="606"/>
      <c r="H1" s="606"/>
      <c r="I1" s="606"/>
      <c r="J1" s="606"/>
      <c r="K1" s="606"/>
      <c r="L1" s="190"/>
      <c r="M1" s="575"/>
    </row>
    <row r="2" spans="1:29" ht="34.9" customHeight="1" x14ac:dyDescent="0.25">
      <c r="A2" s="605"/>
      <c r="B2" s="605"/>
      <c r="C2" s="606"/>
      <c r="D2" s="606"/>
      <c r="E2" s="606"/>
      <c r="F2" s="606"/>
      <c r="G2" s="606"/>
      <c r="H2" s="606"/>
      <c r="I2" s="606"/>
      <c r="J2" s="606"/>
      <c r="K2" s="606"/>
      <c r="L2" s="190"/>
      <c r="M2" s="575"/>
    </row>
    <row r="3" spans="1:29" ht="32.450000000000003" customHeight="1" x14ac:dyDescent="0.25">
      <c r="A3" s="605"/>
      <c r="B3" s="605"/>
      <c r="C3" s="606"/>
      <c r="D3" s="606"/>
      <c r="E3" s="606"/>
      <c r="F3" s="606"/>
      <c r="G3" s="606"/>
      <c r="H3" s="606"/>
      <c r="I3" s="606"/>
      <c r="J3" s="606"/>
      <c r="K3" s="606"/>
      <c r="L3" s="190"/>
      <c r="M3" s="576"/>
    </row>
    <row r="4" spans="1:29" ht="23.25" x14ac:dyDescent="0.35">
      <c r="A4" s="390" t="s">
        <v>26</v>
      </c>
      <c r="B4" s="337"/>
      <c r="C4" s="508"/>
      <c r="D4" s="338"/>
      <c r="E4" s="337"/>
      <c r="F4" s="337"/>
      <c r="G4" s="337"/>
      <c r="H4" s="337"/>
      <c r="I4" s="337"/>
      <c r="J4" s="337"/>
      <c r="K4" s="339"/>
      <c r="L4" s="109"/>
      <c r="M4" s="191"/>
    </row>
    <row r="5" spans="1:29" ht="23.25" x14ac:dyDescent="0.35">
      <c r="A5" s="390" t="s">
        <v>27</v>
      </c>
      <c r="B5" s="337"/>
      <c r="C5" s="508"/>
      <c r="D5" s="338"/>
      <c r="E5" s="337"/>
      <c r="F5" s="337"/>
      <c r="G5" s="337"/>
      <c r="H5" s="337"/>
      <c r="I5" s="337"/>
      <c r="J5" s="392" t="s">
        <v>28</v>
      </c>
      <c r="K5" s="388"/>
      <c r="L5" s="191"/>
      <c r="M5" s="191"/>
    </row>
    <row r="6" spans="1:29" ht="5.0999999999999996" customHeight="1" x14ac:dyDescent="0.3">
      <c r="A6" s="391"/>
      <c r="B6" s="337"/>
      <c r="C6" s="389"/>
      <c r="D6" s="337"/>
      <c r="E6" s="337"/>
      <c r="F6" s="337"/>
      <c r="G6" s="337"/>
      <c r="H6" s="337"/>
      <c r="I6" s="337"/>
      <c r="J6" s="337"/>
      <c r="K6" s="340"/>
      <c r="L6" s="110"/>
      <c r="M6" s="191"/>
    </row>
    <row r="7" spans="1:29" ht="5.0999999999999996" customHeight="1" thickBot="1" x14ac:dyDescent="0.3">
      <c r="I7" s="185"/>
      <c r="J7" s="108"/>
      <c r="K7" s="147"/>
      <c r="L7" s="147"/>
      <c r="M7" s="108"/>
    </row>
    <row r="8" spans="1:29" ht="36" customHeight="1" thickBot="1" x14ac:dyDescent="0.3">
      <c r="A8" s="331" t="s">
        <v>14</v>
      </c>
      <c r="B8" s="332" t="s">
        <v>29</v>
      </c>
      <c r="C8" s="333" t="s">
        <v>30</v>
      </c>
      <c r="D8" s="334" t="s">
        <v>31</v>
      </c>
      <c r="E8" s="334" t="s">
        <v>32</v>
      </c>
      <c r="F8" s="330" t="s">
        <v>33</v>
      </c>
      <c r="G8" s="332" t="s">
        <v>34</v>
      </c>
      <c r="H8" s="335" t="s">
        <v>35</v>
      </c>
      <c r="I8" s="140"/>
      <c r="J8" s="333" t="s">
        <v>36</v>
      </c>
      <c r="K8" s="336" t="s">
        <v>37</v>
      </c>
      <c r="L8" s="200"/>
      <c r="M8" s="228"/>
      <c r="N8" s="1"/>
      <c r="O8" s="1"/>
      <c r="P8" s="2"/>
      <c r="Q8" s="2"/>
      <c r="R8" s="2"/>
      <c r="S8" s="3"/>
      <c r="T8" s="4"/>
      <c r="U8" s="5"/>
      <c r="V8" s="5"/>
      <c r="W8" s="3"/>
      <c r="X8" s="6"/>
      <c r="Y8" s="6"/>
      <c r="Z8" s="6"/>
      <c r="AA8" s="6"/>
      <c r="AB8" s="6"/>
      <c r="AC8" s="65"/>
    </row>
    <row r="9" spans="1:29" ht="5.0999999999999996" customHeight="1" thickBot="1" x14ac:dyDescent="0.3">
      <c r="A9" s="201"/>
      <c r="B9" s="202"/>
      <c r="C9" s="203"/>
      <c r="D9" s="203"/>
      <c r="E9" s="204"/>
      <c r="F9" s="205"/>
      <c r="G9" s="206"/>
      <c r="H9" s="207"/>
      <c r="I9" s="140"/>
      <c r="J9" s="208"/>
      <c r="K9" s="140"/>
      <c r="L9" s="200"/>
      <c r="M9" s="228"/>
      <c r="N9" s="1"/>
      <c r="O9" s="1"/>
      <c r="P9" s="2"/>
      <c r="Q9" s="2"/>
      <c r="R9" s="2"/>
      <c r="S9" s="3"/>
      <c r="T9" s="4"/>
      <c r="U9" s="5"/>
      <c r="V9" s="5"/>
      <c r="W9" s="3"/>
      <c r="X9" s="6"/>
      <c r="Y9" s="6"/>
      <c r="Z9" s="6"/>
      <c r="AA9" s="6"/>
      <c r="AB9" s="6"/>
      <c r="AC9" s="65"/>
    </row>
    <row r="10" spans="1:29" ht="15" customHeight="1" thickBot="1" x14ac:dyDescent="0.3">
      <c r="A10" s="126"/>
      <c r="B10" s="129"/>
      <c r="C10" s="149"/>
      <c r="D10" s="149"/>
      <c r="E10" s="150"/>
      <c r="F10" s="150"/>
      <c r="G10" s="151"/>
      <c r="H10" s="186"/>
      <c r="I10" s="140"/>
      <c r="J10" s="209"/>
      <c r="K10" s="192"/>
      <c r="L10" s="191"/>
      <c r="M10" s="165"/>
      <c r="N10" s="7"/>
      <c r="O10" s="66"/>
      <c r="P10" s="7"/>
      <c r="Q10" s="7"/>
      <c r="R10" s="7"/>
      <c r="S10" s="8"/>
      <c r="T10" s="9"/>
      <c r="U10" s="10"/>
      <c r="V10" s="11"/>
      <c r="W10" s="12"/>
      <c r="X10" s="12"/>
      <c r="Y10" s="12"/>
      <c r="Z10" s="13"/>
      <c r="AA10" s="13"/>
      <c r="AB10" s="13"/>
      <c r="AC10" s="65"/>
    </row>
    <row r="11" spans="1:29" ht="15" customHeight="1" x14ac:dyDescent="0.25">
      <c r="A11" s="126"/>
      <c r="B11" s="129"/>
      <c r="C11" s="124"/>
      <c r="D11" s="149"/>
      <c r="E11" s="150"/>
      <c r="F11" s="150"/>
      <c r="G11" s="128"/>
      <c r="H11" s="128"/>
      <c r="I11" s="140"/>
      <c r="J11" s="112"/>
      <c r="K11" s="165"/>
      <c r="L11" s="111"/>
      <c r="M11" s="165"/>
      <c r="N11" s="14"/>
      <c r="O11" s="15"/>
      <c r="P11" s="7"/>
      <c r="Q11" s="7"/>
      <c r="R11" s="7"/>
      <c r="S11" s="8"/>
      <c r="T11" s="16"/>
      <c r="U11" s="10"/>
      <c r="V11" s="10"/>
      <c r="W11" s="8"/>
      <c r="X11" s="8"/>
      <c r="Y11" s="8"/>
      <c r="Z11" s="8"/>
      <c r="AA11" s="8"/>
      <c r="AB11" s="8"/>
      <c r="AC11" s="65"/>
    </row>
    <row r="12" spans="1:29" ht="15" customHeight="1" x14ac:dyDescent="0.25">
      <c r="A12" s="126"/>
      <c r="B12" s="129"/>
      <c r="C12" s="124"/>
      <c r="D12" s="149"/>
      <c r="E12" s="150"/>
      <c r="F12" s="150"/>
      <c r="G12" s="128"/>
      <c r="H12" s="128"/>
      <c r="I12" s="140"/>
      <c r="J12" s="194" t="s">
        <v>39</v>
      </c>
      <c r="K12" s="192"/>
      <c r="L12" s="111"/>
      <c r="M12" s="165"/>
      <c r="N12" s="14"/>
      <c r="O12" s="15"/>
      <c r="P12" s="7"/>
      <c r="Q12" s="7"/>
      <c r="R12" s="7"/>
      <c r="S12" s="8"/>
      <c r="T12" s="16"/>
      <c r="U12" s="10"/>
      <c r="V12" s="10"/>
      <c r="W12" s="8"/>
      <c r="X12" s="8"/>
      <c r="Y12" s="8"/>
      <c r="Z12" s="8"/>
      <c r="AA12" s="8"/>
      <c r="AB12" s="8"/>
      <c r="AC12" s="65"/>
    </row>
    <row r="13" spans="1:29" ht="15" customHeight="1" x14ac:dyDescent="0.25">
      <c r="A13" s="126"/>
      <c r="B13" s="129"/>
      <c r="C13" s="124"/>
      <c r="D13" s="149"/>
      <c r="E13" s="150"/>
      <c r="F13" s="150"/>
      <c r="G13" s="128"/>
      <c r="H13" s="128"/>
      <c r="I13" s="140"/>
      <c r="J13" s="112"/>
      <c r="K13" s="165"/>
      <c r="L13" s="111"/>
      <c r="M13" s="165"/>
      <c r="N13" s="14"/>
      <c r="O13" s="15"/>
      <c r="P13" s="7"/>
      <c r="Q13" s="7"/>
      <c r="R13" s="7"/>
      <c r="S13" s="8"/>
      <c r="T13" s="16"/>
      <c r="U13" s="10"/>
      <c r="V13" s="10"/>
      <c r="W13" s="8"/>
      <c r="X13" s="8"/>
      <c r="Y13" s="8"/>
      <c r="Z13" s="8"/>
      <c r="AA13" s="8"/>
      <c r="AB13" s="8"/>
      <c r="AC13" s="65"/>
    </row>
    <row r="14" spans="1:29" ht="15" customHeight="1" x14ac:dyDescent="0.25">
      <c r="A14" s="126"/>
      <c r="B14" s="129"/>
      <c r="C14" s="124"/>
      <c r="D14" s="149"/>
      <c r="E14" s="150"/>
      <c r="F14" s="150"/>
      <c r="G14" s="128"/>
      <c r="H14" s="128"/>
      <c r="I14" s="140"/>
      <c r="J14" s="194" t="s">
        <v>40</v>
      </c>
      <c r="K14" s="195"/>
      <c r="L14" s="111"/>
      <c r="M14" s="165"/>
      <c r="N14" s="17"/>
      <c r="O14" s="15"/>
      <c r="P14" s="7"/>
      <c r="Q14" s="7"/>
      <c r="R14" s="7"/>
      <c r="S14" s="8"/>
      <c r="T14" s="67"/>
      <c r="U14" s="10"/>
      <c r="V14" s="10"/>
      <c r="W14" s="8"/>
      <c r="X14" s="8"/>
      <c r="Y14" s="8"/>
      <c r="Z14" s="8"/>
      <c r="AA14" s="8"/>
      <c r="AB14" s="8"/>
      <c r="AC14" s="65"/>
    </row>
    <row r="15" spans="1:29" ht="15" customHeight="1" x14ac:dyDescent="0.25">
      <c r="A15" s="126"/>
      <c r="B15" s="129"/>
      <c r="C15" s="124"/>
      <c r="D15" s="149"/>
      <c r="E15" s="150"/>
      <c r="F15" s="150"/>
      <c r="G15" s="128"/>
      <c r="H15" s="128"/>
      <c r="I15" s="140"/>
      <c r="J15" s="112"/>
      <c r="K15" s="165"/>
      <c r="L15" s="111"/>
      <c r="M15" s="165"/>
      <c r="N15" s="17"/>
      <c r="O15" s="15"/>
      <c r="P15" s="7"/>
      <c r="Q15" s="7"/>
      <c r="R15" s="7"/>
      <c r="S15" s="8"/>
      <c r="T15" s="67"/>
      <c r="U15" s="10"/>
      <c r="V15" s="10"/>
      <c r="W15" s="8"/>
      <c r="X15" s="8"/>
      <c r="Y15" s="8"/>
      <c r="Z15" s="8"/>
      <c r="AA15" s="8"/>
      <c r="AB15" s="8"/>
      <c r="AC15" s="65"/>
    </row>
    <row r="16" spans="1:29" ht="15" customHeight="1" x14ac:dyDescent="0.25">
      <c r="A16" s="126"/>
      <c r="B16" s="129"/>
      <c r="C16" s="124"/>
      <c r="D16" s="149"/>
      <c r="E16" s="150"/>
      <c r="F16" s="150"/>
      <c r="G16" s="128"/>
      <c r="H16" s="128"/>
      <c r="I16" s="140"/>
      <c r="J16" s="194" t="s">
        <v>41</v>
      </c>
      <c r="K16" s="195"/>
      <c r="L16" s="111"/>
      <c r="M16" s="165"/>
      <c r="N16" s="17"/>
      <c r="O16" s="15"/>
      <c r="P16" s="7"/>
      <c r="Q16" s="7"/>
      <c r="R16" s="7"/>
      <c r="S16" s="8"/>
      <c r="T16" s="67"/>
      <c r="U16" s="10"/>
      <c r="V16" s="10"/>
      <c r="W16" s="8"/>
      <c r="X16" s="8"/>
      <c r="Y16" s="8"/>
      <c r="Z16" s="8"/>
      <c r="AA16" s="8"/>
      <c r="AB16" s="8"/>
      <c r="AC16" s="65"/>
    </row>
    <row r="17" spans="1:29" ht="15" customHeight="1" x14ac:dyDescent="0.25">
      <c r="A17" s="126"/>
      <c r="B17" s="129"/>
      <c r="C17" s="124"/>
      <c r="D17" s="149"/>
      <c r="E17" s="150"/>
      <c r="F17" s="150"/>
      <c r="G17" s="128"/>
      <c r="H17" s="128"/>
      <c r="I17" s="140"/>
      <c r="J17" s="112"/>
      <c r="K17" s="165"/>
      <c r="L17" s="111"/>
      <c r="M17" s="165"/>
      <c r="N17" s="17"/>
      <c r="O17" s="15"/>
      <c r="P17" s="7"/>
      <c r="Q17" s="7"/>
      <c r="R17" s="7"/>
      <c r="S17" s="8"/>
      <c r="T17" s="67"/>
      <c r="U17" s="10"/>
      <c r="V17" s="10"/>
      <c r="W17" s="8"/>
      <c r="X17" s="8"/>
      <c r="Y17" s="8"/>
      <c r="Z17" s="8"/>
      <c r="AA17" s="8"/>
      <c r="AB17" s="8"/>
      <c r="AC17" s="65"/>
    </row>
    <row r="18" spans="1:29" ht="15" customHeight="1" x14ac:dyDescent="0.25">
      <c r="A18" s="126"/>
      <c r="B18" s="129"/>
      <c r="C18" s="124"/>
      <c r="D18" s="149"/>
      <c r="E18" s="150"/>
      <c r="F18" s="150"/>
      <c r="G18" s="128"/>
      <c r="H18" s="128"/>
      <c r="I18" s="140"/>
      <c r="J18" s="194" t="s">
        <v>42</v>
      </c>
      <c r="K18" s="192"/>
      <c r="L18" s="111"/>
      <c r="M18" s="165"/>
      <c r="N18" s="17"/>
      <c r="O18" s="15"/>
      <c r="P18" s="7"/>
      <c r="Q18" s="7"/>
      <c r="R18" s="7"/>
      <c r="S18" s="8"/>
      <c r="T18" s="67"/>
      <c r="U18" s="10"/>
      <c r="V18" s="10"/>
      <c r="W18" s="8"/>
      <c r="X18" s="8"/>
      <c r="Y18" s="8"/>
      <c r="Z18" s="8"/>
      <c r="AA18" s="8"/>
      <c r="AB18" s="8"/>
      <c r="AC18" s="65"/>
    </row>
    <row r="19" spans="1:29" ht="15" customHeight="1" x14ac:dyDescent="0.25">
      <c r="A19" s="126"/>
      <c r="B19" s="129"/>
      <c r="C19" s="124"/>
      <c r="D19" s="149"/>
      <c r="E19" s="150"/>
      <c r="F19" s="150"/>
      <c r="G19" s="128"/>
      <c r="H19" s="128"/>
      <c r="I19" s="140"/>
      <c r="J19" s="112"/>
      <c r="K19" s="165"/>
      <c r="L19" s="111"/>
      <c r="M19" s="165"/>
      <c r="N19" s="18"/>
      <c r="O19" s="15"/>
      <c r="P19" s="19"/>
      <c r="Q19" s="20"/>
      <c r="R19" s="19"/>
      <c r="S19" s="19"/>
      <c r="T19" s="20"/>
      <c r="U19" s="19"/>
      <c r="V19" s="19"/>
      <c r="W19" s="19"/>
      <c r="X19" s="19"/>
      <c r="Y19" s="19"/>
      <c r="Z19" s="19"/>
      <c r="AA19" s="19"/>
      <c r="AB19" s="19"/>
      <c r="AC19" s="65"/>
    </row>
    <row r="20" spans="1:29" ht="15" customHeight="1" x14ac:dyDescent="0.25">
      <c r="A20" s="126"/>
      <c r="B20" s="129"/>
      <c r="C20" s="124"/>
      <c r="D20" s="149"/>
      <c r="E20" s="150"/>
      <c r="F20" s="150"/>
      <c r="G20" s="128"/>
      <c r="H20" s="128"/>
      <c r="I20" s="140"/>
      <c r="J20" s="193" t="s">
        <v>43</v>
      </c>
      <c r="K20" s="195"/>
      <c r="L20" s="111"/>
      <c r="M20" s="165"/>
      <c r="N20" s="18"/>
      <c r="O20" s="15"/>
      <c r="P20" s="19"/>
      <c r="Q20" s="20"/>
      <c r="R20" s="19"/>
      <c r="S20" s="19"/>
      <c r="T20" s="20"/>
      <c r="U20" s="19"/>
      <c r="V20" s="19"/>
      <c r="W20" s="19"/>
      <c r="X20" s="19"/>
      <c r="Y20" s="19"/>
      <c r="Z20" s="19"/>
      <c r="AA20" s="19"/>
      <c r="AB20" s="19"/>
      <c r="AC20" s="65"/>
    </row>
    <row r="21" spans="1:29" ht="15" customHeight="1" x14ac:dyDescent="0.25">
      <c r="A21" s="163"/>
      <c r="B21" s="129"/>
      <c r="C21" s="124"/>
      <c r="D21" s="149"/>
      <c r="E21" s="150"/>
      <c r="F21" s="150"/>
      <c r="G21" s="128"/>
      <c r="H21" s="128"/>
      <c r="I21" s="140"/>
      <c r="J21" s="112"/>
      <c r="K21" s="165"/>
      <c r="L21" s="111"/>
      <c r="M21" s="165"/>
      <c r="N21" s="18"/>
      <c r="O21" s="15"/>
      <c r="P21" s="19"/>
      <c r="Q21" s="20"/>
      <c r="R21" s="19"/>
      <c r="S21" s="19"/>
      <c r="T21" s="20"/>
      <c r="U21" s="19"/>
      <c r="V21" s="19"/>
      <c r="W21" s="19"/>
      <c r="X21" s="19"/>
      <c r="Y21" s="19"/>
      <c r="Z21" s="19"/>
      <c r="AA21" s="19"/>
      <c r="AB21" s="19"/>
      <c r="AC21" s="65"/>
    </row>
    <row r="22" spans="1:29" ht="15" customHeight="1" x14ac:dyDescent="0.25">
      <c r="A22" s="163"/>
      <c r="B22" s="129"/>
      <c r="C22" s="124"/>
      <c r="D22" s="149"/>
      <c r="E22" s="150"/>
      <c r="F22" s="150"/>
      <c r="G22" s="162"/>
      <c r="H22" s="162"/>
      <c r="I22" s="140"/>
      <c r="J22" s="194" t="s">
        <v>44</v>
      </c>
      <c r="K22" s="195"/>
      <c r="L22" s="111"/>
      <c r="M22" s="165"/>
      <c r="N22" s="18"/>
      <c r="O22" s="15"/>
      <c r="P22" s="19"/>
      <c r="Q22" s="20"/>
      <c r="R22" s="19"/>
      <c r="S22" s="19"/>
      <c r="T22" s="20"/>
      <c r="U22" s="19"/>
      <c r="V22" s="19"/>
      <c r="W22" s="19"/>
      <c r="X22" s="19"/>
      <c r="Y22" s="19"/>
      <c r="Z22" s="19"/>
      <c r="AA22" s="19"/>
      <c r="AB22" s="19"/>
      <c r="AC22" s="65"/>
    </row>
    <row r="23" spans="1:29" ht="15" customHeight="1" x14ac:dyDescent="0.25">
      <c r="A23" s="163"/>
      <c r="B23" s="129"/>
      <c r="C23" s="124"/>
      <c r="D23" s="149"/>
      <c r="E23" s="150"/>
      <c r="F23" s="150"/>
      <c r="G23" s="162"/>
      <c r="H23" s="162"/>
      <c r="I23" s="140"/>
      <c r="J23" s="112"/>
      <c r="K23" s="165"/>
      <c r="L23" s="111"/>
      <c r="M23" s="165"/>
      <c r="N23" s="18"/>
      <c r="O23" s="15"/>
      <c r="P23" s="19"/>
      <c r="Q23" s="20"/>
      <c r="R23" s="19"/>
      <c r="S23" s="19"/>
      <c r="T23" s="20"/>
      <c r="U23" s="19"/>
      <c r="V23" s="19"/>
      <c r="W23" s="19"/>
      <c r="X23" s="19"/>
      <c r="Y23" s="19"/>
      <c r="Z23" s="19"/>
      <c r="AA23" s="19"/>
      <c r="AB23" s="19"/>
      <c r="AC23" s="65"/>
    </row>
    <row r="24" spans="1:29" ht="15" customHeight="1" x14ac:dyDescent="0.25">
      <c r="A24" s="163"/>
      <c r="B24" s="129"/>
      <c r="C24" s="124"/>
      <c r="D24" s="149"/>
      <c r="E24" s="150"/>
      <c r="F24" s="150"/>
      <c r="G24" s="162"/>
      <c r="H24" s="162"/>
      <c r="I24" s="140"/>
      <c r="J24" s="194" t="s">
        <v>45</v>
      </c>
      <c r="K24" s="196"/>
      <c r="L24" s="111"/>
      <c r="M24" s="165"/>
      <c r="N24" s="18"/>
      <c r="O24" s="15"/>
      <c r="P24" s="19"/>
      <c r="Q24" s="20"/>
      <c r="R24" s="19"/>
      <c r="S24" s="19"/>
      <c r="T24" s="20"/>
      <c r="U24" s="19"/>
      <c r="V24" s="19"/>
      <c r="W24" s="19"/>
      <c r="X24" s="19"/>
      <c r="Y24" s="19"/>
      <c r="Z24" s="19"/>
      <c r="AA24" s="19"/>
      <c r="AB24" s="19"/>
      <c r="AC24" s="65"/>
    </row>
    <row r="25" spans="1:29" ht="5.0999999999999996" customHeight="1" x14ac:dyDescent="0.25">
      <c r="A25" s="140"/>
      <c r="B25" s="198"/>
      <c r="C25" s="140"/>
      <c r="D25" s="140"/>
      <c r="E25" s="199"/>
      <c r="F25" s="140"/>
      <c r="G25" s="140"/>
      <c r="H25" s="140"/>
      <c r="I25" s="140"/>
      <c r="J25" s="194"/>
      <c r="K25" s="197"/>
      <c r="L25" s="111"/>
      <c r="M25" s="230"/>
      <c r="N25" s="18"/>
      <c r="O25" s="15"/>
      <c r="P25" s="19"/>
      <c r="Q25" s="20"/>
      <c r="R25" s="19"/>
      <c r="S25" s="19"/>
      <c r="T25" s="20"/>
      <c r="U25" s="19"/>
      <c r="V25" s="19"/>
      <c r="W25" s="19"/>
      <c r="X25" s="19"/>
      <c r="Y25" s="19"/>
      <c r="Z25" s="19"/>
      <c r="AA25" s="19"/>
      <c r="AB25" s="19"/>
      <c r="AC25" s="65"/>
    </row>
    <row r="26" spans="1:29" ht="16.5" thickBot="1" x14ac:dyDescent="0.3">
      <c r="A26" s="117"/>
      <c r="B26" s="114"/>
      <c r="C26" s="115"/>
      <c r="D26" s="115"/>
      <c r="E26" s="116"/>
      <c r="F26" s="116"/>
      <c r="G26" s="164"/>
      <c r="H26" s="187"/>
      <c r="I26" s="140"/>
      <c r="J26" s="119"/>
      <c r="K26" s="119"/>
      <c r="L26" s="210"/>
      <c r="M26" s="230"/>
      <c r="N26" s="18"/>
      <c r="O26" s="21"/>
      <c r="P26" s="7"/>
      <c r="Q26" s="7"/>
      <c r="R26" s="7"/>
      <c r="S26" s="8"/>
      <c r="T26" s="22"/>
      <c r="U26" s="10"/>
      <c r="V26" s="10"/>
      <c r="W26" s="68"/>
      <c r="X26" s="8"/>
      <c r="Y26" s="8"/>
      <c r="Z26" s="8"/>
      <c r="AA26" s="8"/>
      <c r="AB26" s="8"/>
      <c r="AC26" s="65"/>
    </row>
    <row r="27" spans="1:29" ht="5.0999999999999996" customHeight="1" thickBot="1" x14ac:dyDescent="0.3">
      <c r="A27" s="211"/>
      <c r="B27" s="212"/>
      <c r="C27" s="213"/>
      <c r="D27" s="213"/>
      <c r="E27" s="214"/>
      <c r="F27" s="214"/>
      <c r="G27" s="215"/>
      <c r="H27" s="216"/>
      <c r="I27" s="140"/>
      <c r="J27" s="210"/>
      <c r="K27" s="210"/>
      <c r="L27" s="210"/>
      <c r="M27" s="230"/>
      <c r="N27" s="18"/>
      <c r="O27" s="21"/>
      <c r="P27" s="7"/>
      <c r="Q27" s="7"/>
      <c r="R27" s="7"/>
      <c r="S27" s="8"/>
      <c r="T27" s="22"/>
      <c r="U27" s="10"/>
      <c r="V27" s="10"/>
      <c r="W27" s="68"/>
      <c r="X27" s="8"/>
      <c r="Y27" s="8"/>
      <c r="Z27" s="8"/>
      <c r="AA27" s="8"/>
      <c r="AB27" s="8"/>
      <c r="AC27" s="65"/>
    </row>
    <row r="28" spans="1:29" ht="15" customHeight="1" x14ac:dyDescent="0.25">
      <c r="A28" s="125"/>
      <c r="B28" s="148"/>
      <c r="C28" s="149"/>
      <c r="D28" s="149"/>
      <c r="E28" s="150"/>
      <c r="F28" s="150"/>
      <c r="G28" s="127"/>
      <c r="H28" s="188"/>
      <c r="I28" s="140"/>
      <c r="J28" s="315"/>
      <c r="K28" s="222"/>
      <c r="L28" s="112"/>
      <c r="M28" s="166"/>
      <c r="N28" s="18"/>
      <c r="O28" s="15"/>
      <c r="P28" s="7"/>
      <c r="Q28" s="7"/>
      <c r="R28" s="7"/>
      <c r="S28" s="8"/>
      <c r="T28" s="22"/>
      <c r="U28" s="10"/>
      <c r="V28" s="10"/>
      <c r="W28" s="68"/>
      <c r="X28" s="8"/>
      <c r="Y28" s="8"/>
      <c r="Z28" s="8"/>
      <c r="AA28" s="8"/>
      <c r="AB28" s="8"/>
      <c r="AC28" s="65"/>
    </row>
    <row r="29" spans="1:29" ht="15" customHeight="1" thickBot="1" x14ac:dyDescent="0.3">
      <c r="A29" s="126"/>
      <c r="B29" s="129"/>
      <c r="C29" s="149"/>
      <c r="D29" s="149"/>
      <c r="E29" s="150"/>
      <c r="F29" s="150"/>
      <c r="G29" s="128"/>
      <c r="H29" s="128"/>
      <c r="I29" s="140"/>
      <c r="J29" s="112"/>
      <c r="K29" s="166"/>
      <c r="L29" s="118"/>
      <c r="M29" s="166"/>
      <c r="N29" s="18"/>
      <c r="O29" s="15"/>
      <c r="P29" s="7"/>
      <c r="Q29" s="7"/>
      <c r="R29" s="7"/>
      <c r="S29" s="8"/>
      <c r="T29" s="22"/>
      <c r="U29" s="10"/>
      <c r="V29" s="10"/>
      <c r="W29" s="68"/>
      <c r="X29" s="8"/>
      <c r="Y29" s="8"/>
      <c r="Z29" s="8"/>
      <c r="AA29" s="8"/>
      <c r="AB29" s="8"/>
      <c r="AC29" s="65"/>
    </row>
    <row r="30" spans="1:29" ht="15" customHeight="1" thickBot="1" x14ac:dyDescent="0.3">
      <c r="A30" s="126"/>
      <c r="B30" s="129"/>
      <c r="C30" s="149"/>
      <c r="D30" s="149"/>
      <c r="E30" s="150"/>
      <c r="F30" s="150"/>
      <c r="G30" s="128"/>
      <c r="H30" s="128"/>
      <c r="I30" s="140"/>
      <c r="J30" s="194" t="s">
        <v>39</v>
      </c>
      <c r="K30" s="222"/>
      <c r="L30" s="118"/>
      <c r="M30" s="166"/>
      <c r="N30" s="18"/>
      <c r="O30" s="15"/>
      <c r="P30" s="7"/>
      <c r="Q30" s="7"/>
      <c r="R30" s="7"/>
      <c r="S30" s="8"/>
      <c r="T30" s="22"/>
      <c r="U30" s="10"/>
      <c r="V30" s="10"/>
      <c r="W30" s="68"/>
      <c r="X30" s="8"/>
      <c r="Y30" s="8"/>
      <c r="Z30" s="8"/>
      <c r="AA30" s="8"/>
      <c r="AB30" s="8"/>
      <c r="AC30" s="65"/>
    </row>
    <row r="31" spans="1:29" ht="15" customHeight="1" thickBot="1" x14ac:dyDescent="0.3">
      <c r="A31" s="126"/>
      <c r="B31" s="129"/>
      <c r="C31" s="149"/>
      <c r="D31" s="149"/>
      <c r="E31" s="150"/>
      <c r="F31" s="150"/>
      <c r="G31" s="127"/>
      <c r="H31" s="128"/>
      <c r="I31" s="140"/>
      <c r="J31" s="112"/>
      <c r="K31" s="166"/>
      <c r="L31" s="118"/>
      <c r="M31" s="166"/>
      <c r="N31" s="18"/>
      <c r="O31" s="15"/>
      <c r="P31" s="7"/>
      <c r="Q31" s="7"/>
      <c r="R31" s="7"/>
      <c r="S31" s="8"/>
      <c r="T31" s="22"/>
      <c r="U31" s="10"/>
      <c r="V31" s="10"/>
      <c r="W31" s="68"/>
      <c r="X31" s="8"/>
      <c r="Y31" s="8"/>
      <c r="Z31" s="8"/>
      <c r="AA31" s="8"/>
      <c r="AB31" s="8"/>
      <c r="AC31" s="65"/>
    </row>
    <row r="32" spans="1:29" ht="15" customHeight="1" x14ac:dyDescent="0.25">
      <c r="A32" s="126"/>
      <c r="B32" s="129"/>
      <c r="C32" s="124"/>
      <c r="D32" s="149"/>
      <c r="E32" s="150"/>
      <c r="F32" s="150"/>
      <c r="G32" s="128"/>
      <c r="H32" s="128"/>
      <c r="I32" s="140"/>
      <c r="J32" s="194" t="s">
        <v>40</v>
      </c>
      <c r="K32" s="223"/>
      <c r="L32" s="118"/>
      <c r="M32" s="166"/>
      <c r="N32" s="18"/>
      <c r="O32" s="15"/>
      <c r="P32" s="7"/>
      <c r="Q32" s="7"/>
      <c r="R32" s="7"/>
      <c r="S32" s="8"/>
      <c r="T32" s="22"/>
      <c r="U32" s="10"/>
      <c r="V32" s="10"/>
      <c r="W32" s="68"/>
      <c r="X32" s="8"/>
      <c r="Y32" s="8"/>
      <c r="Z32" s="8"/>
      <c r="AA32" s="8"/>
      <c r="AB32" s="8"/>
      <c r="AC32" s="65"/>
    </row>
    <row r="33" spans="1:29" ht="15" customHeight="1" thickBot="1" x14ac:dyDescent="0.3">
      <c r="A33" s="126"/>
      <c r="B33" s="129"/>
      <c r="C33" s="124"/>
      <c r="D33" s="149"/>
      <c r="E33" s="150"/>
      <c r="F33" s="150"/>
      <c r="G33" s="128"/>
      <c r="H33" s="128"/>
      <c r="I33" s="140"/>
      <c r="J33" s="112"/>
      <c r="K33" s="166"/>
      <c r="L33" s="118"/>
      <c r="M33" s="166"/>
      <c r="N33" s="18"/>
      <c r="O33" s="15"/>
      <c r="P33" s="7"/>
      <c r="Q33" s="7"/>
      <c r="R33" s="7"/>
      <c r="S33" s="8"/>
      <c r="T33" s="22"/>
      <c r="U33" s="10"/>
      <c r="V33" s="10"/>
      <c r="W33" s="68"/>
      <c r="X33" s="8"/>
      <c r="Y33" s="8"/>
      <c r="Z33" s="8"/>
      <c r="AA33" s="8"/>
      <c r="AB33" s="8"/>
      <c r="AC33" s="65"/>
    </row>
    <row r="34" spans="1:29" ht="15" customHeight="1" x14ac:dyDescent="0.25">
      <c r="A34" s="126"/>
      <c r="B34" s="129"/>
      <c r="C34" s="124"/>
      <c r="D34" s="149"/>
      <c r="E34" s="150"/>
      <c r="F34" s="150"/>
      <c r="G34" s="128"/>
      <c r="H34" s="128"/>
      <c r="I34" s="140"/>
      <c r="J34" s="194" t="s">
        <v>41</v>
      </c>
      <c r="K34" s="223"/>
      <c r="L34" s="118"/>
      <c r="M34" s="166"/>
      <c r="N34" s="18"/>
      <c r="O34" s="15"/>
      <c r="P34" s="7"/>
      <c r="Q34" s="7"/>
      <c r="R34" s="7"/>
      <c r="S34" s="8"/>
      <c r="T34" s="22"/>
      <c r="U34" s="10"/>
      <c r="V34" s="10"/>
      <c r="W34" s="68"/>
      <c r="X34" s="8"/>
      <c r="Y34" s="8"/>
      <c r="Z34" s="8"/>
      <c r="AA34" s="8"/>
      <c r="AB34" s="8"/>
      <c r="AC34" s="65"/>
    </row>
    <row r="35" spans="1:29" ht="15" customHeight="1" thickBot="1" x14ac:dyDescent="0.3">
      <c r="A35" s="126"/>
      <c r="B35" s="129"/>
      <c r="C35" s="124"/>
      <c r="D35" s="149"/>
      <c r="E35" s="150"/>
      <c r="F35" s="150"/>
      <c r="G35" s="128"/>
      <c r="H35" s="128"/>
      <c r="I35" s="140"/>
      <c r="J35" s="112"/>
      <c r="K35" s="166"/>
      <c r="L35" s="118"/>
      <c r="M35" s="166"/>
      <c r="N35" s="18"/>
      <c r="O35" s="15"/>
      <c r="P35" s="7"/>
      <c r="Q35" s="7"/>
      <c r="R35" s="7"/>
      <c r="S35" s="8"/>
      <c r="T35" s="22"/>
      <c r="U35" s="10"/>
      <c r="V35" s="10"/>
      <c r="W35" s="68"/>
      <c r="X35" s="8"/>
      <c r="Y35" s="8"/>
      <c r="Z35" s="8"/>
      <c r="AA35" s="8"/>
      <c r="AB35" s="8"/>
      <c r="AC35" s="65"/>
    </row>
    <row r="36" spans="1:29" ht="15" customHeight="1" x14ac:dyDescent="0.25">
      <c r="A36" s="126"/>
      <c r="B36" s="129"/>
      <c r="C36" s="124"/>
      <c r="D36" s="149"/>
      <c r="E36" s="150"/>
      <c r="F36" s="150"/>
      <c r="G36" s="128"/>
      <c r="H36" s="128"/>
      <c r="I36" s="140"/>
      <c r="J36" s="194" t="s">
        <v>42</v>
      </c>
      <c r="K36" s="222"/>
      <c r="L36" s="111"/>
      <c r="M36" s="166"/>
      <c r="N36" s="18"/>
      <c r="O36" s="15"/>
      <c r="P36" s="7"/>
      <c r="Q36" s="7"/>
      <c r="R36" s="7"/>
      <c r="S36" s="8"/>
      <c r="T36" s="22"/>
      <c r="U36" s="10"/>
      <c r="V36" s="10"/>
      <c r="W36" s="68"/>
      <c r="X36" s="8"/>
      <c r="Y36" s="8"/>
      <c r="Z36" s="8"/>
      <c r="AA36" s="8"/>
      <c r="AB36" s="8"/>
      <c r="AC36" s="65"/>
    </row>
    <row r="37" spans="1:29" ht="15" customHeight="1" thickBot="1" x14ac:dyDescent="0.3">
      <c r="A37" s="126"/>
      <c r="B37" s="129"/>
      <c r="C37" s="124"/>
      <c r="D37" s="149"/>
      <c r="E37" s="150"/>
      <c r="F37" s="150"/>
      <c r="G37" s="128"/>
      <c r="H37" s="128"/>
      <c r="I37" s="140"/>
      <c r="J37" s="112"/>
      <c r="K37" s="166"/>
      <c r="L37" s="111"/>
      <c r="M37" s="166"/>
      <c r="N37" s="18"/>
      <c r="O37" s="15"/>
      <c r="P37" s="7"/>
      <c r="Q37" s="7"/>
      <c r="R37" s="7"/>
      <c r="S37" s="8"/>
      <c r="T37" s="22"/>
      <c r="U37" s="10"/>
      <c r="V37" s="10"/>
      <c r="W37" s="68"/>
      <c r="X37" s="8"/>
      <c r="Y37" s="8"/>
      <c r="Z37" s="8"/>
      <c r="AA37" s="8"/>
      <c r="AB37" s="8"/>
      <c r="AC37" s="65"/>
    </row>
    <row r="38" spans="1:29" ht="15" customHeight="1" x14ac:dyDescent="0.25">
      <c r="A38" s="125"/>
      <c r="B38" s="129"/>
      <c r="C38" s="124"/>
      <c r="D38" s="149"/>
      <c r="E38" s="150"/>
      <c r="F38" s="150"/>
      <c r="G38" s="128"/>
      <c r="H38" s="128"/>
      <c r="I38" s="140"/>
      <c r="J38" s="193" t="s">
        <v>43</v>
      </c>
      <c r="K38" s="222"/>
      <c r="L38" s="111"/>
      <c r="M38" s="166"/>
      <c r="N38" s="18"/>
      <c r="O38" s="15"/>
      <c r="P38" s="7"/>
      <c r="Q38" s="7"/>
      <c r="R38" s="7"/>
      <c r="S38" s="8"/>
      <c r="T38" s="22"/>
      <c r="U38" s="10"/>
      <c r="V38" s="10"/>
      <c r="W38" s="68"/>
      <c r="X38" s="8"/>
      <c r="Y38" s="8"/>
      <c r="Z38" s="8"/>
      <c r="AA38" s="8"/>
      <c r="AB38" s="8"/>
      <c r="AC38" s="65"/>
    </row>
    <row r="39" spans="1:29" ht="15" customHeight="1" x14ac:dyDescent="0.25">
      <c r="A39" s="126"/>
      <c r="B39" s="129"/>
      <c r="C39" s="124"/>
      <c r="D39" s="149"/>
      <c r="E39" s="150"/>
      <c r="F39" s="150"/>
      <c r="G39" s="128"/>
      <c r="H39" s="128"/>
      <c r="I39" s="140"/>
      <c r="J39" s="112"/>
      <c r="K39" s="166"/>
      <c r="L39" s="111"/>
      <c r="M39" s="166"/>
      <c r="N39" s="18"/>
      <c r="O39" s="15"/>
      <c r="P39" s="7"/>
      <c r="Q39" s="7"/>
      <c r="R39" s="7"/>
      <c r="S39" s="8"/>
      <c r="T39" s="22"/>
      <c r="U39" s="10"/>
      <c r="V39" s="10"/>
      <c r="W39" s="68"/>
      <c r="X39" s="8"/>
      <c r="Y39" s="8"/>
      <c r="Z39" s="8"/>
      <c r="AA39" s="8"/>
      <c r="AB39" s="8"/>
      <c r="AC39" s="65"/>
    </row>
    <row r="40" spans="1:29" ht="15" customHeight="1" x14ac:dyDescent="0.25">
      <c r="A40" s="126"/>
      <c r="B40" s="129"/>
      <c r="C40" s="124"/>
      <c r="D40" s="149"/>
      <c r="E40" s="150"/>
      <c r="F40" s="150"/>
      <c r="G40" s="128"/>
      <c r="H40" s="128"/>
      <c r="I40" s="140"/>
      <c r="J40" s="194" t="s">
        <v>44</v>
      </c>
      <c r="K40" s="224"/>
      <c r="L40" s="111"/>
      <c r="M40" s="166"/>
      <c r="N40" s="18"/>
      <c r="O40" s="15"/>
      <c r="P40" s="7"/>
      <c r="Q40" s="7"/>
      <c r="R40" s="7"/>
      <c r="S40" s="8"/>
      <c r="T40" s="22"/>
      <c r="U40" s="10"/>
      <c r="V40" s="10"/>
      <c r="W40" s="68"/>
      <c r="X40" s="8"/>
      <c r="Y40" s="8"/>
      <c r="Z40" s="8"/>
      <c r="AA40" s="8"/>
      <c r="AB40" s="8"/>
      <c r="AC40" s="65"/>
    </row>
    <row r="41" spans="1:29" ht="15" customHeight="1" x14ac:dyDescent="0.25">
      <c r="A41" s="126"/>
      <c r="B41" s="129"/>
      <c r="C41" s="124"/>
      <c r="D41" s="149"/>
      <c r="E41" s="150"/>
      <c r="F41" s="150"/>
      <c r="G41" s="128"/>
      <c r="H41" s="128"/>
      <c r="I41" s="140"/>
      <c r="J41" s="112"/>
      <c r="K41" s="166"/>
      <c r="L41" s="111"/>
      <c r="M41" s="166"/>
      <c r="N41" s="18"/>
      <c r="O41" s="15"/>
      <c r="P41" s="23"/>
      <c r="Q41" s="7"/>
      <c r="R41" s="7"/>
      <c r="S41" s="8"/>
      <c r="T41" s="22"/>
      <c r="U41" s="10"/>
      <c r="V41" s="24"/>
      <c r="W41" s="8"/>
      <c r="X41" s="8"/>
      <c r="Y41" s="25"/>
      <c r="Z41" s="12"/>
      <c r="AA41" s="26"/>
      <c r="AB41" s="26"/>
      <c r="AC41" s="65"/>
    </row>
    <row r="42" spans="1:29" ht="15" customHeight="1" x14ac:dyDescent="0.25">
      <c r="A42" s="130"/>
      <c r="B42" s="129"/>
      <c r="C42" s="124"/>
      <c r="D42" s="149"/>
      <c r="E42" s="150"/>
      <c r="F42" s="150"/>
      <c r="G42" s="128"/>
      <c r="H42" s="128"/>
      <c r="I42" s="140"/>
      <c r="J42" s="194" t="s">
        <v>45</v>
      </c>
      <c r="K42" s="224"/>
      <c r="L42" s="111"/>
      <c r="M42" s="166"/>
      <c r="N42" s="18"/>
      <c r="O42" s="15"/>
      <c r="P42" s="23"/>
      <c r="Q42" s="7"/>
      <c r="R42" s="7"/>
      <c r="S42" s="8"/>
      <c r="T42" s="22"/>
      <c r="U42" s="10"/>
      <c r="V42" s="10"/>
      <c r="W42" s="8"/>
      <c r="X42" s="8"/>
      <c r="Y42" s="8"/>
      <c r="Z42" s="12"/>
      <c r="AA42" s="8"/>
      <c r="AB42" s="8"/>
      <c r="AC42" s="65"/>
    </row>
    <row r="43" spans="1:29" ht="5.0999999999999996" customHeight="1" x14ac:dyDescent="0.25">
      <c r="A43" s="140"/>
      <c r="B43" s="140"/>
      <c r="C43" s="140"/>
      <c r="D43" s="140"/>
      <c r="E43" s="140"/>
      <c r="F43" s="140"/>
      <c r="G43" s="140"/>
      <c r="H43" s="140"/>
      <c r="I43" s="140"/>
      <c r="J43" s="194"/>
      <c r="K43" s="166"/>
      <c r="L43" s="111"/>
      <c r="M43" s="230"/>
      <c r="N43" s="18"/>
      <c r="O43" s="15"/>
      <c r="P43" s="23"/>
      <c r="Q43" s="7"/>
      <c r="R43" s="7"/>
      <c r="S43" s="8"/>
      <c r="T43" s="22"/>
      <c r="U43" s="10"/>
      <c r="V43" s="10"/>
      <c r="W43" s="8"/>
      <c r="X43" s="8"/>
      <c r="Y43" s="8"/>
      <c r="Z43" s="12"/>
      <c r="AA43" s="8"/>
      <c r="AB43" s="8"/>
      <c r="AC43" s="65"/>
    </row>
    <row r="44" spans="1:29" ht="16.5" thickBot="1" x14ac:dyDescent="0.3">
      <c r="A44" s="113"/>
      <c r="B44" s="114"/>
      <c r="C44" s="115"/>
      <c r="D44" s="115"/>
      <c r="E44" s="116"/>
      <c r="F44" s="116"/>
      <c r="G44" s="164"/>
      <c r="H44" s="120"/>
      <c r="I44" s="140"/>
      <c r="J44" s="120"/>
      <c r="K44" s="121"/>
      <c r="L44" s="221"/>
      <c r="M44" s="230"/>
      <c r="N44" s="18"/>
      <c r="O44" s="15"/>
      <c r="P44" s="23"/>
      <c r="Q44" s="7"/>
      <c r="R44" s="7"/>
      <c r="S44" s="8"/>
      <c r="T44" s="22"/>
      <c r="U44" s="10"/>
      <c r="V44" s="10"/>
      <c r="W44" s="8"/>
      <c r="X44" s="8"/>
      <c r="Y44" s="8"/>
      <c r="Z44" s="12"/>
      <c r="AA44" s="27"/>
      <c r="AB44" s="8"/>
      <c r="AC44" s="65"/>
    </row>
    <row r="45" spans="1:29" ht="5.0999999999999996" customHeight="1" thickBot="1" x14ac:dyDescent="0.3">
      <c r="A45" s="217"/>
      <c r="B45" s="212"/>
      <c r="C45" s="213"/>
      <c r="D45" s="213"/>
      <c r="E45" s="214"/>
      <c r="F45" s="214"/>
      <c r="G45" s="215"/>
      <c r="H45" s="218"/>
      <c r="I45" s="140"/>
      <c r="J45" s="219"/>
      <c r="K45" s="220"/>
      <c r="L45" s="221"/>
      <c r="M45" s="230"/>
      <c r="N45" s="18"/>
      <c r="O45" s="15"/>
      <c r="P45" s="23"/>
      <c r="Q45" s="7"/>
      <c r="R45" s="7"/>
      <c r="S45" s="8"/>
      <c r="T45" s="22"/>
      <c r="U45" s="10"/>
      <c r="V45" s="10"/>
      <c r="W45" s="8"/>
      <c r="X45" s="8"/>
      <c r="Y45" s="8"/>
      <c r="Z45" s="12"/>
      <c r="AA45" s="27"/>
      <c r="AB45" s="8"/>
      <c r="AC45" s="65"/>
    </row>
    <row r="46" spans="1:29" ht="15" customHeight="1" x14ac:dyDescent="0.25">
      <c r="A46" s="125"/>
      <c r="B46" s="148"/>
      <c r="C46" s="123"/>
      <c r="D46" s="149"/>
      <c r="E46" s="150"/>
      <c r="F46" s="150"/>
      <c r="G46" s="127"/>
      <c r="H46" s="189"/>
      <c r="I46" s="140"/>
      <c r="J46" s="315"/>
      <c r="K46" s="223"/>
      <c r="L46" s="112"/>
      <c r="M46" s="166"/>
      <c r="N46" s="7"/>
      <c r="O46" s="15"/>
      <c r="P46" s="7"/>
      <c r="Q46" s="7"/>
      <c r="R46" s="7"/>
      <c r="S46" s="12"/>
      <c r="T46" s="16"/>
      <c r="U46" s="10"/>
      <c r="V46" s="10"/>
      <c r="W46" s="8"/>
      <c r="X46" s="8"/>
      <c r="Y46" s="8"/>
      <c r="Z46" s="12"/>
      <c r="AA46" s="8"/>
      <c r="AB46" s="8"/>
      <c r="AC46" s="65"/>
    </row>
    <row r="47" spans="1:29" ht="15" customHeight="1" thickBot="1" x14ac:dyDescent="0.3">
      <c r="A47" s="126"/>
      <c r="B47" s="129"/>
      <c r="C47" s="124"/>
      <c r="D47" s="149"/>
      <c r="E47" s="150"/>
      <c r="F47" s="150"/>
      <c r="G47" s="128"/>
      <c r="H47" s="128"/>
      <c r="I47" s="140"/>
      <c r="J47" s="112"/>
      <c r="K47" s="166"/>
      <c r="L47" s="118"/>
      <c r="M47" s="166"/>
      <c r="N47" s="7"/>
      <c r="O47" s="15"/>
      <c r="P47" s="7"/>
      <c r="Q47" s="7"/>
      <c r="R47" s="7"/>
      <c r="S47" s="12"/>
      <c r="T47" s="16"/>
      <c r="U47" s="10"/>
      <c r="V47" s="10"/>
      <c r="W47" s="8"/>
      <c r="X47" s="8"/>
      <c r="Y47" s="8"/>
      <c r="Z47" s="12"/>
      <c r="AA47" s="8"/>
      <c r="AB47" s="8"/>
      <c r="AC47" s="65"/>
    </row>
    <row r="48" spans="1:29" ht="15" customHeight="1" thickBot="1" x14ac:dyDescent="0.3">
      <c r="A48" s="126"/>
      <c r="B48" s="129"/>
      <c r="C48" s="124"/>
      <c r="D48" s="149"/>
      <c r="E48" s="150"/>
      <c r="F48" s="150"/>
      <c r="G48" s="128"/>
      <c r="H48" s="128"/>
      <c r="I48" s="140"/>
      <c r="J48" s="194" t="s">
        <v>39</v>
      </c>
      <c r="K48" s="223"/>
      <c r="L48" s="118"/>
      <c r="M48" s="166"/>
      <c r="N48" s="7"/>
      <c r="O48" s="15"/>
      <c r="P48" s="7"/>
      <c r="Q48" s="7"/>
      <c r="R48" s="7"/>
      <c r="S48" s="12"/>
      <c r="T48" s="16"/>
      <c r="U48" s="10"/>
      <c r="V48" s="10"/>
      <c r="W48" s="8"/>
      <c r="X48" s="8"/>
      <c r="Y48" s="8"/>
      <c r="Z48" s="12"/>
      <c r="AA48" s="8"/>
      <c r="AB48" s="8"/>
      <c r="AC48" s="65"/>
    </row>
    <row r="49" spans="1:29" ht="15" customHeight="1" thickBot="1" x14ac:dyDescent="0.3">
      <c r="A49" s="126"/>
      <c r="B49" s="129"/>
      <c r="C49" s="123"/>
      <c r="D49" s="149"/>
      <c r="E49" s="150"/>
      <c r="F49" s="150"/>
      <c r="G49" s="128"/>
      <c r="H49" s="128"/>
      <c r="I49" s="140"/>
      <c r="J49" s="112"/>
      <c r="K49" s="166"/>
      <c r="L49" s="118"/>
      <c r="M49" s="166"/>
      <c r="N49" s="7"/>
      <c r="O49" s="15"/>
      <c r="P49" s="23"/>
      <c r="Q49" s="7"/>
      <c r="R49" s="7"/>
      <c r="S49" s="8"/>
      <c r="T49" s="16"/>
      <c r="U49" s="10"/>
      <c r="V49" s="10"/>
      <c r="W49" s="8"/>
      <c r="X49" s="8"/>
      <c r="Y49" s="8"/>
      <c r="Z49" s="12"/>
      <c r="AA49" s="8"/>
      <c r="AB49" s="8"/>
      <c r="AC49" s="65"/>
    </row>
    <row r="50" spans="1:29" ht="15" customHeight="1" x14ac:dyDescent="0.25">
      <c r="A50" s="126"/>
      <c r="B50" s="129"/>
      <c r="C50" s="124"/>
      <c r="D50" s="149"/>
      <c r="E50" s="150"/>
      <c r="F50" s="150"/>
      <c r="G50" s="128"/>
      <c r="H50" s="128"/>
      <c r="I50" s="140"/>
      <c r="J50" s="194" t="s">
        <v>40</v>
      </c>
      <c r="K50" s="223"/>
      <c r="L50" s="118"/>
      <c r="M50" s="166"/>
      <c r="N50" s="7"/>
      <c r="O50" s="15"/>
      <c r="P50" s="23"/>
      <c r="Q50" s="7"/>
      <c r="R50" s="7"/>
      <c r="S50" s="8"/>
      <c r="T50" s="16"/>
      <c r="U50" s="10"/>
      <c r="V50" s="10"/>
      <c r="W50" s="8"/>
      <c r="X50" s="8"/>
      <c r="Y50" s="8"/>
      <c r="Z50" s="12"/>
      <c r="AA50" s="8"/>
      <c r="AB50" s="8"/>
      <c r="AC50" s="65"/>
    </row>
    <row r="51" spans="1:29" ht="15" customHeight="1" thickBot="1" x14ac:dyDescent="0.3">
      <c r="A51" s="126"/>
      <c r="B51" s="129"/>
      <c r="C51" s="124"/>
      <c r="D51" s="149"/>
      <c r="E51" s="150"/>
      <c r="F51" s="150"/>
      <c r="G51" s="128"/>
      <c r="H51" s="128"/>
      <c r="I51" s="140"/>
      <c r="J51" s="112"/>
      <c r="K51" s="166"/>
      <c r="L51" s="118"/>
      <c r="M51" s="166"/>
      <c r="N51" s="7"/>
      <c r="O51" s="15"/>
      <c r="P51" s="23"/>
      <c r="Q51" s="7"/>
      <c r="R51" s="7"/>
      <c r="S51" s="8"/>
      <c r="T51" s="16"/>
      <c r="U51" s="10"/>
      <c r="V51" s="10"/>
      <c r="W51" s="8"/>
      <c r="X51" s="8"/>
      <c r="Y51" s="8"/>
      <c r="Z51" s="12"/>
      <c r="AA51" s="8"/>
      <c r="AB51" s="8"/>
      <c r="AC51" s="65"/>
    </row>
    <row r="52" spans="1:29" ht="15" customHeight="1" x14ac:dyDescent="0.25">
      <c r="A52" s="126"/>
      <c r="B52" s="129"/>
      <c r="C52" s="124"/>
      <c r="D52" s="149"/>
      <c r="E52" s="150"/>
      <c r="F52" s="150"/>
      <c r="G52" s="128"/>
      <c r="H52" s="128"/>
      <c r="I52" s="140"/>
      <c r="J52" s="194" t="s">
        <v>41</v>
      </c>
      <c r="K52" s="223"/>
      <c r="L52" s="118"/>
      <c r="M52" s="166"/>
      <c r="N52" s="7"/>
      <c r="O52" s="15"/>
      <c r="P52" s="23"/>
      <c r="Q52" s="7"/>
      <c r="R52" s="7"/>
      <c r="S52" s="8"/>
      <c r="T52" s="16"/>
      <c r="U52" s="10"/>
      <c r="V52" s="10"/>
      <c r="W52" s="8"/>
      <c r="X52" s="8"/>
      <c r="Y52" s="8"/>
      <c r="Z52" s="12"/>
      <c r="AA52" s="8"/>
      <c r="AB52" s="8"/>
      <c r="AC52" s="65"/>
    </row>
    <row r="53" spans="1:29" ht="15" customHeight="1" thickBot="1" x14ac:dyDescent="0.3">
      <c r="A53" s="126"/>
      <c r="B53" s="129"/>
      <c r="C53" s="124"/>
      <c r="D53" s="149"/>
      <c r="E53" s="150"/>
      <c r="F53" s="150"/>
      <c r="G53" s="128"/>
      <c r="H53" s="128"/>
      <c r="I53" s="140"/>
      <c r="J53" s="112"/>
      <c r="K53" s="166"/>
      <c r="L53" s="118"/>
      <c r="M53" s="166"/>
      <c r="N53" s="7"/>
      <c r="O53" s="15"/>
      <c r="P53" s="23"/>
      <c r="Q53" s="7"/>
      <c r="R53" s="7"/>
      <c r="S53" s="8"/>
      <c r="T53" s="16"/>
      <c r="U53" s="10"/>
      <c r="V53" s="10"/>
      <c r="W53" s="8"/>
      <c r="X53" s="8"/>
      <c r="Y53" s="8"/>
      <c r="Z53" s="12"/>
      <c r="AA53" s="8"/>
      <c r="AB53" s="8"/>
      <c r="AC53" s="65"/>
    </row>
    <row r="54" spans="1:29" ht="15" customHeight="1" x14ac:dyDescent="0.25">
      <c r="A54" s="126"/>
      <c r="B54" s="129"/>
      <c r="C54" s="124"/>
      <c r="D54" s="149"/>
      <c r="E54" s="150"/>
      <c r="F54" s="150"/>
      <c r="G54" s="128"/>
      <c r="H54" s="128"/>
      <c r="I54" s="140"/>
      <c r="J54" s="194" t="s">
        <v>42</v>
      </c>
      <c r="K54" s="223"/>
      <c r="L54" s="111"/>
      <c r="M54" s="166"/>
      <c r="N54" s="7"/>
      <c r="O54" s="15"/>
      <c r="P54" s="23"/>
      <c r="Q54" s="7"/>
      <c r="R54" s="7"/>
      <c r="S54" s="8"/>
      <c r="T54" s="16"/>
      <c r="U54" s="10"/>
      <c r="V54" s="10"/>
      <c r="W54" s="8"/>
      <c r="X54" s="8"/>
      <c r="Y54" s="8"/>
      <c r="Z54" s="12"/>
      <c r="AA54" s="8"/>
      <c r="AB54" s="8"/>
      <c r="AC54" s="65"/>
    </row>
    <row r="55" spans="1:29" ht="15" customHeight="1" thickBot="1" x14ac:dyDescent="0.3">
      <c r="A55" s="126"/>
      <c r="B55" s="129"/>
      <c r="C55" s="124"/>
      <c r="D55" s="149"/>
      <c r="E55" s="150"/>
      <c r="F55" s="150"/>
      <c r="G55" s="128"/>
      <c r="H55" s="128"/>
      <c r="I55" s="140"/>
      <c r="J55" s="112"/>
      <c r="K55" s="166"/>
      <c r="L55" s="111"/>
      <c r="M55" s="166"/>
      <c r="N55" s="7"/>
      <c r="O55" s="15"/>
      <c r="P55" s="23"/>
      <c r="Q55" s="7"/>
      <c r="R55" s="7"/>
      <c r="S55" s="8"/>
      <c r="T55" s="16"/>
      <c r="U55" s="10"/>
      <c r="V55" s="10"/>
      <c r="W55" s="8"/>
      <c r="X55" s="8"/>
      <c r="Y55" s="8"/>
      <c r="Z55" s="12"/>
      <c r="AA55" s="8"/>
      <c r="AB55" s="8"/>
      <c r="AC55" s="65"/>
    </row>
    <row r="56" spans="1:29" ht="15" customHeight="1" x14ac:dyDescent="0.25">
      <c r="A56" s="126"/>
      <c r="B56" s="129"/>
      <c r="C56" s="124"/>
      <c r="D56" s="149"/>
      <c r="E56" s="150"/>
      <c r="F56" s="150"/>
      <c r="G56" s="128"/>
      <c r="H56" s="128"/>
      <c r="I56" s="140"/>
      <c r="J56" s="193" t="s">
        <v>43</v>
      </c>
      <c r="K56" s="223"/>
      <c r="L56" s="111"/>
      <c r="M56" s="166"/>
      <c r="N56" s="7"/>
      <c r="O56" s="15"/>
      <c r="P56" s="23"/>
      <c r="Q56" s="7"/>
      <c r="R56" s="7"/>
      <c r="S56" s="8"/>
      <c r="T56" s="16"/>
      <c r="U56" s="10"/>
      <c r="V56" s="10"/>
      <c r="W56" s="8"/>
      <c r="X56" s="8"/>
      <c r="Y56" s="8"/>
      <c r="Z56" s="12"/>
      <c r="AA56" s="8"/>
      <c r="AB56" s="8"/>
      <c r="AC56" s="65"/>
    </row>
    <row r="57" spans="1:29" ht="15" customHeight="1" x14ac:dyDescent="0.25">
      <c r="A57" s="126"/>
      <c r="B57" s="129"/>
      <c r="C57" s="124"/>
      <c r="D57" s="149"/>
      <c r="E57" s="150"/>
      <c r="F57" s="150"/>
      <c r="G57" s="128"/>
      <c r="H57" s="128"/>
      <c r="I57" s="140"/>
      <c r="J57" s="112"/>
      <c r="K57" s="166"/>
      <c r="L57" s="111"/>
      <c r="M57" s="166"/>
      <c r="N57" s="7"/>
      <c r="O57" s="15"/>
      <c r="P57" s="23"/>
      <c r="Q57" s="7"/>
      <c r="R57" s="7"/>
      <c r="S57" s="8"/>
      <c r="T57" s="16"/>
      <c r="U57" s="10"/>
      <c r="V57" s="10"/>
      <c r="W57" s="8"/>
      <c r="X57" s="8"/>
      <c r="Y57" s="8"/>
      <c r="Z57" s="12"/>
      <c r="AA57" s="8"/>
      <c r="AB57" s="8"/>
      <c r="AC57" s="65"/>
    </row>
    <row r="58" spans="1:29" ht="15" customHeight="1" x14ac:dyDescent="0.25">
      <c r="A58" s="126"/>
      <c r="B58" s="129"/>
      <c r="C58" s="124"/>
      <c r="D58" s="149"/>
      <c r="E58" s="150"/>
      <c r="F58" s="150"/>
      <c r="G58" s="128"/>
      <c r="H58" s="128"/>
      <c r="I58" s="140"/>
      <c r="J58" s="194" t="s">
        <v>44</v>
      </c>
      <c r="K58" s="224"/>
      <c r="L58" s="111"/>
      <c r="M58" s="166"/>
      <c r="N58" s="7"/>
      <c r="O58" s="15"/>
      <c r="P58" s="23"/>
      <c r="Q58" s="7"/>
      <c r="R58" s="7"/>
      <c r="S58" s="8"/>
      <c r="T58" s="16"/>
      <c r="U58" s="10"/>
      <c r="V58" s="10"/>
      <c r="W58" s="8"/>
      <c r="X58" s="8"/>
      <c r="Y58" s="8"/>
      <c r="Z58" s="12"/>
      <c r="AA58" s="8"/>
      <c r="AB58" s="8"/>
      <c r="AC58" s="65"/>
    </row>
    <row r="59" spans="1:29" ht="15" customHeight="1" x14ac:dyDescent="0.25">
      <c r="A59" s="126"/>
      <c r="B59" s="129"/>
      <c r="C59" s="124"/>
      <c r="D59" s="149"/>
      <c r="E59" s="150"/>
      <c r="F59" s="150"/>
      <c r="G59" s="128"/>
      <c r="H59" s="128"/>
      <c r="I59" s="140"/>
      <c r="J59" s="112"/>
      <c r="K59" s="166"/>
      <c r="L59" s="111"/>
      <c r="M59" s="166"/>
      <c r="N59" s="7"/>
      <c r="O59" s="15"/>
      <c r="P59" s="23"/>
      <c r="Q59" s="7"/>
      <c r="R59" s="7"/>
      <c r="S59" s="8"/>
      <c r="T59" s="16"/>
      <c r="U59" s="10"/>
      <c r="V59" s="10"/>
      <c r="W59" s="8"/>
      <c r="X59" s="8"/>
      <c r="Y59" s="8"/>
      <c r="Z59" s="12"/>
      <c r="AA59" s="8"/>
      <c r="AB59" s="8"/>
      <c r="AC59" s="65"/>
    </row>
    <row r="60" spans="1:29" ht="15" customHeight="1" x14ac:dyDescent="0.25">
      <c r="A60" s="130"/>
      <c r="B60" s="129"/>
      <c r="C60" s="124"/>
      <c r="D60" s="149"/>
      <c r="E60" s="150"/>
      <c r="F60" s="150"/>
      <c r="G60" s="128"/>
      <c r="H60" s="128"/>
      <c r="I60" s="140"/>
      <c r="J60" s="194" t="s">
        <v>45</v>
      </c>
      <c r="K60" s="224"/>
      <c r="L60" s="111"/>
      <c r="M60" s="166"/>
      <c r="N60" s="7"/>
      <c r="O60" s="15"/>
      <c r="P60" s="23"/>
      <c r="Q60" s="7"/>
      <c r="R60" s="7"/>
      <c r="S60" s="8"/>
      <c r="T60" s="16"/>
      <c r="U60" s="10"/>
      <c r="V60" s="10"/>
      <c r="W60" s="8"/>
      <c r="X60" s="8"/>
      <c r="Y60" s="8"/>
      <c r="Z60" s="12"/>
      <c r="AA60" s="8"/>
      <c r="AB60" s="8"/>
      <c r="AC60" s="65"/>
    </row>
    <row r="61" spans="1:29" ht="5.0999999999999996" customHeight="1" x14ac:dyDescent="0.25">
      <c r="A61" s="140"/>
      <c r="B61" s="140"/>
      <c r="C61" s="140"/>
      <c r="D61" s="140"/>
      <c r="E61" s="140"/>
      <c r="F61" s="140"/>
      <c r="G61" s="140"/>
      <c r="H61" s="140"/>
      <c r="I61" s="140"/>
      <c r="J61" s="194"/>
      <c r="K61" s="166"/>
      <c r="L61" s="111"/>
      <c r="M61" s="229"/>
      <c r="N61" s="7"/>
      <c r="O61" s="15"/>
      <c r="P61" s="23"/>
      <c r="Q61" s="7"/>
      <c r="R61" s="7"/>
      <c r="S61" s="8"/>
      <c r="T61" s="16"/>
      <c r="U61" s="10"/>
      <c r="V61" s="10"/>
      <c r="W61" s="8"/>
      <c r="X61" s="8"/>
      <c r="Y61" s="8"/>
      <c r="Z61" s="12"/>
      <c r="AA61" s="8"/>
      <c r="AB61" s="8"/>
      <c r="AC61" s="65"/>
    </row>
    <row r="62" spans="1:29" ht="16.5" thickBot="1" x14ac:dyDescent="0.3">
      <c r="A62" s="113"/>
      <c r="B62" s="114"/>
      <c r="C62" s="115"/>
      <c r="D62" s="115"/>
      <c r="E62" s="116"/>
      <c r="F62" s="116"/>
      <c r="G62" s="164"/>
      <c r="H62" s="120"/>
      <c r="I62" s="140"/>
      <c r="J62" s="120"/>
      <c r="K62" s="121"/>
      <c r="L62" s="221"/>
      <c r="M62" s="231"/>
      <c r="N62" s="28"/>
      <c r="O62" s="29"/>
      <c r="P62" s="28"/>
      <c r="Q62" s="28"/>
      <c r="R62" s="28"/>
      <c r="S62" s="30"/>
      <c r="T62" s="31"/>
      <c r="U62" s="32"/>
      <c r="V62" s="32"/>
      <c r="W62" s="33"/>
      <c r="X62" s="30"/>
      <c r="Y62" s="33"/>
      <c r="Z62" s="33"/>
      <c r="AA62" s="30"/>
      <c r="AB62" s="30"/>
      <c r="AC62" s="65"/>
    </row>
    <row r="63" spans="1:29" ht="5.0999999999999996" customHeight="1" thickBot="1" x14ac:dyDescent="0.3">
      <c r="A63" s="217"/>
      <c r="B63" s="212"/>
      <c r="C63" s="213"/>
      <c r="D63" s="213"/>
      <c r="E63" s="214"/>
      <c r="F63" s="214"/>
      <c r="G63" s="215"/>
      <c r="H63" s="218"/>
      <c r="I63" s="140"/>
      <c r="J63" s="218"/>
      <c r="K63" s="220"/>
      <c r="L63" s="221"/>
      <c r="M63" s="231"/>
      <c r="N63" s="28"/>
      <c r="O63" s="29"/>
      <c r="P63" s="28"/>
      <c r="Q63" s="28"/>
      <c r="R63" s="28"/>
      <c r="S63" s="30"/>
      <c r="T63" s="31"/>
      <c r="U63" s="32"/>
      <c r="V63" s="32"/>
      <c r="W63" s="33"/>
      <c r="X63" s="30"/>
      <c r="Y63" s="33"/>
      <c r="Z63" s="33"/>
      <c r="AA63" s="30"/>
      <c r="AB63" s="30"/>
      <c r="AC63" s="65"/>
    </row>
    <row r="64" spans="1:29" ht="15" customHeight="1" thickBot="1" x14ac:dyDescent="0.3">
      <c r="A64" s="125"/>
      <c r="B64" s="148"/>
      <c r="C64" s="123"/>
      <c r="D64" s="149"/>
      <c r="E64" s="150"/>
      <c r="F64" s="150"/>
      <c r="G64" s="127"/>
      <c r="H64" s="189"/>
      <c r="I64" s="140"/>
      <c r="J64" s="316"/>
      <c r="K64" s="223"/>
      <c r="L64" s="112"/>
      <c r="M64" s="166"/>
      <c r="N64" s="28"/>
      <c r="O64" s="29"/>
      <c r="P64" s="28"/>
      <c r="Q64" s="28"/>
      <c r="R64" s="28"/>
      <c r="S64" s="30"/>
      <c r="T64" s="31"/>
      <c r="U64" s="32"/>
      <c r="V64" s="32"/>
      <c r="W64" s="30"/>
      <c r="X64" s="30"/>
      <c r="Y64" s="30"/>
      <c r="Z64" s="33"/>
      <c r="AA64" s="30"/>
      <c r="AB64" s="30"/>
      <c r="AC64" s="65"/>
    </row>
    <row r="65" spans="1:29" ht="15" customHeight="1" thickBot="1" x14ac:dyDescent="0.3">
      <c r="A65" s="126"/>
      <c r="B65" s="129"/>
      <c r="C65" s="123"/>
      <c r="D65" s="149"/>
      <c r="E65" s="150"/>
      <c r="F65" s="150"/>
      <c r="G65" s="128"/>
      <c r="H65" s="128"/>
      <c r="I65" s="140"/>
      <c r="J65" s="112"/>
      <c r="K65" s="166"/>
      <c r="L65" s="118"/>
      <c r="M65" s="166"/>
      <c r="N65" s="28"/>
      <c r="O65" s="29"/>
      <c r="P65" s="28"/>
      <c r="Q65" s="28"/>
      <c r="R65" s="28"/>
      <c r="S65" s="30"/>
      <c r="T65" s="31"/>
      <c r="U65" s="32"/>
      <c r="V65" s="32"/>
      <c r="W65" s="30"/>
      <c r="X65" s="30"/>
      <c r="Y65" s="30"/>
      <c r="Z65" s="33"/>
      <c r="AA65" s="30"/>
      <c r="AB65" s="30"/>
      <c r="AC65" s="65"/>
    </row>
    <row r="66" spans="1:29" ht="15" customHeight="1" thickBot="1" x14ac:dyDescent="0.3">
      <c r="A66" s="126"/>
      <c r="B66" s="129"/>
      <c r="C66" s="123"/>
      <c r="D66" s="149"/>
      <c r="E66" s="150"/>
      <c r="F66" s="150"/>
      <c r="G66" s="128"/>
      <c r="H66" s="128"/>
      <c r="I66" s="140"/>
      <c r="J66" s="194" t="s">
        <v>39</v>
      </c>
      <c r="K66" s="223"/>
      <c r="L66" s="118"/>
      <c r="M66" s="166"/>
      <c r="N66" s="65"/>
      <c r="O66" s="15"/>
      <c r="P66" s="7"/>
      <c r="Q66" s="7"/>
      <c r="R66" s="7"/>
      <c r="S66" s="8"/>
      <c r="T66" s="22"/>
      <c r="U66" s="10"/>
      <c r="V66" s="10"/>
      <c r="W66" s="8"/>
      <c r="X66" s="8"/>
      <c r="Y66" s="8"/>
      <c r="Z66" s="12"/>
      <c r="AA66" s="8"/>
      <c r="AB66" s="8"/>
      <c r="AC66" s="65"/>
    </row>
    <row r="67" spans="1:29" ht="15" customHeight="1" thickBot="1" x14ac:dyDescent="0.3">
      <c r="A67" s="126"/>
      <c r="B67" s="129"/>
      <c r="C67" s="123"/>
      <c r="D67" s="149"/>
      <c r="E67" s="150"/>
      <c r="F67" s="150"/>
      <c r="G67" s="128"/>
      <c r="H67" s="128"/>
      <c r="I67" s="140"/>
      <c r="J67" s="112"/>
      <c r="K67" s="166"/>
      <c r="L67" s="118"/>
      <c r="M67" s="166"/>
      <c r="N67" s="14"/>
      <c r="O67" s="15"/>
      <c r="P67" s="7"/>
      <c r="Q67" s="7"/>
      <c r="R67" s="7"/>
      <c r="S67" s="8"/>
      <c r="T67" s="34"/>
      <c r="U67" s="10"/>
      <c r="V67" s="10"/>
      <c r="W67" s="8"/>
      <c r="X67" s="8"/>
      <c r="Y67" s="8"/>
      <c r="Z67" s="12"/>
      <c r="AA67" s="8"/>
      <c r="AB67" s="8"/>
      <c r="AC67" s="65"/>
    </row>
    <row r="68" spans="1:29" ht="15" customHeight="1" x14ac:dyDescent="0.25">
      <c r="A68" s="126"/>
      <c r="B68" s="129"/>
      <c r="C68" s="124"/>
      <c r="D68" s="149"/>
      <c r="E68" s="150"/>
      <c r="F68" s="150"/>
      <c r="G68" s="128"/>
      <c r="H68" s="128"/>
      <c r="I68" s="140"/>
      <c r="J68" s="194" t="s">
        <v>40</v>
      </c>
      <c r="K68" s="223"/>
      <c r="L68" s="118"/>
      <c r="M68" s="166"/>
      <c r="N68" s="14"/>
      <c r="O68" s="15"/>
      <c r="P68" s="7"/>
      <c r="Q68" s="7"/>
      <c r="R68" s="7"/>
      <c r="S68" s="8"/>
      <c r="T68" s="34"/>
      <c r="U68" s="10"/>
      <c r="V68" s="10"/>
      <c r="W68" s="8"/>
      <c r="X68" s="8"/>
      <c r="Y68" s="8"/>
      <c r="Z68" s="12"/>
      <c r="AA68" s="8"/>
      <c r="AB68" s="8"/>
      <c r="AC68" s="65"/>
    </row>
    <row r="69" spans="1:29" ht="15" customHeight="1" thickBot="1" x14ac:dyDescent="0.3">
      <c r="A69" s="126"/>
      <c r="B69" s="129"/>
      <c r="C69" s="124"/>
      <c r="D69" s="149"/>
      <c r="E69" s="150"/>
      <c r="F69" s="150"/>
      <c r="G69" s="128"/>
      <c r="H69" s="128"/>
      <c r="I69" s="140"/>
      <c r="J69" s="112"/>
      <c r="K69" s="166"/>
      <c r="L69" s="118"/>
      <c r="M69" s="166"/>
      <c r="N69" s="14"/>
      <c r="O69" s="15"/>
      <c r="P69" s="7"/>
      <c r="Q69" s="7"/>
      <c r="R69" s="7"/>
      <c r="S69" s="8"/>
      <c r="T69" s="34"/>
      <c r="U69" s="10"/>
      <c r="V69" s="10"/>
      <c r="W69" s="8"/>
      <c r="X69" s="8"/>
      <c r="Y69" s="8"/>
      <c r="Z69" s="12"/>
      <c r="AA69" s="8"/>
      <c r="AB69" s="8"/>
      <c r="AC69" s="65"/>
    </row>
    <row r="70" spans="1:29" ht="15" customHeight="1" x14ac:dyDescent="0.25">
      <c r="A70" s="126"/>
      <c r="B70" s="129"/>
      <c r="C70" s="124"/>
      <c r="D70" s="149"/>
      <c r="E70" s="150"/>
      <c r="F70" s="150"/>
      <c r="G70" s="128"/>
      <c r="H70" s="128"/>
      <c r="I70" s="140"/>
      <c r="J70" s="194" t="s">
        <v>41</v>
      </c>
      <c r="K70" s="223"/>
      <c r="L70" s="118"/>
      <c r="M70" s="166"/>
      <c r="N70" s="14"/>
      <c r="O70" s="15"/>
      <c r="P70" s="7"/>
      <c r="Q70" s="7"/>
      <c r="R70" s="7"/>
      <c r="S70" s="8"/>
      <c r="T70" s="34"/>
      <c r="U70" s="10"/>
      <c r="V70" s="10"/>
      <c r="W70" s="8"/>
      <c r="X70" s="8"/>
      <c r="Y70" s="8"/>
      <c r="Z70" s="12"/>
      <c r="AA70" s="8"/>
      <c r="AB70" s="8"/>
      <c r="AC70" s="65"/>
    </row>
    <row r="71" spans="1:29" ht="15" customHeight="1" thickBot="1" x14ac:dyDescent="0.3">
      <c r="A71" s="126"/>
      <c r="B71" s="129"/>
      <c r="C71" s="124"/>
      <c r="D71" s="149"/>
      <c r="E71" s="150"/>
      <c r="F71" s="150"/>
      <c r="G71" s="128"/>
      <c r="H71" s="128"/>
      <c r="I71" s="140"/>
      <c r="J71" s="112"/>
      <c r="K71" s="166"/>
      <c r="L71" s="118"/>
      <c r="M71" s="166"/>
      <c r="N71" s="14"/>
      <c r="O71" s="15"/>
      <c r="P71" s="7"/>
      <c r="Q71" s="7"/>
      <c r="R71" s="7"/>
      <c r="S71" s="8"/>
      <c r="T71" s="34"/>
      <c r="U71" s="10"/>
      <c r="V71" s="10"/>
      <c r="W71" s="8"/>
      <c r="X71" s="8"/>
      <c r="Y71" s="8"/>
      <c r="Z71" s="12"/>
      <c r="AA71" s="8"/>
      <c r="AB71" s="8"/>
      <c r="AC71" s="65"/>
    </row>
    <row r="72" spans="1:29" ht="15" customHeight="1" x14ac:dyDescent="0.25">
      <c r="A72" s="126"/>
      <c r="B72" s="129"/>
      <c r="C72" s="124"/>
      <c r="D72" s="149"/>
      <c r="E72" s="150"/>
      <c r="F72" s="150"/>
      <c r="G72" s="128"/>
      <c r="H72" s="128"/>
      <c r="I72" s="140"/>
      <c r="J72" s="194" t="s">
        <v>42</v>
      </c>
      <c r="K72" s="223"/>
      <c r="L72" s="111"/>
      <c r="M72" s="166"/>
      <c r="N72" s="14"/>
      <c r="O72" s="15"/>
      <c r="P72" s="7"/>
      <c r="Q72" s="7"/>
      <c r="R72" s="7"/>
      <c r="S72" s="8"/>
      <c r="T72" s="34"/>
      <c r="U72" s="10"/>
      <c r="V72" s="10"/>
      <c r="W72" s="8"/>
      <c r="X72" s="8"/>
      <c r="Y72" s="8"/>
      <c r="Z72" s="12"/>
      <c r="AA72" s="8"/>
      <c r="AB72" s="8"/>
      <c r="AC72" s="65"/>
    </row>
    <row r="73" spans="1:29" ht="15" customHeight="1" thickBot="1" x14ac:dyDescent="0.3">
      <c r="A73" s="126"/>
      <c r="B73" s="129"/>
      <c r="C73" s="124"/>
      <c r="D73" s="149"/>
      <c r="E73" s="150"/>
      <c r="F73" s="150"/>
      <c r="G73" s="128"/>
      <c r="H73" s="128"/>
      <c r="I73" s="140"/>
      <c r="J73" s="112"/>
      <c r="K73" s="166"/>
      <c r="L73" s="111"/>
      <c r="M73" s="166"/>
      <c r="N73" s="14"/>
      <c r="O73" s="15"/>
      <c r="P73" s="7"/>
      <c r="Q73" s="7"/>
      <c r="R73" s="7"/>
      <c r="S73" s="8"/>
      <c r="T73" s="34"/>
      <c r="U73" s="10"/>
      <c r="V73" s="10"/>
      <c r="W73" s="8"/>
      <c r="X73" s="8"/>
      <c r="Y73" s="8"/>
      <c r="Z73" s="12"/>
      <c r="AA73" s="8"/>
      <c r="AB73" s="8"/>
      <c r="AC73" s="65"/>
    </row>
    <row r="74" spans="1:29" ht="15" customHeight="1" x14ac:dyDescent="0.25">
      <c r="A74" s="126"/>
      <c r="B74" s="129"/>
      <c r="C74" s="124"/>
      <c r="D74" s="149"/>
      <c r="E74" s="150"/>
      <c r="F74" s="150"/>
      <c r="G74" s="128"/>
      <c r="H74" s="128"/>
      <c r="I74" s="140"/>
      <c r="J74" s="193" t="s">
        <v>43</v>
      </c>
      <c r="K74" s="223"/>
      <c r="L74" s="111"/>
      <c r="M74" s="166"/>
      <c r="N74" s="14"/>
      <c r="O74" s="15"/>
      <c r="P74" s="7"/>
      <c r="Q74" s="7"/>
      <c r="R74" s="7"/>
      <c r="S74" s="8"/>
      <c r="T74" s="34"/>
      <c r="U74" s="10"/>
      <c r="V74" s="10"/>
      <c r="W74" s="8"/>
      <c r="X74" s="8"/>
      <c r="Y74" s="8"/>
      <c r="Z74" s="12"/>
      <c r="AA74" s="8"/>
      <c r="AB74" s="8"/>
      <c r="AC74" s="65"/>
    </row>
    <row r="75" spans="1:29" ht="15" customHeight="1" x14ac:dyDescent="0.25">
      <c r="A75" s="126"/>
      <c r="B75" s="129"/>
      <c r="C75" s="124"/>
      <c r="D75" s="149"/>
      <c r="E75" s="150"/>
      <c r="F75" s="150"/>
      <c r="G75" s="128"/>
      <c r="H75" s="128"/>
      <c r="I75" s="140"/>
      <c r="J75" s="112"/>
      <c r="K75" s="166"/>
      <c r="L75" s="111"/>
      <c r="M75" s="166"/>
      <c r="N75" s="14"/>
      <c r="O75" s="15"/>
      <c r="P75" s="7"/>
      <c r="Q75" s="7"/>
      <c r="R75" s="7"/>
      <c r="S75" s="8"/>
      <c r="T75" s="34"/>
      <c r="U75" s="10"/>
      <c r="V75" s="10"/>
      <c r="W75" s="8"/>
      <c r="X75" s="8"/>
      <c r="Y75" s="8"/>
      <c r="Z75" s="12"/>
      <c r="AA75" s="8"/>
      <c r="AB75" s="8"/>
      <c r="AC75" s="65"/>
    </row>
    <row r="76" spans="1:29" ht="15" customHeight="1" x14ac:dyDescent="0.25">
      <c r="A76" s="126"/>
      <c r="B76" s="129"/>
      <c r="C76" s="124"/>
      <c r="D76" s="149"/>
      <c r="E76" s="150"/>
      <c r="F76" s="150"/>
      <c r="G76" s="128"/>
      <c r="H76" s="128"/>
      <c r="I76" s="140"/>
      <c r="J76" s="194" t="s">
        <v>44</v>
      </c>
      <c r="K76" s="224"/>
      <c r="L76" s="111"/>
      <c r="M76" s="166"/>
      <c r="N76" s="14"/>
      <c r="O76" s="15"/>
      <c r="P76" s="7"/>
      <c r="Q76" s="7"/>
      <c r="R76" s="7"/>
      <c r="S76" s="8"/>
      <c r="T76" s="34"/>
      <c r="U76" s="10"/>
      <c r="V76" s="10"/>
      <c r="W76" s="8"/>
      <c r="X76" s="8"/>
      <c r="Y76" s="8"/>
      <c r="Z76" s="12"/>
      <c r="AA76" s="8"/>
      <c r="AB76" s="8"/>
      <c r="AC76" s="65"/>
    </row>
    <row r="77" spans="1:29" ht="15" customHeight="1" x14ac:dyDescent="0.25">
      <c r="A77" s="126"/>
      <c r="B77" s="129"/>
      <c r="C77" s="124"/>
      <c r="D77" s="149"/>
      <c r="E77" s="150"/>
      <c r="F77" s="150"/>
      <c r="G77" s="128"/>
      <c r="H77" s="128"/>
      <c r="I77" s="140"/>
      <c r="J77" s="112"/>
      <c r="K77" s="166"/>
      <c r="L77" s="111"/>
      <c r="M77" s="166"/>
      <c r="N77" s="14"/>
      <c r="O77" s="15"/>
      <c r="P77" s="7"/>
      <c r="Q77" s="7"/>
      <c r="R77" s="7"/>
      <c r="S77" s="8"/>
      <c r="T77" s="34"/>
      <c r="U77" s="10"/>
      <c r="V77" s="10"/>
      <c r="W77" s="8"/>
      <c r="X77" s="8"/>
      <c r="Y77" s="8"/>
      <c r="Z77" s="12"/>
      <c r="AA77" s="8"/>
      <c r="AB77" s="8"/>
      <c r="AC77" s="65"/>
    </row>
    <row r="78" spans="1:29" ht="15" customHeight="1" x14ac:dyDescent="0.25">
      <c r="A78" s="130"/>
      <c r="B78" s="129"/>
      <c r="C78" s="124"/>
      <c r="D78" s="149"/>
      <c r="E78" s="150"/>
      <c r="F78" s="150"/>
      <c r="G78" s="128"/>
      <c r="H78" s="128"/>
      <c r="I78" s="140"/>
      <c r="J78" s="194" t="s">
        <v>45</v>
      </c>
      <c r="K78" s="224"/>
      <c r="L78" s="111"/>
      <c r="M78" s="166"/>
      <c r="N78" s="7"/>
      <c r="O78" s="15"/>
      <c r="P78" s="7"/>
      <c r="Q78" s="7"/>
      <c r="R78" s="7"/>
      <c r="S78" s="8"/>
      <c r="T78" s="16"/>
      <c r="U78" s="35"/>
      <c r="V78" s="36"/>
      <c r="W78" s="37"/>
      <c r="X78" s="37"/>
      <c r="Y78" s="37"/>
      <c r="Z78" s="12"/>
      <c r="AA78" s="8"/>
      <c r="AB78" s="8"/>
      <c r="AC78" s="65"/>
    </row>
    <row r="79" spans="1:29" ht="5.0999999999999996" customHeight="1" x14ac:dyDescent="0.25">
      <c r="A79" s="140"/>
      <c r="B79" s="140"/>
      <c r="C79" s="140"/>
      <c r="D79" s="140"/>
      <c r="E79" s="140"/>
      <c r="F79" s="140"/>
      <c r="G79" s="140"/>
      <c r="H79" s="140"/>
      <c r="I79" s="140"/>
      <c r="J79" s="112"/>
      <c r="K79" s="166"/>
      <c r="L79" s="111"/>
      <c r="M79" s="229"/>
      <c r="N79" s="7"/>
      <c r="O79" s="15"/>
      <c r="P79" s="7"/>
      <c r="Q79" s="7"/>
      <c r="R79" s="7"/>
      <c r="S79" s="8"/>
      <c r="T79" s="16"/>
      <c r="U79" s="35"/>
      <c r="V79" s="36"/>
      <c r="W79" s="37"/>
      <c r="X79" s="37"/>
      <c r="Y79" s="37"/>
      <c r="Z79" s="12"/>
      <c r="AA79" s="8"/>
      <c r="AB79" s="8"/>
      <c r="AC79" s="65"/>
    </row>
    <row r="80" spans="1:29" ht="16.5" thickBot="1" x14ac:dyDescent="0.3">
      <c r="A80" s="113"/>
      <c r="B80" s="114"/>
      <c r="C80" s="115"/>
      <c r="D80" s="115"/>
      <c r="E80" s="116"/>
      <c r="F80" s="116"/>
      <c r="G80" s="164"/>
      <c r="H80" s="120"/>
      <c r="I80" s="140"/>
      <c r="J80" s="120"/>
      <c r="K80" s="121"/>
      <c r="L80" s="221"/>
      <c r="M80" s="229"/>
      <c r="N80" s="7"/>
      <c r="O80" s="15"/>
      <c r="P80" s="7"/>
      <c r="Q80" s="7"/>
      <c r="R80" s="7"/>
      <c r="S80" s="8"/>
      <c r="T80" s="16"/>
      <c r="U80" s="35"/>
      <c r="V80" s="36"/>
      <c r="W80" s="37"/>
      <c r="X80" s="37"/>
      <c r="Y80" s="37"/>
      <c r="Z80" s="12"/>
      <c r="AA80" s="8"/>
      <c r="AB80" s="8"/>
      <c r="AC80" s="65"/>
    </row>
    <row r="81" spans="1:29" ht="5.0999999999999996" customHeight="1" thickBot="1" x14ac:dyDescent="0.3">
      <c r="A81" s="217"/>
      <c r="B81" s="212"/>
      <c r="C81" s="213"/>
      <c r="D81" s="213"/>
      <c r="E81" s="214"/>
      <c r="F81" s="214"/>
      <c r="G81" s="215"/>
      <c r="H81" s="218"/>
      <c r="I81" s="140"/>
      <c r="J81" s="218"/>
      <c r="K81" s="220"/>
      <c r="L81" s="221"/>
      <c r="M81" s="229"/>
      <c r="N81" s="7"/>
      <c r="O81" s="15"/>
      <c r="P81" s="7"/>
      <c r="Q81" s="7"/>
      <c r="R81" s="7"/>
      <c r="S81" s="8"/>
      <c r="T81" s="16"/>
      <c r="U81" s="35"/>
      <c r="V81" s="36"/>
      <c r="W81" s="37"/>
      <c r="X81" s="37"/>
      <c r="Y81" s="37"/>
      <c r="Z81" s="12"/>
      <c r="AA81" s="8"/>
      <c r="AB81" s="8"/>
      <c r="AC81" s="65"/>
    </row>
    <row r="82" spans="1:29" ht="15" customHeight="1" thickBot="1" x14ac:dyDescent="0.3">
      <c r="A82" s="126"/>
      <c r="B82" s="148"/>
      <c r="C82" s="123"/>
      <c r="D82" s="149"/>
      <c r="E82" s="150"/>
      <c r="F82" s="150"/>
      <c r="G82" s="127"/>
      <c r="H82" s="189"/>
      <c r="I82" s="140"/>
      <c r="J82" s="209"/>
      <c r="K82" s="223"/>
      <c r="L82" s="112"/>
      <c r="M82" s="166"/>
      <c r="N82" s="7"/>
      <c r="O82" s="15"/>
      <c r="P82" s="7"/>
      <c r="Q82" s="7"/>
      <c r="R82" s="7"/>
      <c r="S82" s="8"/>
      <c r="T82" s="16"/>
      <c r="U82" s="35"/>
      <c r="V82" s="36"/>
      <c r="W82" s="37"/>
      <c r="X82" s="37"/>
      <c r="Y82" s="37"/>
      <c r="Z82" s="12"/>
      <c r="AA82" s="8"/>
      <c r="AB82" s="8"/>
      <c r="AC82" s="65"/>
    </row>
    <row r="83" spans="1:29" ht="15" customHeight="1" thickBot="1" x14ac:dyDescent="0.3">
      <c r="A83" s="126"/>
      <c r="B83" s="129"/>
      <c r="C83" s="123"/>
      <c r="D83" s="149"/>
      <c r="E83" s="150"/>
      <c r="F83" s="150"/>
      <c r="G83" s="128"/>
      <c r="H83" s="128"/>
      <c r="I83" s="140"/>
      <c r="J83" s="112"/>
      <c r="K83" s="166"/>
      <c r="L83" s="118"/>
      <c r="M83" s="166"/>
      <c r="N83" s="7"/>
      <c r="O83" s="15"/>
      <c r="P83" s="7"/>
      <c r="Q83" s="7"/>
      <c r="R83" s="7"/>
      <c r="S83" s="8"/>
      <c r="T83" s="16"/>
      <c r="U83" s="35"/>
      <c r="V83" s="36"/>
      <c r="W83" s="37"/>
      <c r="X83" s="37"/>
      <c r="Y83" s="37"/>
      <c r="Z83" s="12"/>
      <c r="AA83" s="8"/>
      <c r="AB83" s="8"/>
      <c r="AC83" s="65"/>
    </row>
    <row r="84" spans="1:29" ht="15" customHeight="1" thickBot="1" x14ac:dyDescent="0.3">
      <c r="A84" s="126"/>
      <c r="B84" s="129"/>
      <c r="C84" s="123"/>
      <c r="D84" s="149"/>
      <c r="E84" s="150"/>
      <c r="F84" s="150"/>
      <c r="G84" s="128"/>
      <c r="H84" s="128"/>
      <c r="I84" s="140"/>
      <c r="J84" s="194" t="s">
        <v>39</v>
      </c>
      <c r="K84" s="223"/>
      <c r="L84" s="118"/>
      <c r="M84" s="166"/>
      <c r="N84" s="7"/>
      <c r="O84" s="15"/>
      <c r="P84" s="7"/>
      <c r="Q84" s="7"/>
      <c r="R84" s="7"/>
      <c r="S84" s="8"/>
      <c r="T84" s="16"/>
      <c r="U84" s="35"/>
      <c r="V84" s="36"/>
      <c r="W84" s="37"/>
      <c r="X84" s="37"/>
      <c r="Y84" s="37"/>
      <c r="Z84" s="12"/>
      <c r="AA84" s="8"/>
      <c r="AB84" s="8"/>
      <c r="AC84" s="65"/>
    </row>
    <row r="85" spans="1:29" ht="15" customHeight="1" thickBot="1" x14ac:dyDescent="0.3">
      <c r="A85" s="126"/>
      <c r="B85" s="129"/>
      <c r="C85" s="123"/>
      <c r="D85" s="149"/>
      <c r="E85" s="150"/>
      <c r="F85" s="150"/>
      <c r="G85" s="128"/>
      <c r="H85" s="128"/>
      <c r="I85" s="140"/>
      <c r="J85" s="112"/>
      <c r="K85" s="166"/>
      <c r="L85" s="118"/>
      <c r="M85" s="166"/>
      <c r="N85" s="7"/>
      <c r="O85" s="15"/>
      <c r="P85" s="7"/>
      <c r="Q85" s="7"/>
      <c r="R85" s="7"/>
      <c r="S85" s="8"/>
      <c r="T85" s="16"/>
      <c r="U85" s="35"/>
      <c r="V85" s="36"/>
      <c r="W85" s="37"/>
      <c r="X85" s="37"/>
      <c r="Y85" s="37"/>
      <c r="Z85" s="12"/>
      <c r="AA85" s="8"/>
      <c r="AB85" s="8"/>
      <c r="AC85" s="65"/>
    </row>
    <row r="86" spans="1:29" ht="15" customHeight="1" thickBot="1" x14ac:dyDescent="0.3">
      <c r="A86" s="126"/>
      <c r="B86" s="129"/>
      <c r="C86" s="123"/>
      <c r="D86" s="149"/>
      <c r="E86" s="150"/>
      <c r="F86" s="150"/>
      <c r="G86" s="128"/>
      <c r="H86" s="128"/>
      <c r="I86" s="140"/>
      <c r="J86" s="194" t="s">
        <v>40</v>
      </c>
      <c r="K86" s="223"/>
      <c r="L86" s="118"/>
      <c r="M86" s="166"/>
      <c r="N86" s="7"/>
      <c r="O86" s="15"/>
      <c r="P86" s="7"/>
      <c r="Q86" s="7"/>
      <c r="R86" s="7"/>
      <c r="S86" s="8"/>
      <c r="T86" s="16"/>
      <c r="U86" s="35"/>
      <c r="V86" s="36"/>
      <c r="W86" s="37"/>
      <c r="X86" s="37"/>
      <c r="Y86" s="37"/>
      <c r="Z86" s="12"/>
      <c r="AA86" s="8"/>
      <c r="AB86" s="8"/>
      <c r="AC86" s="65"/>
    </row>
    <row r="87" spans="1:29" ht="15" customHeight="1" thickBot="1" x14ac:dyDescent="0.3">
      <c r="A87" s="126"/>
      <c r="B87" s="129"/>
      <c r="C87" s="123"/>
      <c r="D87" s="149"/>
      <c r="E87" s="150"/>
      <c r="F87" s="150"/>
      <c r="G87" s="128"/>
      <c r="H87" s="128"/>
      <c r="I87" s="140"/>
      <c r="J87" s="112"/>
      <c r="K87" s="166"/>
      <c r="L87" s="118"/>
      <c r="M87" s="166"/>
      <c r="N87" s="7"/>
      <c r="O87" s="15"/>
      <c r="P87" s="7"/>
      <c r="Q87" s="7"/>
      <c r="R87" s="7"/>
      <c r="S87" s="8"/>
      <c r="T87" s="16"/>
      <c r="U87" s="35"/>
      <c r="V87" s="36"/>
      <c r="W87" s="37"/>
      <c r="X87" s="37"/>
      <c r="Y87" s="37"/>
      <c r="Z87" s="12"/>
      <c r="AA87" s="8"/>
      <c r="AB87" s="8"/>
      <c r="AC87" s="65"/>
    </row>
    <row r="88" spans="1:29" ht="15" customHeight="1" x14ac:dyDescent="0.25">
      <c r="A88" s="126"/>
      <c r="B88" s="129"/>
      <c r="C88" s="123"/>
      <c r="D88" s="149"/>
      <c r="E88" s="150"/>
      <c r="F88" s="150"/>
      <c r="G88" s="128"/>
      <c r="H88" s="128"/>
      <c r="I88" s="140"/>
      <c r="J88" s="194" t="s">
        <v>41</v>
      </c>
      <c r="K88" s="223"/>
      <c r="L88" s="118"/>
      <c r="M88" s="166"/>
      <c r="N88" s="7"/>
      <c r="O88" s="15"/>
      <c r="P88" s="7"/>
      <c r="Q88" s="7"/>
      <c r="R88" s="7"/>
      <c r="S88" s="8"/>
      <c r="T88" s="16"/>
      <c r="U88" s="35"/>
      <c r="V88" s="36"/>
      <c r="W88" s="37"/>
      <c r="X88" s="37"/>
      <c r="Y88" s="37"/>
      <c r="Z88" s="12"/>
      <c r="AA88" s="8"/>
      <c r="AB88" s="8"/>
      <c r="AC88" s="65"/>
    </row>
    <row r="89" spans="1:29" ht="15" customHeight="1" thickBot="1" x14ac:dyDescent="0.3">
      <c r="A89" s="126"/>
      <c r="B89" s="129"/>
      <c r="C89" s="124"/>
      <c r="D89" s="149"/>
      <c r="E89" s="150"/>
      <c r="F89" s="150"/>
      <c r="G89" s="128"/>
      <c r="H89" s="128"/>
      <c r="I89" s="140"/>
      <c r="J89" s="112"/>
      <c r="K89" s="166"/>
      <c r="L89" s="118"/>
      <c r="M89" s="166"/>
      <c r="N89" s="7"/>
      <c r="O89" s="69"/>
      <c r="P89" s="70"/>
      <c r="Q89" s="70"/>
      <c r="R89" s="70"/>
      <c r="S89" s="8"/>
      <c r="T89" s="16"/>
      <c r="U89" s="38"/>
      <c r="V89" s="39"/>
      <c r="W89" s="37"/>
      <c r="X89" s="37"/>
      <c r="Y89" s="37"/>
      <c r="Z89" s="8"/>
      <c r="AA89" s="8"/>
      <c r="AB89" s="8"/>
      <c r="AC89" s="65"/>
    </row>
    <row r="90" spans="1:29" ht="15" customHeight="1" x14ac:dyDescent="0.25">
      <c r="A90" s="126"/>
      <c r="B90" s="129"/>
      <c r="C90" s="124"/>
      <c r="D90" s="149"/>
      <c r="E90" s="150"/>
      <c r="F90" s="150"/>
      <c r="G90" s="128"/>
      <c r="H90" s="128"/>
      <c r="I90" s="140"/>
      <c r="J90" s="194" t="s">
        <v>42</v>
      </c>
      <c r="K90" s="223"/>
      <c r="L90" s="111"/>
      <c r="M90" s="166"/>
      <c r="N90" s="7"/>
      <c r="O90" s="69"/>
      <c r="P90" s="70"/>
      <c r="Q90" s="70"/>
      <c r="R90" s="70"/>
      <c r="S90" s="8"/>
      <c r="T90" s="16"/>
      <c r="U90" s="38"/>
      <c r="V90" s="39"/>
      <c r="W90" s="37"/>
      <c r="X90" s="37"/>
      <c r="Y90" s="37"/>
      <c r="Z90" s="8"/>
      <c r="AA90" s="8"/>
      <c r="AB90" s="8"/>
      <c r="AC90" s="65"/>
    </row>
    <row r="91" spans="1:29" ht="15" customHeight="1" thickBot="1" x14ac:dyDescent="0.3">
      <c r="A91" s="126"/>
      <c r="B91" s="129"/>
      <c r="C91" s="124"/>
      <c r="D91" s="149"/>
      <c r="E91" s="150"/>
      <c r="F91" s="150"/>
      <c r="G91" s="128"/>
      <c r="H91" s="128"/>
      <c r="I91" s="140"/>
      <c r="J91" s="112"/>
      <c r="K91" s="166"/>
      <c r="L91" s="111"/>
      <c r="M91" s="166"/>
      <c r="N91" s="7"/>
      <c r="O91" s="69"/>
      <c r="P91" s="70"/>
      <c r="Q91" s="70"/>
      <c r="R91" s="70"/>
      <c r="S91" s="8"/>
      <c r="T91" s="16"/>
      <c r="U91" s="38"/>
      <c r="V91" s="39"/>
      <c r="W91" s="37"/>
      <c r="X91" s="37"/>
      <c r="Y91" s="37"/>
      <c r="Z91" s="8"/>
      <c r="AA91" s="8"/>
      <c r="AB91" s="8"/>
      <c r="AC91" s="65"/>
    </row>
    <row r="92" spans="1:29" ht="15" customHeight="1" x14ac:dyDescent="0.25">
      <c r="A92" s="126"/>
      <c r="B92" s="129"/>
      <c r="C92" s="124"/>
      <c r="D92" s="149"/>
      <c r="E92" s="150"/>
      <c r="F92" s="150"/>
      <c r="G92" s="128"/>
      <c r="H92" s="128"/>
      <c r="I92" s="140"/>
      <c r="J92" s="193" t="s">
        <v>43</v>
      </c>
      <c r="K92" s="223"/>
      <c r="L92" s="111"/>
      <c r="M92" s="166"/>
      <c r="N92" s="7"/>
      <c r="O92" s="69"/>
      <c r="P92" s="70"/>
      <c r="Q92" s="70"/>
      <c r="R92" s="70"/>
      <c r="S92" s="8"/>
      <c r="T92" s="16"/>
      <c r="U92" s="38"/>
      <c r="V92" s="39"/>
      <c r="W92" s="37"/>
      <c r="X92" s="37"/>
      <c r="Y92" s="37"/>
      <c r="Z92" s="8"/>
      <c r="AA92" s="8"/>
      <c r="AB92" s="8"/>
      <c r="AC92" s="65"/>
    </row>
    <row r="93" spans="1:29" ht="15" customHeight="1" x14ac:dyDescent="0.25">
      <c r="A93" s="126"/>
      <c r="B93" s="129"/>
      <c r="C93" s="124"/>
      <c r="D93" s="149"/>
      <c r="E93" s="150"/>
      <c r="F93" s="150"/>
      <c r="G93" s="128"/>
      <c r="H93" s="128"/>
      <c r="I93" s="140"/>
      <c r="J93" s="112"/>
      <c r="K93" s="166"/>
      <c r="L93" s="111"/>
      <c r="M93" s="166"/>
      <c r="N93" s="7"/>
      <c r="O93" s="69"/>
      <c r="P93" s="70"/>
      <c r="Q93" s="70"/>
      <c r="R93" s="70"/>
      <c r="S93" s="8"/>
      <c r="T93" s="16"/>
      <c r="U93" s="38"/>
      <c r="V93" s="39"/>
      <c r="W93" s="37"/>
      <c r="X93" s="37"/>
      <c r="Y93" s="37"/>
      <c r="Z93" s="8"/>
      <c r="AA93" s="8"/>
      <c r="AB93" s="8"/>
      <c r="AC93" s="65"/>
    </row>
    <row r="94" spans="1:29" ht="15" customHeight="1" x14ac:dyDescent="0.25">
      <c r="A94" s="126"/>
      <c r="B94" s="129"/>
      <c r="C94" s="124"/>
      <c r="D94" s="149"/>
      <c r="E94" s="150"/>
      <c r="F94" s="150"/>
      <c r="G94" s="128"/>
      <c r="H94" s="128"/>
      <c r="I94" s="140"/>
      <c r="J94" s="194" t="s">
        <v>44</v>
      </c>
      <c r="K94" s="224"/>
      <c r="L94" s="111"/>
      <c r="M94" s="166"/>
      <c r="N94" s="7"/>
      <c r="O94" s="69"/>
      <c r="P94" s="70"/>
      <c r="Q94" s="70"/>
      <c r="R94" s="70"/>
      <c r="S94" s="8"/>
      <c r="T94" s="16"/>
      <c r="U94" s="38"/>
      <c r="V94" s="39"/>
      <c r="W94" s="37"/>
      <c r="X94" s="37"/>
      <c r="Y94" s="37"/>
      <c r="Z94" s="8"/>
      <c r="AA94" s="8"/>
      <c r="AB94" s="8"/>
      <c r="AC94" s="65"/>
    </row>
    <row r="95" spans="1:29" ht="15" customHeight="1" x14ac:dyDescent="0.25">
      <c r="A95" s="126"/>
      <c r="B95" s="129"/>
      <c r="C95" s="124"/>
      <c r="D95" s="149"/>
      <c r="E95" s="150"/>
      <c r="F95" s="150"/>
      <c r="G95" s="128"/>
      <c r="H95" s="128"/>
      <c r="I95" s="140"/>
      <c r="J95" s="112"/>
      <c r="K95" s="166"/>
      <c r="L95" s="111"/>
      <c r="M95" s="166"/>
      <c r="N95" s="7"/>
      <c r="O95" s="69"/>
      <c r="P95" s="70"/>
      <c r="Q95" s="70"/>
      <c r="R95" s="70"/>
      <c r="S95" s="8"/>
      <c r="T95" s="16"/>
      <c r="U95" s="38"/>
      <c r="V95" s="39"/>
      <c r="W95" s="37"/>
      <c r="X95" s="37"/>
      <c r="Y95" s="37"/>
      <c r="Z95" s="8"/>
      <c r="AA95" s="8"/>
      <c r="AB95" s="8"/>
      <c r="AC95" s="65"/>
    </row>
    <row r="96" spans="1:29" ht="15" customHeight="1" x14ac:dyDescent="0.25">
      <c r="A96" s="130"/>
      <c r="B96" s="129"/>
      <c r="C96" s="124"/>
      <c r="D96" s="149"/>
      <c r="E96" s="150"/>
      <c r="F96" s="150"/>
      <c r="G96" s="128"/>
      <c r="H96" s="128"/>
      <c r="I96" s="140"/>
      <c r="J96" s="194" t="s">
        <v>45</v>
      </c>
      <c r="K96" s="224"/>
      <c r="L96" s="111"/>
      <c r="M96" s="166"/>
      <c r="N96" s="7"/>
      <c r="O96" s="15"/>
      <c r="P96" s="7"/>
      <c r="Q96" s="7"/>
      <c r="R96" s="7"/>
      <c r="S96" s="8"/>
      <c r="T96" s="16"/>
      <c r="U96" s="36"/>
      <c r="V96" s="36"/>
      <c r="W96" s="37"/>
      <c r="X96" s="40"/>
      <c r="Y96" s="40"/>
      <c r="Z96" s="12"/>
      <c r="AA96" s="13"/>
      <c r="AB96" s="8"/>
      <c r="AC96" s="65"/>
    </row>
    <row r="97" spans="1:29" ht="5.0999999999999996" customHeight="1" x14ac:dyDescent="0.25">
      <c r="A97" s="140"/>
      <c r="B97" s="140"/>
      <c r="C97" s="140"/>
      <c r="D97" s="140"/>
      <c r="E97" s="140"/>
      <c r="F97" s="140"/>
      <c r="G97" s="140"/>
      <c r="H97" s="140"/>
      <c r="I97" s="140"/>
      <c r="J97" s="112"/>
      <c r="K97" s="166"/>
      <c r="L97" s="111"/>
      <c r="M97" s="232"/>
      <c r="N97" s="7"/>
      <c r="O97" s="15"/>
      <c r="P97" s="7"/>
      <c r="Q97" s="7"/>
      <c r="R97" s="7"/>
      <c r="S97" s="8"/>
      <c r="T97" s="16"/>
      <c r="U97" s="36"/>
      <c r="V97" s="36"/>
      <c r="W97" s="37"/>
      <c r="X97" s="40"/>
      <c r="Y97" s="40"/>
      <c r="Z97" s="12"/>
      <c r="AA97" s="13"/>
      <c r="AB97" s="8"/>
      <c r="AC97" s="65"/>
    </row>
    <row r="98" spans="1:29" ht="16.5" thickBot="1" x14ac:dyDescent="0.3">
      <c r="A98" s="113"/>
      <c r="B98" s="114"/>
      <c r="C98" s="115"/>
      <c r="D98" s="115"/>
      <c r="E98" s="116"/>
      <c r="F98" s="116"/>
      <c r="G98" s="164"/>
      <c r="H98" s="120"/>
      <c r="I98" s="140"/>
      <c r="J98" s="120"/>
      <c r="K98" s="121"/>
      <c r="L98" s="221"/>
      <c r="M98" s="229"/>
      <c r="N98" s="17"/>
      <c r="O98" s="15"/>
      <c r="P98" s="7"/>
      <c r="Q98" s="7"/>
      <c r="R98" s="7"/>
      <c r="S98" s="8"/>
      <c r="T98" s="38"/>
      <c r="U98" s="36"/>
      <c r="V98" s="36"/>
      <c r="W98" s="37"/>
      <c r="X98" s="37"/>
      <c r="Y98" s="37"/>
      <c r="Z98" s="12"/>
      <c r="AA98" s="8"/>
      <c r="AB98" s="8"/>
      <c r="AC98" s="65"/>
    </row>
    <row r="99" spans="1:29" ht="5.0999999999999996" customHeight="1" thickBot="1" x14ac:dyDescent="0.3">
      <c r="A99" s="217"/>
      <c r="B99" s="212"/>
      <c r="C99" s="213"/>
      <c r="D99" s="213"/>
      <c r="E99" s="214"/>
      <c r="F99" s="214"/>
      <c r="G99" s="215"/>
      <c r="H99" s="218"/>
      <c r="I99" s="140"/>
      <c r="J99" s="218"/>
      <c r="K99" s="220"/>
      <c r="L99" s="221"/>
      <c r="M99" s="229"/>
      <c r="N99" s="17"/>
      <c r="O99" s="15"/>
      <c r="P99" s="7"/>
      <c r="Q99" s="7"/>
      <c r="R99" s="7"/>
      <c r="S99" s="8"/>
      <c r="T99" s="38"/>
      <c r="U99" s="36"/>
      <c r="V99" s="36"/>
      <c r="W99" s="37"/>
      <c r="X99" s="37"/>
      <c r="Y99" s="37"/>
      <c r="Z99" s="12"/>
      <c r="AA99" s="8"/>
      <c r="AB99" s="8"/>
      <c r="AC99" s="65"/>
    </row>
    <row r="100" spans="1:29" ht="15" customHeight="1" x14ac:dyDescent="0.25">
      <c r="A100" s="125"/>
      <c r="B100" s="148"/>
      <c r="C100" s="123"/>
      <c r="D100" s="149"/>
      <c r="E100" s="150"/>
      <c r="F100" s="150"/>
      <c r="G100" s="127"/>
      <c r="H100" s="189"/>
      <c r="I100" s="140"/>
      <c r="J100" s="315"/>
      <c r="K100" s="223"/>
      <c r="L100" s="112"/>
      <c r="M100" s="166"/>
      <c r="N100" s="17"/>
      <c r="O100" s="15"/>
      <c r="P100" s="7"/>
      <c r="Q100" s="7"/>
      <c r="R100" s="7"/>
      <c r="S100" s="8"/>
      <c r="T100" s="38"/>
      <c r="U100" s="36"/>
      <c r="V100" s="36"/>
      <c r="W100" s="37"/>
      <c r="X100" s="37"/>
      <c r="Y100" s="37"/>
      <c r="Z100" s="12"/>
      <c r="AA100" s="8"/>
      <c r="AB100" s="8"/>
      <c r="AC100" s="65"/>
    </row>
    <row r="101" spans="1:29" ht="15" customHeight="1" thickBot="1" x14ac:dyDescent="0.3">
      <c r="A101" s="329"/>
      <c r="B101" s="129"/>
      <c r="C101" s="124"/>
      <c r="D101" s="149"/>
      <c r="E101" s="150"/>
      <c r="F101" s="150"/>
      <c r="G101" s="128"/>
      <c r="H101" s="128"/>
      <c r="I101" s="140"/>
      <c r="J101" s="112"/>
      <c r="K101" s="166"/>
      <c r="L101" s="118"/>
      <c r="M101" s="166"/>
      <c r="N101" s="17"/>
      <c r="O101" s="15"/>
      <c r="P101" s="7"/>
      <c r="Q101" s="7"/>
      <c r="R101" s="7"/>
      <c r="S101" s="8"/>
      <c r="T101" s="38"/>
      <c r="U101" s="36"/>
      <c r="V101" s="36"/>
      <c r="W101" s="37"/>
      <c r="X101" s="37"/>
      <c r="Y101" s="37"/>
      <c r="Z101" s="12"/>
      <c r="AA101" s="8"/>
      <c r="AB101" s="8"/>
      <c r="AC101" s="65"/>
    </row>
    <row r="102" spans="1:29" ht="15" customHeight="1" x14ac:dyDescent="0.25">
      <c r="A102" s="126"/>
      <c r="B102" s="129"/>
      <c r="C102" s="124"/>
      <c r="D102" s="149"/>
      <c r="E102" s="150"/>
      <c r="F102" s="150"/>
      <c r="G102" s="128"/>
      <c r="H102" s="128"/>
      <c r="I102" s="140"/>
      <c r="J102" s="194" t="s">
        <v>39</v>
      </c>
      <c r="K102" s="223"/>
      <c r="L102" s="118"/>
      <c r="M102" s="166"/>
      <c r="N102" s="17"/>
      <c r="O102" s="15"/>
      <c r="P102" s="7"/>
      <c r="Q102" s="7"/>
      <c r="R102" s="7"/>
      <c r="S102" s="8"/>
      <c r="T102" s="38"/>
      <c r="U102" s="36"/>
      <c r="V102" s="36"/>
      <c r="W102" s="37"/>
      <c r="X102" s="37"/>
      <c r="Y102" s="37"/>
      <c r="Z102" s="12"/>
      <c r="AA102" s="8"/>
      <c r="AB102" s="8"/>
      <c r="AC102" s="65"/>
    </row>
    <row r="103" spans="1:29" ht="15" customHeight="1" thickBot="1" x14ac:dyDescent="0.3">
      <c r="A103" s="126"/>
      <c r="B103" s="129"/>
      <c r="C103" s="124"/>
      <c r="D103" s="149"/>
      <c r="E103" s="150"/>
      <c r="F103" s="150"/>
      <c r="G103" s="128"/>
      <c r="H103" s="128"/>
      <c r="I103" s="140"/>
      <c r="J103" s="112"/>
      <c r="K103" s="166"/>
      <c r="L103" s="118"/>
      <c r="M103" s="166"/>
      <c r="N103" s="17"/>
      <c r="O103" s="15"/>
      <c r="P103" s="7"/>
      <c r="Q103" s="7"/>
      <c r="R103" s="7"/>
      <c r="S103" s="8"/>
      <c r="T103" s="38"/>
      <c r="U103" s="36"/>
      <c r="V103" s="36"/>
      <c r="W103" s="37"/>
      <c r="X103" s="37"/>
      <c r="Y103" s="37"/>
      <c r="Z103" s="12"/>
      <c r="AA103" s="8"/>
      <c r="AB103" s="8"/>
      <c r="AC103" s="65"/>
    </row>
    <row r="104" spans="1:29" ht="15" customHeight="1" x14ac:dyDescent="0.25">
      <c r="A104" s="126"/>
      <c r="B104" s="129"/>
      <c r="C104" s="124"/>
      <c r="D104" s="149"/>
      <c r="E104" s="150"/>
      <c r="F104" s="150"/>
      <c r="G104" s="128"/>
      <c r="H104" s="128"/>
      <c r="I104" s="140"/>
      <c r="J104" s="194" t="s">
        <v>40</v>
      </c>
      <c r="K104" s="223"/>
      <c r="L104" s="118"/>
      <c r="M104" s="166"/>
      <c r="N104" s="17"/>
      <c r="O104" s="15"/>
      <c r="P104" s="7"/>
      <c r="Q104" s="7"/>
      <c r="R104" s="7"/>
      <c r="S104" s="8"/>
      <c r="T104" s="38"/>
      <c r="U104" s="36"/>
      <c r="V104" s="36"/>
      <c r="W104" s="37"/>
      <c r="X104" s="37"/>
      <c r="Y104" s="37"/>
      <c r="Z104" s="12"/>
      <c r="AA104" s="8"/>
      <c r="AB104" s="8"/>
      <c r="AC104" s="65"/>
    </row>
    <row r="105" spans="1:29" ht="15" customHeight="1" thickBot="1" x14ac:dyDescent="0.3">
      <c r="A105" s="126"/>
      <c r="B105" s="129"/>
      <c r="C105" s="124"/>
      <c r="D105" s="149"/>
      <c r="E105" s="150"/>
      <c r="F105" s="150"/>
      <c r="G105" s="128"/>
      <c r="H105" s="128"/>
      <c r="I105" s="140"/>
      <c r="J105" s="112"/>
      <c r="K105" s="166"/>
      <c r="L105" s="118"/>
      <c r="M105" s="166"/>
      <c r="N105" s="17"/>
      <c r="O105" s="15"/>
      <c r="P105" s="7"/>
      <c r="Q105" s="7"/>
      <c r="R105" s="7"/>
      <c r="S105" s="8"/>
      <c r="T105" s="38"/>
      <c r="U105" s="36"/>
      <c r="V105" s="36"/>
      <c r="W105" s="37"/>
      <c r="X105" s="37"/>
      <c r="Y105" s="37"/>
      <c r="Z105" s="12"/>
      <c r="AA105" s="8"/>
      <c r="AB105" s="8"/>
      <c r="AC105" s="65"/>
    </row>
    <row r="106" spans="1:29" ht="15" customHeight="1" x14ac:dyDescent="0.25">
      <c r="A106" s="126"/>
      <c r="B106" s="129"/>
      <c r="C106" s="124"/>
      <c r="D106" s="149"/>
      <c r="E106" s="150"/>
      <c r="F106" s="150"/>
      <c r="G106" s="128"/>
      <c r="H106" s="128"/>
      <c r="I106" s="140"/>
      <c r="J106" s="194" t="s">
        <v>41</v>
      </c>
      <c r="K106" s="223"/>
      <c r="L106" s="118"/>
      <c r="M106" s="166"/>
      <c r="N106" s="17"/>
      <c r="O106" s="15"/>
      <c r="P106" s="7"/>
      <c r="Q106" s="7"/>
      <c r="R106" s="7"/>
      <c r="S106" s="8"/>
      <c r="T106" s="38"/>
      <c r="U106" s="36"/>
      <c r="V106" s="36"/>
      <c r="W106" s="37"/>
      <c r="X106" s="37"/>
      <c r="Y106" s="37"/>
      <c r="Z106" s="12"/>
      <c r="AA106" s="8"/>
      <c r="AB106" s="8"/>
      <c r="AC106" s="65"/>
    </row>
    <row r="107" spans="1:29" ht="15" customHeight="1" thickBot="1" x14ac:dyDescent="0.3">
      <c r="A107" s="126"/>
      <c r="B107" s="129"/>
      <c r="C107" s="124"/>
      <c r="D107" s="149"/>
      <c r="E107" s="150"/>
      <c r="F107" s="150"/>
      <c r="G107" s="128"/>
      <c r="H107" s="128"/>
      <c r="I107" s="140"/>
      <c r="J107" s="112"/>
      <c r="K107" s="166"/>
      <c r="L107" s="118"/>
      <c r="M107" s="166"/>
      <c r="N107" s="17"/>
      <c r="O107" s="15"/>
      <c r="P107" s="7"/>
      <c r="Q107" s="7"/>
      <c r="R107" s="7"/>
      <c r="S107" s="8"/>
      <c r="T107" s="38"/>
      <c r="U107" s="36"/>
      <c r="V107" s="36"/>
      <c r="W107" s="37"/>
      <c r="X107" s="37"/>
      <c r="Y107" s="37"/>
      <c r="Z107" s="12"/>
      <c r="AA107" s="8"/>
      <c r="AB107" s="8"/>
      <c r="AC107" s="65"/>
    </row>
    <row r="108" spans="1:29" ht="15" customHeight="1" x14ac:dyDescent="0.25">
      <c r="A108" s="126"/>
      <c r="B108" s="129"/>
      <c r="C108" s="124"/>
      <c r="D108" s="149"/>
      <c r="E108" s="150"/>
      <c r="F108" s="150"/>
      <c r="G108" s="128"/>
      <c r="H108" s="128"/>
      <c r="I108" s="140"/>
      <c r="J108" s="194" t="s">
        <v>42</v>
      </c>
      <c r="K108" s="223"/>
      <c r="L108" s="111"/>
      <c r="M108" s="166"/>
      <c r="N108" s="17"/>
      <c r="O108" s="15"/>
      <c r="P108" s="7"/>
      <c r="Q108" s="7"/>
      <c r="R108" s="7"/>
      <c r="S108" s="8"/>
      <c r="T108" s="38"/>
      <c r="U108" s="36"/>
      <c r="V108" s="36"/>
      <c r="W108" s="37"/>
      <c r="X108" s="37"/>
      <c r="Y108" s="37"/>
      <c r="Z108" s="12"/>
      <c r="AA108" s="8"/>
      <c r="AB108" s="8"/>
      <c r="AC108" s="65"/>
    </row>
    <row r="109" spans="1:29" ht="15" customHeight="1" thickBot="1" x14ac:dyDescent="0.3">
      <c r="A109" s="126"/>
      <c r="B109" s="129"/>
      <c r="C109" s="124"/>
      <c r="D109" s="149"/>
      <c r="E109" s="150"/>
      <c r="F109" s="150"/>
      <c r="G109" s="128"/>
      <c r="H109" s="128"/>
      <c r="I109" s="140"/>
      <c r="J109" s="112"/>
      <c r="K109" s="166"/>
      <c r="L109" s="111"/>
      <c r="M109" s="166"/>
      <c r="N109" s="17"/>
      <c r="O109" s="15"/>
      <c r="P109" s="7"/>
      <c r="Q109" s="7"/>
      <c r="R109" s="7"/>
      <c r="S109" s="8"/>
      <c r="T109" s="38"/>
      <c r="U109" s="36"/>
      <c r="V109" s="36"/>
      <c r="W109" s="37"/>
      <c r="X109" s="37"/>
      <c r="Y109" s="37"/>
      <c r="Z109" s="12"/>
      <c r="AA109" s="8"/>
      <c r="AB109" s="8"/>
      <c r="AC109" s="65"/>
    </row>
    <row r="110" spans="1:29" ht="15" customHeight="1" x14ac:dyDescent="0.25">
      <c r="A110" s="126"/>
      <c r="B110" s="129"/>
      <c r="C110" s="124"/>
      <c r="D110" s="149"/>
      <c r="E110" s="150"/>
      <c r="F110" s="150"/>
      <c r="G110" s="128"/>
      <c r="H110" s="128"/>
      <c r="I110" s="140"/>
      <c r="J110" s="193" t="s">
        <v>43</v>
      </c>
      <c r="K110" s="223"/>
      <c r="L110" s="111"/>
      <c r="M110" s="166"/>
      <c r="N110" s="17"/>
      <c r="O110" s="15"/>
      <c r="P110" s="7"/>
      <c r="Q110" s="7"/>
      <c r="R110" s="7"/>
      <c r="S110" s="8"/>
      <c r="T110" s="38"/>
      <c r="U110" s="36"/>
      <c r="V110" s="36"/>
      <c r="W110" s="37"/>
      <c r="X110" s="37"/>
      <c r="Y110" s="37"/>
      <c r="Z110" s="12"/>
      <c r="AA110" s="8"/>
      <c r="AB110" s="8"/>
      <c r="AC110" s="65"/>
    </row>
    <row r="111" spans="1:29" ht="15" customHeight="1" x14ac:dyDescent="0.25">
      <c r="A111" s="126"/>
      <c r="B111" s="129"/>
      <c r="C111" s="124"/>
      <c r="D111" s="149"/>
      <c r="E111" s="150"/>
      <c r="F111" s="150"/>
      <c r="G111" s="128"/>
      <c r="H111" s="128"/>
      <c r="I111" s="140"/>
      <c r="J111" s="112"/>
      <c r="K111" s="166"/>
      <c r="L111" s="111"/>
      <c r="M111" s="166"/>
      <c r="N111" s="17"/>
      <c r="O111" s="15"/>
      <c r="P111" s="7"/>
      <c r="Q111" s="7"/>
      <c r="R111" s="7"/>
      <c r="S111" s="8"/>
      <c r="T111" s="38"/>
      <c r="U111" s="36"/>
      <c r="V111" s="36"/>
      <c r="W111" s="37"/>
      <c r="X111" s="37"/>
      <c r="Y111" s="37"/>
      <c r="Z111" s="12"/>
      <c r="AA111" s="8"/>
      <c r="AB111" s="8"/>
      <c r="AC111" s="65"/>
    </row>
    <row r="112" spans="1:29" ht="15" customHeight="1" x14ac:dyDescent="0.25">
      <c r="A112" s="126"/>
      <c r="B112" s="129"/>
      <c r="C112" s="124"/>
      <c r="D112" s="149"/>
      <c r="E112" s="150"/>
      <c r="F112" s="150"/>
      <c r="G112" s="128"/>
      <c r="H112" s="128"/>
      <c r="I112" s="140"/>
      <c r="J112" s="194" t="s">
        <v>44</v>
      </c>
      <c r="K112" s="224"/>
      <c r="L112" s="111"/>
      <c r="M112" s="166"/>
      <c r="N112" s="17"/>
      <c r="O112" s="15"/>
      <c r="P112" s="7"/>
      <c r="Q112" s="7"/>
      <c r="R112" s="7"/>
      <c r="S112" s="8"/>
      <c r="T112" s="38"/>
      <c r="U112" s="36"/>
      <c r="V112" s="36"/>
      <c r="W112" s="37"/>
      <c r="X112" s="37"/>
      <c r="Y112" s="37"/>
      <c r="Z112" s="12"/>
      <c r="AA112" s="8"/>
      <c r="AB112" s="8"/>
      <c r="AC112" s="65"/>
    </row>
    <row r="113" spans="1:29" ht="15" customHeight="1" x14ac:dyDescent="0.25">
      <c r="A113" s="126"/>
      <c r="B113" s="129"/>
      <c r="C113" s="124"/>
      <c r="D113" s="149"/>
      <c r="E113" s="150"/>
      <c r="F113" s="150"/>
      <c r="G113" s="128"/>
      <c r="H113" s="128"/>
      <c r="I113" s="140"/>
      <c r="J113" s="112"/>
      <c r="K113" s="166"/>
      <c r="L113" s="111"/>
      <c r="M113" s="166"/>
      <c r="N113" s="17"/>
      <c r="O113" s="15"/>
      <c r="P113" s="7"/>
      <c r="Q113" s="7"/>
      <c r="R113" s="7"/>
      <c r="S113" s="8"/>
      <c r="T113" s="38"/>
      <c r="U113" s="36"/>
      <c r="V113" s="36"/>
      <c r="W113" s="37"/>
      <c r="X113" s="37"/>
      <c r="Y113" s="37"/>
      <c r="Z113" s="12"/>
      <c r="AA113" s="8"/>
      <c r="AB113" s="8"/>
      <c r="AC113" s="65"/>
    </row>
    <row r="114" spans="1:29" ht="15" customHeight="1" x14ac:dyDescent="0.25">
      <c r="A114" s="130"/>
      <c r="B114" s="129"/>
      <c r="C114" s="124"/>
      <c r="D114" s="149"/>
      <c r="E114" s="150"/>
      <c r="F114" s="150"/>
      <c r="G114" s="128"/>
      <c r="H114" s="128"/>
      <c r="I114" s="140"/>
      <c r="J114" s="194" t="s">
        <v>45</v>
      </c>
      <c r="K114" s="224"/>
      <c r="L114" s="111"/>
      <c r="M114" s="166"/>
      <c r="N114" s="17"/>
      <c r="O114" s="15"/>
      <c r="P114" s="7"/>
      <c r="Q114" s="7"/>
      <c r="R114" s="7"/>
      <c r="S114" s="8"/>
      <c r="T114" s="38"/>
      <c r="U114" s="36"/>
      <c r="V114" s="36"/>
      <c r="W114" s="37"/>
      <c r="X114" s="37"/>
      <c r="Y114" s="37"/>
      <c r="Z114" s="12"/>
      <c r="AA114" s="8"/>
      <c r="AB114" s="8"/>
      <c r="AC114" s="65"/>
    </row>
    <row r="115" spans="1:29" ht="5.0999999999999996" customHeight="1" x14ac:dyDescent="0.25">
      <c r="A115" s="140"/>
      <c r="B115" s="140"/>
      <c r="C115" s="140"/>
      <c r="D115" s="140"/>
      <c r="E115" s="140"/>
      <c r="F115" s="140"/>
      <c r="G115" s="140"/>
      <c r="H115" s="140"/>
      <c r="I115" s="140"/>
      <c r="J115" s="112"/>
      <c r="K115" s="166"/>
      <c r="L115" s="111"/>
      <c r="M115" s="229"/>
      <c r="N115" s="17"/>
      <c r="O115" s="15"/>
      <c r="P115" s="7"/>
      <c r="Q115" s="7"/>
      <c r="R115" s="7"/>
      <c r="S115" s="8"/>
      <c r="T115" s="38"/>
      <c r="U115" s="36"/>
      <c r="V115" s="36"/>
      <c r="W115" s="37"/>
      <c r="X115" s="37"/>
      <c r="Y115" s="37"/>
      <c r="Z115" s="12"/>
      <c r="AA115" s="8"/>
      <c r="AB115" s="8"/>
      <c r="AC115" s="65"/>
    </row>
    <row r="116" spans="1:29" ht="16.5" thickBot="1" x14ac:dyDescent="0.3">
      <c r="A116" s="113"/>
      <c r="B116" s="114"/>
      <c r="C116" s="115"/>
      <c r="D116" s="115"/>
      <c r="E116" s="116"/>
      <c r="F116" s="116"/>
      <c r="G116" s="164"/>
      <c r="H116" s="120"/>
      <c r="I116" s="140"/>
      <c r="J116" s="120"/>
      <c r="K116" s="121"/>
      <c r="L116" s="221"/>
      <c r="M116" s="232"/>
      <c r="N116" s="67"/>
      <c r="O116" s="66"/>
      <c r="P116" s="66"/>
      <c r="Q116" s="70"/>
      <c r="R116" s="66"/>
      <c r="S116" s="66"/>
      <c r="T116" s="70"/>
      <c r="U116" s="66"/>
      <c r="V116" s="66"/>
      <c r="W116" s="66"/>
      <c r="X116" s="66"/>
      <c r="Y116" s="66"/>
      <c r="Z116" s="66"/>
      <c r="AA116" s="66"/>
      <c r="AB116" s="66"/>
      <c r="AC116" s="65"/>
    </row>
    <row r="117" spans="1:29" ht="5.0999999999999996" customHeight="1" thickBot="1" x14ac:dyDescent="0.3">
      <c r="A117" s="217"/>
      <c r="B117" s="212"/>
      <c r="C117" s="213"/>
      <c r="D117" s="213"/>
      <c r="E117" s="214"/>
      <c r="F117" s="214"/>
      <c r="G117" s="215"/>
      <c r="H117" s="218"/>
      <c r="I117" s="140"/>
      <c r="J117" s="218"/>
      <c r="K117" s="220"/>
      <c r="L117" s="221"/>
      <c r="M117" s="232"/>
      <c r="N117" s="67"/>
      <c r="O117" s="66"/>
      <c r="P117" s="66"/>
      <c r="Q117" s="70"/>
      <c r="R117" s="66"/>
      <c r="S117" s="66"/>
      <c r="T117" s="70"/>
      <c r="U117" s="66"/>
      <c r="V117" s="66"/>
      <c r="W117" s="66"/>
      <c r="X117" s="66"/>
      <c r="Y117" s="66"/>
      <c r="Z117" s="66"/>
      <c r="AA117" s="66"/>
      <c r="AB117" s="66"/>
      <c r="AC117" s="65"/>
    </row>
    <row r="118" spans="1:29" ht="15" customHeight="1" x14ac:dyDescent="0.25">
      <c r="A118" s="125"/>
      <c r="B118" s="148"/>
      <c r="C118" s="123"/>
      <c r="D118" s="149"/>
      <c r="E118" s="150"/>
      <c r="F118" s="150"/>
      <c r="G118" s="127"/>
      <c r="H118" s="189"/>
      <c r="I118" s="140"/>
      <c r="J118" s="313"/>
      <c r="K118" s="192"/>
      <c r="L118" s="191"/>
      <c r="M118" s="165"/>
      <c r="N118" s="7"/>
      <c r="O118" s="15"/>
      <c r="P118" s="7"/>
      <c r="Q118" s="7"/>
      <c r="R118" s="7"/>
      <c r="S118" s="8"/>
      <c r="T118" s="16"/>
      <c r="U118" s="36"/>
      <c r="V118" s="36"/>
      <c r="W118" s="37"/>
      <c r="X118" s="40"/>
      <c r="Y118" s="25"/>
      <c r="Z118" s="12"/>
      <c r="AA118" s="8"/>
      <c r="AB118" s="8"/>
      <c r="AC118" s="65"/>
    </row>
    <row r="119" spans="1:29" ht="15" customHeight="1" x14ac:dyDescent="0.25">
      <c r="A119" s="126"/>
      <c r="B119" s="129"/>
      <c r="C119" s="124"/>
      <c r="D119" s="149"/>
      <c r="E119" s="150"/>
      <c r="F119" s="150"/>
      <c r="G119" s="128"/>
      <c r="H119" s="128"/>
      <c r="I119" s="140"/>
      <c r="J119" s="112"/>
      <c r="K119" s="165"/>
      <c r="L119" s="111"/>
      <c r="M119" s="165"/>
      <c r="N119" s="7"/>
      <c r="O119" s="15"/>
      <c r="P119" s="7"/>
      <c r="Q119" s="7"/>
      <c r="R119" s="7"/>
      <c r="S119" s="8"/>
      <c r="T119" s="16"/>
      <c r="U119" s="36"/>
      <c r="V119" s="36"/>
      <c r="W119" s="37"/>
      <c r="X119" s="40"/>
      <c r="Y119" s="25"/>
      <c r="Z119" s="12"/>
      <c r="AA119" s="8"/>
      <c r="AB119" s="8"/>
      <c r="AC119" s="65"/>
    </row>
    <row r="120" spans="1:29" ht="15" customHeight="1" x14ac:dyDescent="0.25">
      <c r="A120" s="126"/>
      <c r="B120" s="129"/>
      <c r="C120" s="124"/>
      <c r="D120" s="149"/>
      <c r="E120" s="150"/>
      <c r="F120" s="150"/>
      <c r="G120" s="128"/>
      <c r="H120" s="128"/>
      <c r="I120" s="140"/>
      <c r="J120" s="194" t="s">
        <v>39</v>
      </c>
      <c r="K120" s="192"/>
      <c r="L120" s="111"/>
      <c r="M120" s="165"/>
      <c r="N120" s="7"/>
      <c r="O120" s="15"/>
      <c r="P120" s="7"/>
      <c r="Q120" s="7"/>
      <c r="R120" s="7"/>
      <c r="S120" s="8"/>
      <c r="T120" s="38"/>
      <c r="U120" s="36"/>
      <c r="V120" s="36"/>
      <c r="W120" s="37"/>
      <c r="X120" s="40"/>
      <c r="Y120" s="25"/>
      <c r="Z120" s="12"/>
      <c r="AA120" s="8"/>
      <c r="AB120" s="8"/>
      <c r="AC120" s="65"/>
    </row>
    <row r="121" spans="1:29" ht="15" customHeight="1" x14ac:dyDescent="0.25">
      <c r="A121" s="126"/>
      <c r="B121" s="129"/>
      <c r="C121" s="124"/>
      <c r="D121" s="149"/>
      <c r="E121" s="150"/>
      <c r="F121" s="150"/>
      <c r="G121" s="128"/>
      <c r="H121" s="128"/>
      <c r="I121" s="140"/>
      <c r="J121" s="112"/>
      <c r="K121" s="165"/>
      <c r="L121" s="111"/>
      <c r="M121" s="165"/>
      <c r="N121" s="7"/>
      <c r="O121" s="15"/>
      <c r="P121" s="7"/>
      <c r="Q121" s="7"/>
      <c r="R121" s="70"/>
      <c r="S121" s="8"/>
      <c r="T121" s="16"/>
      <c r="U121" s="10"/>
      <c r="V121" s="10"/>
      <c r="W121" s="8"/>
      <c r="X121" s="8"/>
      <c r="Y121" s="8"/>
      <c r="Z121" s="12"/>
      <c r="AA121" s="8"/>
      <c r="AB121" s="8"/>
      <c r="AC121" s="65"/>
    </row>
    <row r="122" spans="1:29" ht="15" customHeight="1" x14ac:dyDescent="0.25">
      <c r="A122" s="126"/>
      <c r="B122" s="129"/>
      <c r="C122" s="124"/>
      <c r="D122" s="149"/>
      <c r="E122" s="150"/>
      <c r="F122" s="150"/>
      <c r="G122" s="128"/>
      <c r="H122" s="128"/>
      <c r="I122" s="140"/>
      <c r="J122" s="194" t="s">
        <v>40</v>
      </c>
      <c r="K122" s="195"/>
      <c r="L122" s="111"/>
      <c r="M122" s="165"/>
      <c r="N122" s="7"/>
      <c r="O122" s="15"/>
      <c r="P122" s="7"/>
      <c r="Q122" s="7"/>
      <c r="R122" s="70"/>
      <c r="S122" s="8"/>
      <c r="T122" s="16"/>
      <c r="U122" s="10"/>
      <c r="V122" s="10"/>
      <c r="W122" s="8"/>
      <c r="X122" s="8"/>
      <c r="Y122" s="8"/>
      <c r="Z122" s="12"/>
      <c r="AA122" s="8"/>
      <c r="AB122" s="8"/>
      <c r="AC122" s="65"/>
    </row>
    <row r="123" spans="1:29" ht="15" customHeight="1" x14ac:dyDescent="0.25">
      <c r="A123" s="126"/>
      <c r="B123" s="129"/>
      <c r="C123" s="124"/>
      <c r="D123" s="149"/>
      <c r="E123" s="150"/>
      <c r="F123" s="150"/>
      <c r="G123" s="128"/>
      <c r="H123" s="128"/>
      <c r="I123" s="140"/>
      <c r="J123" s="112"/>
      <c r="K123" s="165"/>
      <c r="L123" s="111"/>
      <c r="M123" s="165"/>
      <c r="N123" s="7"/>
      <c r="O123" s="15"/>
      <c r="P123" s="7"/>
      <c r="Q123" s="7"/>
      <c r="R123" s="70"/>
      <c r="S123" s="8"/>
      <c r="T123" s="16"/>
      <c r="U123" s="10"/>
      <c r="V123" s="10"/>
      <c r="W123" s="8"/>
      <c r="X123" s="8"/>
      <c r="Y123" s="8"/>
      <c r="Z123" s="12"/>
      <c r="AA123" s="8"/>
      <c r="AB123" s="8"/>
      <c r="AC123" s="65"/>
    </row>
    <row r="124" spans="1:29" ht="15" customHeight="1" x14ac:dyDescent="0.25">
      <c r="A124" s="126"/>
      <c r="B124" s="129"/>
      <c r="C124" s="124"/>
      <c r="D124" s="149"/>
      <c r="E124" s="150"/>
      <c r="F124" s="150"/>
      <c r="G124" s="128"/>
      <c r="H124" s="128"/>
      <c r="I124" s="140"/>
      <c r="J124" s="194" t="s">
        <v>41</v>
      </c>
      <c r="K124" s="195"/>
      <c r="L124" s="111"/>
      <c r="M124" s="165"/>
      <c r="N124" s="71"/>
      <c r="O124" s="41"/>
      <c r="P124" s="72"/>
      <c r="Q124" s="42"/>
      <c r="R124" s="42"/>
      <c r="S124" s="43"/>
      <c r="T124" s="71"/>
      <c r="U124" s="72"/>
      <c r="V124" s="72"/>
      <c r="W124" s="72"/>
      <c r="X124" s="72"/>
      <c r="Y124" s="72"/>
      <c r="Z124" s="72"/>
      <c r="AA124" s="72"/>
      <c r="AB124" s="72"/>
      <c r="AC124" s="65"/>
    </row>
    <row r="125" spans="1:29" ht="15" customHeight="1" x14ac:dyDescent="0.25">
      <c r="A125" s="126"/>
      <c r="B125" s="129"/>
      <c r="C125" s="124"/>
      <c r="D125" s="149"/>
      <c r="E125" s="150"/>
      <c r="F125" s="150"/>
      <c r="G125" s="128"/>
      <c r="H125" s="128"/>
      <c r="I125" s="140"/>
      <c r="J125" s="112"/>
      <c r="K125" s="165"/>
      <c r="L125" s="111"/>
      <c r="M125" s="165"/>
      <c r="N125" s="71"/>
      <c r="O125" s="41"/>
      <c r="P125" s="72"/>
      <c r="Q125" s="42"/>
      <c r="R125" s="42"/>
      <c r="S125" s="43"/>
      <c r="T125" s="71"/>
      <c r="U125" s="72"/>
      <c r="V125" s="72"/>
      <c r="W125" s="72"/>
      <c r="X125" s="72"/>
      <c r="Y125" s="72"/>
      <c r="Z125" s="72"/>
      <c r="AA125" s="72"/>
      <c r="AB125" s="72"/>
      <c r="AC125" s="65"/>
    </row>
    <row r="126" spans="1:29" ht="15" customHeight="1" x14ac:dyDescent="0.25">
      <c r="A126" s="126"/>
      <c r="B126" s="129"/>
      <c r="C126" s="124"/>
      <c r="D126" s="149"/>
      <c r="E126" s="150"/>
      <c r="F126" s="150"/>
      <c r="G126" s="128"/>
      <c r="H126" s="128"/>
      <c r="I126" s="140"/>
      <c r="J126" s="194" t="s">
        <v>42</v>
      </c>
      <c r="K126" s="192"/>
      <c r="L126" s="111"/>
      <c r="M126" s="165"/>
      <c r="N126" s="71"/>
      <c r="O126" s="41"/>
      <c r="P126" s="72"/>
      <c r="Q126" s="42"/>
      <c r="R126" s="42"/>
      <c r="S126" s="43"/>
      <c r="T126" s="71"/>
      <c r="U126" s="72"/>
      <c r="V126" s="72"/>
      <c r="W126" s="72"/>
      <c r="X126" s="72"/>
      <c r="Y126" s="72"/>
      <c r="Z126" s="72"/>
      <c r="AA126" s="72"/>
      <c r="AB126" s="72"/>
      <c r="AC126" s="65"/>
    </row>
    <row r="127" spans="1:29" ht="15" customHeight="1" x14ac:dyDescent="0.25">
      <c r="A127" s="126"/>
      <c r="B127" s="129"/>
      <c r="C127" s="124"/>
      <c r="D127" s="149"/>
      <c r="E127" s="150"/>
      <c r="F127" s="150"/>
      <c r="G127" s="128"/>
      <c r="H127" s="128"/>
      <c r="I127" s="140"/>
      <c r="J127" s="112"/>
      <c r="K127" s="165"/>
      <c r="L127" s="111"/>
      <c r="M127" s="165"/>
      <c r="N127" s="71"/>
      <c r="O127" s="41"/>
      <c r="P127" s="72"/>
      <c r="Q127" s="42"/>
      <c r="R127" s="42"/>
      <c r="S127" s="43"/>
      <c r="T127" s="71"/>
      <c r="U127" s="72"/>
      <c r="V127" s="72"/>
      <c r="W127" s="72"/>
      <c r="X127" s="72"/>
      <c r="Y127" s="72"/>
      <c r="Z127" s="72"/>
      <c r="AA127" s="72"/>
      <c r="AB127" s="72"/>
      <c r="AC127" s="65"/>
    </row>
    <row r="128" spans="1:29" ht="15" customHeight="1" x14ac:dyDescent="0.25">
      <c r="A128" s="126"/>
      <c r="B128" s="129"/>
      <c r="C128" s="124"/>
      <c r="D128" s="149"/>
      <c r="E128" s="150"/>
      <c r="F128" s="150"/>
      <c r="G128" s="128"/>
      <c r="H128" s="128"/>
      <c r="I128" s="140"/>
      <c r="J128" s="193" t="s">
        <v>43</v>
      </c>
      <c r="K128" s="195"/>
      <c r="L128" s="111"/>
      <c r="M128" s="165"/>
      <c r="N128" s="71"/>
      <c r="O128" s="41"/>
      <c r="P128" s="72"/>
      <c r="Q128" s="42"/>
      <c r="R128" s="42"/>
      <c r="S128" s="43"/>
      <c r="T128" s="71"/>
      <c r="U128" s="72"/>
      <c r="V128" s="72"/>
      <c r="W128" s="72"/>
      <c r="X128" s="72"/>
      <c r="Y128" s="72"/>
      <c r="Z128" s="72"/>
      <c r="AA128" s="72"/>
      <c r="AB128" s="72"/>
      <c r="AC128" s="65"/>
    </row>
    <row r="129" spans="1:29" ht="15" customHeight="1" x14ac:dyDescent="0.25">
      <c r="A129" s="126"/>
      <c r="B129" s="129"/>
      <c r="C129" s="124"/>
      <c r="D129" s="149"/>
      <c r="E129" s="150"/>
      <c r="F129" s="150"/>
      <c r="G129" s="128"/>
      <c r="H129" s="128"/>
      <c r="I129" s="140"/>
      <c r="J129" s="112"/>
      <c r="K129" s="165"/>
      <c r="L129" s="111"/>
      <c r="M129" s="165"/>
      <c r="N129" s="71"/>
      <c r="O129" s="41"/>
      <c r="P129" s="72"/>
      <c r="Q129" s="42"/>
      <c r="R129" s="42"/>
      <c r="S129" s="43"/>
      <c r="T129" s="71"/>
      <c r="U129" s="72"/>
      <c r="V129" s="72"/>
      <c r="W129" s="72"/>
      <c r="X129" s="72"/>
      <c r="Y129" s="72"/>
      <c r="Z129" s="72"/>
      <c r="AA129" s="72"/>
      <c r="AB129" s="72"/>
      <c r="AC129" s="65"/>
    </row>
    <row r="130" spans="1:29" ht="15" customHeight="1" x14ac:dyDescent="0.25">
      <c r="A130" s="126"/>
      <c r="B130" s="129"/>
      <c r="C130" s="124"/>
      <c r="D130" s="149"/>
      <c r="E130" s="150"/>
      <c r="F130" s="150"/>
      <c r="G130" s="128"/>
      <c r="H130" s="128"/>
      <c r="I130" s="140"/>
      <c r="J130" s="194" t="s">
        <v>44</v>
      </c>
      <c r="K130" s="195"/>
      <c r="L130" s="111"/>
      <c r="M130" s="165"/>
      <c r="N130" s="71"/>
      <c r="O130" s="41"/>
      <c r="P130" s="72"/>
      <c r="Q130" s="42"/>
      <c r="R130" s="42"/>
      <c r="S130" s="43"/>
      <c r="T130" s="71"/>
      <c r="U130" s="72"/>
      <c r="V130" s="72"/>
      <c r="W130" s="72"/>
      <c r="X130" s="72"/>
      <c r="Y130" s="72"/>
      <c r="Z130" s="72"/>
      <c r="AA130" s="72"/>
      <c r="AB130" s="72"/>
      <c r="AC130" s="65"/>
    </row>
    <row r="131" spans="1:29" ht="15" customHeight="1" x14ac:dyDescent="0.25">
      <c r="A131" s="126"/>
      <c r="B131" s="129"/>
      <c r="C131" s="124"/>
      <c r="D131" s="149"/>
      <c r="E131" s="150"/>
      <c r="F131" s="150"/>
      <c r="G131" s="128"/>
      <c r="H131" s="128"/>
      <c r="I131" s="140"/>
      <c r="J131" s="112"/>
      <c r="K131" s="165"/>
      <c r="L131" s="111"/>
      <c r="M131" s="165"/>
      <c r="N131" s="71"/>
      <c r="O131" s="41"/>
      <c r="P131" s="72"/>
      <c r="Q131" s="42"/>
      <c r="R131" s="42"/>
      <c r="S131" s="43"/>
      <c r="T131" s="71"/>
      <c r="U131" s="72"/>
      <c r="V131" s="72"/>
      <c r="W131" s="72"/>
      <c r="X131" s="72"/>
      <c r="Y131" s="72"/>
      <c r="Z131" s="72"/>
      <c r="AA131" s="72"/>
      <c r="AB131" s="72"/>
      <c r="AC131" s="65"/>
    </row>
    <row r="132" spans="1:29" ht="15" customHeight="1" x14ac:dyDescent="0.25">
      <c r="A132" s="130"/>
      <c r="B132" s="129"/>
      <c r="C132" s="124"/>
      <c r="D132" s="149"/>
      <c r="E132" s="150"/>
      <c r="F132" s="150"/>
      <c r="G132" s="128"/>
      <c r="H132" s="128"/>
      <c r="I132" s="140"/>
      <c r="J132" s="194" t="s">
        <v>45</v>
      </c>
      <c r="K132" s="196"/>
      <c r="L132" s="111"/>
      <c r="M132" s="165"/>
      <c r="N132" s="71"/>
      <c r="O132" s="41"/>
      <c r="P132" s="72"/>
      <c r="Q132" s="42"/>
      <c r="R132" s="42"/>
      <c r="S132" s="43"/>
      <c r="T132" s="71"/>
      <c r="U132" s="72"/>
      <c r="V132" s="72"/>
      <c r="W132" s="72"/>
      <c r="X132" s="72"/>
      <c r="Y132" s="72"/>
      <c r="Z132" s="72"/>
      <c r="AA132" s="72"/>
      <c r="AB132" s="72"/>
      <c r="AC132" s="65"/>
    </row>
    <row r="133" spans="1:29" ht="5.0999999999999996" customHeight="1" x14ac:dyDescent="0.25">
      <c r="A133" s="140"/>
      <c r="B133" s="140"/>
      <c r="C133" s="140"/>
      <c r="D133" s="140"/>
      <c r="E133" s="140"/>
      <c r="F133" s="140"/>
      <c r="G133" s="140"/>
      <c r="H133" s="140"/>
      <c r="I133" s="140"/>
      <c r="J133" s="194"/>
      <c r="K133" s="197"/>
      <c r="L133" s="111"/>
      <c r="M133" s="233"/>
      <c r="N133" s="71"/>
      <c r="O133" s="41"/>
      <c r="P133" s="72"/>
      <c r="Q133" s="42"/>
      <c r="R133" s="42"/>
      <c r="S133" s="43"/>
      <c r="T133" s="71"/>
      <c r="U133" s="72"/>
      <c r="V133" s="72"/>
      <c r="W133" s="72"/>
      <c r="X133" s="72"/>
      <c r="Y133" s="72"/>
      <c r="Z133" s="72"/>
      <c r="AA133" s="72"/>
      <c r="AB133" s="72"/>
      <c r="AC133" s="65"/>
    </row>
    <row r="134" spans="1:29" ht="16.5" thickBot="1" x14ac:dyDescent="0.3">
      <c r="A134" s="113"/>
      <c r="B134" s="114"/>
      <c r="C134" s="115"/>
      <c r="D134" s="115"/>
      <c r="E134" s="116"/>
      <c r="F134" s="116"/>
      <c r="G134" s="164"/>
      <c r="H134" s="120"/>
      <c r="I134" s="140"/>
      <c r="J134" s="119"/>
      <c r="K134" s="119"/>
      <c r="L134" s="210"/>
      <c r="M134" s="233"/>
      <c r="N134" s="71"/>
      <c r="O134" s="41"/>
      <c r="P134" s="72"/>
      <c r="Q134" s="42"/>
      <c r="R134" s="42"/>
      <c r="S134" s="43"/>
      <c r="T134" s="71"/>
      <c r="U134" s="72"/>
      <c r="V134" s="72"/>
      <c r="W134" s="72"/>
      <c r="X134" s="72"/>
      <c r="Y134" s="72"/>
      <c r="Z134" s="72"/>
      <c r="AA134" s="72"/>
      <c r="AB134" s="72"/>
      <c r="AC134" s="65"/>
    </row>
    <row r="135" spans="1:29" ht="5.0999999999999996" customHeight="1" thickBot="1" x14ac:dyDescent="0.3">
      <c r="A135" s="217"/>
      <c r="B135" s="212"/>
      <c r="C135" s="225"/>
      <c r="D135" s="213"/>
      <c r="E135" s="214"/>
      <c r="F135" s="214"/>
      <c r="G135" s="215"/>
      <c r="H135" s="218"/>
      <c r="I135" s="140"/>
      <c r="J135" s="210"/>
      <c r="K135" s="210"/>
      <c r="L135" s="210"/>
      <c r="M135" s="233"/>
      <c r="N135" s="71"/>
      <c r="O135" s="41"/>
      <c r="P135" s="72"/>
      <c r="Q135" s="42"/>
      <c r="R135" s="42"/>
      <c r="S135" s="43"/>
      <c r="T135" s="71"/>
      <c r="U135" s="72"/>
      <c r="V135" s="72"/>
      <c r="W135" s="72"/>
      <c r="X135" s="72"/>
      <c r="Y135" s="72"/>
      <c r="Z135" s="72"/>
      <c r="AA135" s="72"/>
      <c r="AB135" s="72"/>
      <c r="AC135" s="65"/>
    </row>
    <row r="136" spans="1:29" ht="15" customHeight="1" x14ac:dyDescent="0.25">
      <c r="A136" s="126"/>
      <c r="B136" s="148"/>
      <c r="C136" s="123"/>
      <c r="D136" s="149"/>
      <c r="E136" s="150"/>
      <c r="F136" s="150"/>
      <c r="G136" s="127"/>
      <c r="H136" s="189"/>
      <c r="I136" s="140"/>
      <c r="J136" s="317"/>
      <c r="K136" s="222"/>
      <c r="L136" s="112"/>
      <c r="M136" s="166"/>
      <c r="N136" s="71"/>
      <c r="O136" s="41"/>
      <c r="P136" s="72"/>
      <c r="Q136" s="42"/>
      <c r="R136" s="42"/>
      <c r="S136" s="43"/>
      <c r="T136" s="71"/>
      <c r="U136" s="72"/>
      <c r="V136" s="72"/>
      <c r="W136" s="72"/>
      <c r="X136" s="72"/>
      <c r="Y136" s="72"/>
      <c r="Z136" s="72"/>
      <c r="AA136" s="72"/>
      <c r="AB136" s="72"/>
      <c r="AC136" s="65"/>
    </row>
    <row r="137" spans="1:29" ht="15" customHeight="1" thickBot="1" x14ac:dyDescent="0.3">
      <c r="A137" s="126"/>
      <c r="B137" s="129"/>
      <c r="C137" s="124"/>
      <c r="D137" s="149"/>
      <c r="E137" s="150"/>
      <c r="F137" s="150"/>
      <c r="G137" s="128"/>
      <c r="H137" s="128"/>
      <c r="I137" s="140"/>
      <c r="J137" s="112"/>
      <c r="K137" s="166"/>
      <c r="L137" s="118"/>
      <c r="M137" s="166"/>
      <c r="N137" s="71"/>
      <c r="O137" s="41"/>
      <c r="P137" s="72"/>
      <c r="Q137" s="42"/>
      <c r="R137" s="42"/>
      <c r="S137" s="43"/>
      <c r="T137" s="71"/>
      <c r="U137" s="72"/>
      <c r="V137" s="72"/>
      <c r="W137" s="72"/>
      <c r="X137" s="72"/>
      <c r="Y137" s="72"/>
      <c r="Z137" s="72"/>
      <c r="AA137" s="72"/>
      <c r="AB137" s="72"/>
      <c r="AC137" s="65"/>
    </row>
    <row r="138" spans="1:29" ht="15" customHeight="1" x14ac:dyDescent="0.25">
      <c r="A138" s="126"/>
      <c r="B138" s="129"/>
      <c r="C138" s="124"/>
      <c r="D138" s="149"/>
      <c r="E138" s="150"/>
      <c r="F138" s="150"/>
      <c r="G138" s="128"/>
      <c r="H138" s="128"/>
      <c r="I138" s="140"/>
      <c r="J138" s="194" t="s">
        <v>39</v>
      </c>
      <c r="K138" s="222"/>
      <c r="L138" s="118"/>
      <c r="M138" s="166"/>
      <c r="N138" s="71"/>
      <c r="O138" s="41"/>
      <c r="P138" s="72"/>
      <c r="Q138" s="42"/>
      <c r="R138" s="42"/>
      <c r="S138" s="43"/>
      <c r="T138" s="71"/>
      <c r="U138" s="72"/>
      <c r="V138" s="72"/>
      <c r="W138" s="72"/>
      <c r="X138" s="72"/>
      <c r="Y138" s="72"/>
      <c r="Z138" s="72"/>
      <c r="AA138" s="72"/>
      <c r="AB138" s="72"/>
      <c r="AC138" s="65"/>
    </row>
    <row r="139" spans="1:29" ht="15" customHeight="1" thickBot="1" x14ac:dyDescent="0.3">
      <c r="A139" s="126"/>
      <c r="B139" s="129"/>
      <c r="C139" s="124"/>
      <c r="D139" s="149"/>
      <c r="E139" s="150"/>
      <c r="F139" s="150"/>
      <c r="G139" s="128"/>
      <c r="H139" s="128"/>
      <c r="I139" s="140"/>
      <c r="J139" s="112"/>
      <c r="K139" s="166"/>
      <c r="L139" s="118"/>
      <c r="M139" s="166"/>
      <c r="N139" s="71"/>
      <c r="O139" s="41"/>
      <c r="P139" s="72"/>
      <c r="Q139" s="42"/>
      <c r="R139" s="42"/>
      <c r="S139" s="43"/>
      <c r="T139" s="71"/>
      <c r="U139" s="72"/>
      <c r="V139" s="72"/>
      <c r="W139" s="72"/>
      <c r="X139" s="72"/>
      <c r="Y139" s="72"/>
      <c r="Z139" s="72"/>
      <c r="AA139" s="72"/>
      <c r="AB139" s="72"/>
      <c r="AC139" s="65"/>
    </row>
    <row r="140" spans="1:29" ht="15" customHeight="1" x14ac:dyDescent="0.25">
      <c r="A140" s="126"/>
      <c r="B140" s="129"/>
      <c r="C140" s="124"/>
      <c r="D140" s="149"/>
      <c r="E140" s="150"/>
      <c r="F140" s="150"/>
      <c r="G140" s="128"/>
      <c r="H140" s="128"/>
      <c r="I140" s="140"/>
      <c r="J140" s="194" t="s">
        <v>40</v>
      </c>
      <c r="K140" s="223"/>
      <c r="L140" s="118"/>
      <c r="M140" s="166"/>
      <c r="N140" s="71"/>
      <c r="O140" s="41"/>
      <c r="P140" s="72"/>
      <c r="Q140" s="42"/>
      <c r="R140" s="42"/>
      <c r="S140" s="43"/>
      <c r="T140" s="71"/>
      <c r="U140" s="72"/>
      <c r="V140" s="72"/>
      <c r="W140" s="72"/>
      <c r="X140" s="72"/>
      <c r="Y140" s="72"/>
      <c r="Z140" s="72"/>
      <c r="AA140" s="72"/>
      <c r="AB140" s="72"/>
      <c r="AC140" s="65"/>
    </row>
    <row r="141" spans="1:29" ht="15" customHeight="1" thickBot="1" x14ac:dyDescent="0.3">
      <c r="A141" s="126"/>
      <c r="B141" s="129"/>
      <c r="C141" s="124"/>
      <c r="D141" s="149"/>
      <c r="E141" s="150"/>
      <c r="F141" s="150"/>
      <c r="G141" s="128"/>
      <c r="H141" s="128"/>
      <c r="I141" s="140"/>
      <c r="J141" s="112"/>
      <c r="K141" s="166"/>
      <c r="L141" s="118"/>
      <c r="M141" s="166"/>
      <c r="N141" s="71"/>
      <c r="O141" s="41"/>
      <c r="P141" s="72"/>
      <c r="Q141" s="42"/>
      <c r="R141" s="42"/>
      <c r="S141" s="43"/>
      <c r="T141" s="71"/>
      <c r="U141" s="72"/>
      <c r="V141" s="72"/>
      <c r="W141" s="72"/>
      <c r="X141" s="72"/>
      <c r="Y141" s="72"/>
      <c r="Z141" s="72"/>
      <c r="AA141" s="72"/>
      <c r="AB141" s="72"/>
      <c r="AC141" s="65"/>
    </row>
    <row r="142" spans="1:29" ht="15" customHeight="1" x14ac:dyDescent="0.25">
      <c r="A142" s="126"/>
      <c r="B142" s="129"/>
      <c r="C142" s="124"/>
      <c r="D142" s="149"/>
      <c r="E142" s="150"/>
      <c r="F142" s="150"/>
      <c r="G142" s="128"/>
      <c r="H142" s="128"/>
      <c r="I142" s="140"/>
      <c r="J142" s="194" t="s">
        <v>41</v>
      </c>
      <c r="K142" s="223"/>
      <c r="L142" s="118"/>
      <c r="M142" s="166"/>
      <c r="N142" s="71"/>
      <c r="O142" s="41"/>
      <c r="P142" s="72"/>
      <c r="Q142" s="42"/>
      <c r="R142" s="42"/>
      <c r="S142" s="43"/>
      <c r="T142" s="71"/>
      <c r="U142" s="72"/>
      <c r="V142" s="72"/>
      <c r="W142" s="72"/>
      <c r="X142" s="72"/>
      <c r="Y142" s="72"/>
      <c r="Z142" s="72"/>
      <c r="AA142" s="72"/>
      <c r="AB142" s="72"/>
      <c r="AC142" s="65"/>
    </row>
    <row r="143" spans="1:29" ht="15" customHeight="1" thickBot="1" x14ac:dyDescent="0.3">
      <c r="A143" s="126"/>
      <c r="B143" s="129"/>
      <c r="C143" s="124"/>
      <c r="D143" s="149"/>
      <c r="E143" s="150"/>
      <c r="F143" s="150"/>
      <c r="G143" s="128"/>
      <c r="H143" s="128"/>
      <c r="I143" s="140"/>
      <c r="J143" s="112"/>
      <c r="K143" s="166"/>
      <c r="L143" s="118"/>
      <c r="M143" s="166"/>
      <c r="N143" s="71"/>
      <c r="O143" s="41"/>
      <c r="P143" s="72"/>
      <c r="Q143" s="42"/>
      <c r="R143" s="42"/>
      <c r="S143" s="43"/>
      <c r="T143" s="71"/>
      <c r="U143" s="72"/>
      <c r="V143" s="72"/>
      <c r="W143" s="72"/>
      <c r="X143" s="72"/>
      <c r="Y143" s="72"/>
      <c r="Z143" s="72"/>
      <c r="AA143" s="72"/>
      <c r="AB143" s="72"/>
      <c r="AC143" s="65"/>
    </row>
    <row r="144" spans="1:29" ht="15" customHeight="1" x14ac:dyDescent="0.25">
      <c r="A144" s="126"/>
      <c r="B144" s="129"/>
      <c r="C144" s="124"/>
      <c r="D144" s="149"/>
      <c r="E144" s="150"/>
      <c r="F144" s="150"/>
      <c r="G144" s="128"/>
      <c r="H144" s="128"/>
      <c r="I144" s="140"/>
      <c r="J144" s="194" t="s">
        <v>42</v>
      </c>
      <c r="K144" s="222"/>
      <c r="L144" s="111"/>
      <c r="M144" s="166"/>
      <c r="N144" s="71"/>
      <c r="O144" s="41"/>
      <c r="P144" s="72"/>
      <c r="Q144" s="42"/>
      <c r="R144" s="42"/>
      <c r="S144" s="43"/>
      <c r="T144" s="71"/>
      <c r="U144" s="72"/>
      <c r="V144" s="72"/>
      <c r="W144" s="72"/>
      <c r="X144" s="72"/>
      <c r="Y144" s="72"/>
      <c r="Z144" s="72"/>
      <c r="AA144" s="72"/>
      <c r="AB144" s="72"/>
      <c r="AC144" s="65"/>
    </row>
    <row r="145" spans="1:29" ht="15" customHeight="1" thickBot="1" x14ac:dyDescent="0.3">
      <c r="A145" s="126"/>
      <c r="B145" s="129"/>
      <c r="C145" s="124"/>
      <c r="D145" s="149"/>
      <c r="E145" s="150"/>
      <c r="F145" s="150"/>
      <c r="G145" s="128"/>
      <c r="H145" s="128"/>
      <c r="I145" s="140"/>
      <c r="J145" s="112"/>
      <c r="K145" s="166"/>
      <c r="L145" s="111"/>
      <c r="M145" s="166"/>
      <c r="N145" s="71"/>
      <c r="O145" s="41"/>
      <c r="P145" s="72"/>
      <c r="Q145" s="42"/>
      <c r="R145" s="42"/>
      <c r="S145" s="43"/>
      <c r="T145" s="71"/>
      <c r="U145" s="72"/>
      <c r="V145" s="72"/>
      <c r="W145" s="72"/>
      <c r="X145" s="72"/>
      <c r="Y145" s="72"/>
      <c r="Z145" s="72"/>
      <c r="AA145" s="72"/>
      <c r="AB145" s="72"/>
      <c r="AC145" s="65"/>
    </row>
    <row r="146" spans="1:29" ht="15" customHeight="1" x14ac:dyDescent="0.25">
      <c r="A146" s="126"/>
      <c r="B146" s="129"/>
      <c r="C146" s="124"/>
      <c r="D146" s="149"/>
      <c r="E146" s="150"/>
      <c r="F146" s="150"/>
      <c r="G146" s="128"/>
      <c r="H146" s="128"/>
      <c r="I146" s="140"/>
      <c r="J146" s="193" t="s">
        <v>43</v>
      </c>
      <c r="K146" s="222"/>
      <c r="L146" s="111"/>
      <c r="M146" s="166"/>
      <c r="N146" s="71"/>
      <c r="O146" s="41"/>
      <c r="P146" s="72"/>
      <c r="Q146" s="42"/>
      <c r="R146" s="42"/>
      <c r="S146" s="43"/>
      <c r="T146" s="71"/>
      <c r="U146" s="72"/>
      <c r="V146" s="72"/>
      <c r="W146" s="72"/>
      <c r="X146" s="72"/>
      <c r="Y146" s="72"/>
      <c r="Z146" s="72"/>
      <c r="AA146" s="72"/>
      <c r="AB146" s="72"/>
      <c r="AC146" s="65"/>
    </row>
    <row r="147" spans="1:29" ht="15" customHeight="1" x14ac:dyDescent="0.25">
      <c r="A147" s="126"/>
      <c r="B147" s="129"/>
      <c r="C147" s="124"/>
      <c r="D147" s="149"/>
      <c r="E147" s="150"/>
      <c r="F147" s="150"/>
      <c r="G147" s="128"/>
      <c r="H147" s="128"/>
      <c r="I147" s="140"/>
      <c r="J147" s="112"/>
      <c r="K147" s="166"/>
      <c r="L147" s="111"/>
      <c r="M147" s="166"/>
      <c r="N147" s="71"/>
      <c r="O147" s="41"/>
      <c r="P147" s="72"/>
      <c r="Q147" s="42"/>
      <c r="R147" s="42"/>
      <c r="S147" s="43"/>
      <c r="T147" s="71"/>
      <c r="U147" s="72"/>
      <c r="V147" s="72"/>
      <c r="W147" s="72"/>
      <c r="X147" s="72"/>
      <c r="Y147" s="72"/>
      <c r="Z147" s="72"/>
      <c r="AA147" s="72"/>
      <c r="AB147" s="72"/>
      <c r="AC147" s="65"/>
    </row>
    <row r="148" spans="1:29" ht="15" customHeight="1" x14ac:dyDescent="0.25">
      <c r="A148" s="126"/>
      <c r="B148" s="129"/>
      <c r="C148" s="124"/>
      <c r="D148" s="149"/>
      <c r="E148" s="150"/>
      <c r="F148" s="150"/>
      <c r="G148" s="128"/>
      <c r="H148" s="128"/>
      <c r="I148" s="140"/>
      <c r="J148" s="194" t="s">
        <v>44</v>
      </c>
      <c r="K148" s="224"/>
      <c r="L148" s="111"/>
      <c r="M148" s="166"/>
      <c r="N148" s="71"/>
      <c r="O148" s="41"/>
      <c r="P148" s="72"/>
      <c r="Q148" s="42"/>
      <c r="R148" s="42"/>
      <c r="S148" s="43"/>
      <c r="T148" s="71"/>
      <c r="U148" s="72"/>
      <c r="V148" s="72"/>
      <c r="W148" s="72"/>
      <c r="X148" s="72"/>
      <c r="Y148" s="72"/>
      <c r="Z148" s="72"/>
      <c r="AA148" s="72"/>
      <c r="AB148" s="72"/>
      <c r="AC148" s="65"/>
    </row>
    <row r="149" spans="1:29" ht="15" customHeight="1" x14ac:dyDescent="0.25">
      <c r="A149" s="126"/>
      <c r="B149" s="129"/>
      <c r="C149" s="124"/>
      <c r="D149" s="149"/>
      <c r="E149" s="150"/>
      <c r="F149" s="150"/>
      <c r="G149" s="128"/>
      <c r="H149" s="128"/>
      <c r="I149" s="140"/>
      <c r="J149" s="112"/>
      <c r="K149" s="166"/>
      <c r="L149" s="111"/>
      <c r="M149" s="166"/>
      <c r="N149" s="71"/>
      <c r="O149" s="41"/>
      <c r="P149" s="72"/>
      <c r="Q149" s="42"/>
      <c r="R149" s="42"/>
      <c r="S149" s="43"/>
      <c r="T149" s="71"/>
      <c r="U149" s="72"/>
      <c r="V149" s="72"/>
      <c r="W149" s="72"/>
      <c r="X149" s="72"/>
      <c r="Y149" s="72"/>
      <c r="Z149" s="72"/>
      <c r="AA149" s="72"/>
      <c r="AB149" s="72"/>
      <c r="AC149" s="65"/>
    </row>
    <row r="150" spans="1:29" ht="15" customHeight="1" x14ac:dyDescent="0.25">
      <c r="A150" s="130"/>
      <c r="B150" s="129"/>
      <c r="C150" s="124"/>
      <c r="D150" s="149"/>
      <c r="E150" s="150"/>
      <c r="F150" s="150"/>
      <c r="G150" s="128"/>
      <c r="H150" s="128"/>
      <c r="I150" s="140"/>
      <c r="J150" s="194" t="s">
        <v>45</v>
      </c>
      <c r="K150" s="224"/>
      <c r="L150" s="111"/>
      <c r="M150" s="166"/>
      <c r="N150" s="72"/>
      <c r="O150" s="72"/>
      <c r="P150" s="72"/>
      <c r="Q150" s="71"/>
      <c r="R150" s="72"/>
      <c r="S150" s="43"/>
      <c r="T150" s="71"/>
      <c r="U150" s="72"/>
      <c r="V150" s="72"/>
      <c r="W150" s="72"/>
      <c r="X150" s="72"/>
      <c r="Y150" s="72"/>
      <c r="Z150" s="72"/>
      <c r="AA150" s="72"/>
      <c r="AB150" s="72"/>
      <c r="AC150" s="65"/>
    </row>
    <row r="151" spans="1:29" ht="5.0999999999999996" customHeight="1" x14ac:dyDescent="0.25">
      <c r="A151" s="140"/>
      <c r="B151" s="140"/>
      <c r="C151" s="140"/>
      <c r="D151" s="140"/>
      <c r="E151" s="140"/>
      <c r="F151" s="140"/>
      <c r="G151" s="140"/>
      <c r="H151" s="140"/>
      <c r="I151" s="140"/>
      <c r="J151" s="194"/>
      <c r="K151" s="166"/>
      <c r="L151" s="111"/>
      <c r="M151" s="234"/>
      <c r="N151" s="72"/>
      <c r="O151" s="72"/>
      <c r="P151" s="72"/>
      <c r="Q151" s="71"/>
      <c r="R151" s="72"/>
      <c r="S151" s="43"/>
      <c r="T151" s="71"/>
      <c r="U151" s="72"/>
      <c r="V151" s="72"/>
      <c r="W151" s="72"/>
      <c r="X151" s="72"/>
      <c r="Y151" s="72"/>
      <c r="Z151" s="72"/>
      <c r="AA151" s="72"/>
      <c r="AB151" s="72"/>
      <c r="AC151" s="65"/>
    </row>
    <row r="152" spans="1:29" ht="16.5" thickBot="1" x14ac:dyDescent="0.3">
      <c r="A152" s="113"/>
      <c r="B152" s="114"/>
      <c r="C152" s="115"/>
      <c r="D152" s="115"/>
      <c r="E152" s="116"/>
      <c r="F152" s="116"/>
      <c r="G152" s="164"/>
      <c r="H152" s="120"/>
      <c r="I152" s="140"/>
      <c r="J152" s="120"/>
      <c r="K152" s="121"/>
      <c r="L152" s="221"/>
      <c r="M152" s="234"/>
      <c r="N152" s="72"/>
      <c r="O152" s="72"/>
      <c r="P152" s="72"/>
      <c r="Q152" s="71"/>
      <c r="R152" s="72"/>
      <c r="S152" s="72"/>
      <c r="T152" s="71"/>
      <c r="U152" s="72"/>
      <c r="V152" s="72"/>
      <c r="W152" s="72"/>
      <c r="X152" s="72"/>
      <c r="Y152" s="72"/>
      <c r="Z152" s="72"/>
      <c r="AA152" s="72"/>
      <c r="AB152" s="72"/>
      <c r="AC152" s="65"/>
    </row>
    <row r="153" spans="1:29" ht="5.0999999999999996" customHeight="1" thickBot="1" x14ac:dyDescent="0.3">
      <c r="A153" s="217"/>
      <c r="B153" s="212"/>
      <c r="C153" s="213"/>
      <c r="D153" s="213"/>
      <c r="E153" s="214"/>
      <c r="F153" s="214"/>
      <c r="G153" s="215"/>
      <c r="H153" s="218"/>
      <c r="I153" s="140"/>
      <c r="J153" s="219"/>
      <c r="K153" s="220"/>
      <c r="L153" s="221"/>
      <c r="M153" s="234"/>
      <c r="N153" s="72"/>
      <c r="O153" s="72"/>
      <c r="P153" s="72"/>
      <c r="Q153" s="71"/>
      <c r="R153" s="72"/>
      <c r="S153" s="72"/>
      <c r="T153" s="71"/>
      <c r="U153" s="72"/>
      <c r="V153" s="72"/>
      <c r="W153" s="72"/>
      <c r="X153" s="72"/>
      <c r="Y153" s="72"/>
      <c r="Z153" s="72"/>
      <c r="AA153" s="72"/>
      <c r="AB153" s="72"/>
      <c r="AC153" s="65"/>
    </row>
    <row r="154" spans="1:29" ht="15" customHeight="1" x14ac:dyDescent="0.25">
      <c r="A154" s="125"/>
      <c r="B154" s="148"/>
      <c r="C154" s="319"/>
      <c r="D154" s="149"/>
      <c r="E154" s="150"/>
      <c r="F154" s="150"/>
      <c r="G154" s="127"/>
      <c r="H154" s="320"/>
      <c r="I154" s="140"/>
      <c r="J154" s="322"/>
      <c r="K154" s="223"/>
      <c r="L154" s="112"/>
      <c r="M154" s="166"/>
    </row>
    <row r="155" spans="1:29" ht="15" customHeight="1" thickBot="1" x14ac:dyDescent="0.3">
      <c r="A155" s="318"/>
      <c r="B155" s="129"/>
      <c r="C155" s="124"/>
      <c r="D155" s="149"/>
      <c r="E155" s="150"/>
      <c r="F155" s="150"/>
      <c r="G155" s="128"/>
      <c r="H155" s="321"/>
      <c r="I155" s="140"/>
      <c r="J155" s="112"/>
      <c r="K155" s="166"/>
      <c r="L155" s="118"/>
      <c r="M155" s="166"/>
    </row>
    <row r="156" spans="1:29" ht="15" customHeight="1" x14ac:dyDescent="0.25">
      <c r="A156" s="318"/>
      <c r="B156" s="129"/>
      <c r="C156" s="124"/>
      <c r="D156" s="149"/>
      <c r="E156" s="150"/>
      <c r="F156" s="150"/>
      <c r="G156" s="128"/>
      <c r="H156" s="321"/>
      <c r="I156" s="140"/>
      <c r="J156" s="194" t="s">
        <v>39</v>
      </c>
      <c r="K156" s="223"/>
      <c r="L156" s="118"/>
      <c r="M156" s="166"/>
    </row>
    <row r="157" spans="1:29" ht="15" customHeight="1" thickBot="1" x14ac:dyDescent="0.3">
      <c r="A157" s="318"/>
      <c r="B157" s="129"/>
      <c r="C157" s="124"/>
      <c r="D157" s="149"/>
      <c r="E157" s="150"/>
      <c r="F157" s="150"/>
      <c r="G157" s="128"/>
      <c r="H157" s="321"/>
      <c r="I157" s="140"/>
      <c r="J157" s="112"/>
      <c r="K157" s="166"/>
      <c r="L157" s="118"/>
      <c r="M157" s="166"/>
    </row>
    <row r="158" spans="1:29" ht="15" customHeight="1" x14ac:dyDescent="0.25">
      <c r="A158" s="318"/>
      <c r="B158" s="129"/>
      <c r="C158" s="124"/>
      <c r="D158" s="149"/>
      <c r="E158" s="150"/>
      <c r="F158" s="150"/>
      <c r="G158" s="128"/>
      <c r="H158" s="321"/>
      <c r="I158" s="140"/>
      <c r="J158" s="194" t="s">
        <v>40</v>
      </c>
      <c r="K158" s="223"/>
      <c r="L158" s="118"/>
      <c r="M158" s="166"/>
    </row>
    <row r="159" spans="1:29" ht="15" customHeight="1" thickBot="1" x14ac:dyDescent="0.3">
      <c r="A159" s="126"/>
      <c r="B159" s="129"/>
      <c r="C159" s="124"/>
      <c r="D159" s="149"/>
      <c r="E159" s="150"/>
      <c r="F159" s="150"/>
      <c r="G159" s="128"/>
      <c r="H159" s="321"/>
      <c r="I159" s="140"/>
      <c r="J159" s="112"/>
      <c r="K159" s="166"/>
      <c r="L159" s="118"/>
      <c r="M159" s="166"/>
    </row>
    <row r="160" spans="1:29" ht="15" customHeight="1" x14ac:dyDescent="0.25">
      <c r="A160" s="126"/>
      <c r="B160" s="129"/>
      <c r="C160" s="124"/>
      <c r="D160" s="149"/>
      <c r="E160" s="150"/>
      <c r="F160" s="150"/>
      <c r="G160" s="128"/>
      <c r="H160" s="321"/>
      <c r="I160" s="140"/>
      <c r="J160" s="194" t="s">
        <v>41</v>
      </c>
      <c r="K160" s="223"/>
      <c r="L160" s="118"/>
      <c r="M160" s="166"/>
    </row>
    <row r="161" spans="1:13" ht="15" customHeight="1" thickBot="1" x14ac:dyDescent="0.3">
      <c r="A161" s="126"/>
      <c r="B161" s="129"/>
      <c r="C161" s="124"/>
      <c r="D161" s="149"/>
      <c r="E161" s="150"/>
      <c r="F161" s="150"/>
      <c r="G161" s="128"/>
      <c r="H161" s="128"/>
      <c r="I161" s="140"/>
      <c r="J161" s="112"/>
      <c r="K161" s="166"/>
      <c r="L161" s="118"/>
      <c r="M161" s="166"/>
    </row>
    <row r="162" spans="1:13" ht="15" customHeight="1" x14ac:dyDescent="0.25">
      <c r="A162" s="126"/>
      <c r="B162" s="129"/>
      <c r="C162" s="124"/>
      <c r="D162" s="149"/>
      <c r="E162" s="150"/>
      <c r="F162" s="150"/>
      <c r="G162" s="128"/>
      <c r="H162" s="128"/>
      <c r="I162" s="140"/>
      <c r="J162" s="194" t="s">
        <v>42</v>
      </c>
      <c r="K162" s="223"/>
      <c r="L162" s="111"/>
      <c r="M162" s="166"/>
    </row>
    <row r="163" spans="1:13" ht="15" customHeight="1" thickBot="1" x14ac:dyDescent="0.3">
      <c r="A163" s="126"/>
      <c r="B163" s="129"/>
      <c r="C163" s="124"/>
      <c r="D163" s="149"/>
      <c r="E163" s="150"/>
      <c r="F163" s="150"/>
      <c r="G163" s="128"/>
      <c r="H163" s="128"/>
      <c r="I163" s="140"/>
      <c r="J163" s="112"/>
      <c r="K163" s="166"/>
      <c r="L163" s="111"/>
      <c r="M163" s="166"/>
    </row>
    <row r="164" spans="1:13" ht="15" customHeight="1" x14ac:dyDescent="0.25">
      <c r="A164" s="126"/>
      <c r="B164" s="129"/>
      <c r="C164" s="124"/>
      <c r="D164" s="149"/>
      <c r="E164" s="150"/>
      <c r="F164" s="150"/>
      <c r="G164" s="128"/>
      <c r="H164" s="128"/>
      <c r="I164" s="140"/>
      <c r="J164" s="193" t="s">
        <v>43</v>
      </c>
      <c r="K164" s="223"/>
      <c r="L164" s="111"/>
      <c r="M164" s="166"/>
    </row>
    <row r="165" spans="1:13" ht="15" customHeight="1" x14ac:dyDescent="0.25">
      <c r="A165" s="126"/>
      <c r="B165" s="129"/>
      <c r="C165" s="124"/>
      <c r="D165" s="149"/>
      <c r="E165" s="150"/>
      <c r="F165" s="150"/>
      <c r="G165" s="128"/>
      <c r="H165" s="128"/>
      <c r="I165" s="140"/>
      <c r="J165" s="112"/>
      <c r="K165" s="166"/>
      <c r="L165" s="111"/>
      <c r="M165" s="166"/>
    </row>
    <row r="166" spans="1:13" ht="15" customHeight="1" x14ac:dyDescent="0.25">
      <c r="A166" s="126"/>
      <c r="B166" s="129"/>
      <c r="C166" s="124"/>
      <c r="D166" s="149"/>
      <c r="E166" s="150"/>
      <c r="F166" s="150"/>
      <c r="G166" s="128"/>
      <c r="H166" s="128"/>
      <c r="I166" s="140"/>
      <c r="J166" s="194" t="s">
        <v>44</v>
      </c>
      <c r="K166" s="224"/>
      <c r="L166" s="111"/>
      <c r="M166" s="166"/>
    </row>
    <row r="167" spans="1:13" ht="15" customHeight="1" x14ac:dyDescent="0.25">
      <c r="A167" s="126"/>
      <c r="B167" s="129"/>
      <c r="C167" s="124"/>
      <c r="D167" s="149"/>
      <c r="E167" s="150"/>
      <c r="F167" s="150"/>
      <c r="G167" s="128"/>
      <c r="H167" s="128"/>
      <c r="I167" s="140"/>
      <c r="J167" s="112"/>
      <c r="K167" s="166"/>
      <c r="L167" s="111"/>
      <c r="M167" s="166"/>
    </row>
    <row r="168" spans="1:13" ht="15" customHeight="1" x14ac:dyDescent="0.25">
      <c r="A168" s="130"/>
      <c r="B168" s="129"/>
      <c r="C168" s="124"/>
      <c r="D168" s="149"/>
      <c r="E168" s="150"/>
      <c r="F168" s="150"/>
      <c r="G168" s="128"/>
      <c r="H168" s="128"/>
      <c r="I168" s="140"/>
      <c r="J168" s="194" t="s">
        <v>45</v>
      </c>
      <c r="K168" s="224"/>
      <c r="L168" s="111"/>
      <c r="M168" s="166"/>
    </row>
    <row r="169" spans="1:13" ht="5.0999999999999996" customHeight="1" x14ac:dyDescent="0.25">
      <c r="A169" s="140"/>
      <c r="B169" s="140"/>
      <c r="C169" s="140"/>
      <c r="D169" s="140"/>
      <c r="E169" s="140"/>
      <c r="F169" s="140"/>
      <c r="G169" s="140"/>
      <c r="H169" s="140"/>
      <c r="I169" s="140"/>
      <c r="J169" s="194"/>
      <c r="K169" s="166"/>
      <c r="L169" s="111"/>
      <c r="M169" s="191"/>
    </row>
    <row r="170" spans="1:13" ht="16.5" thickBot="1" x14ac:dyDescent="0.3">
      <c r="A170" s="113"/>
      <c r="B170" s="114"/>
      <c r="C170" s="115"/>
      <c r="D170" s="115"/>
      <c r="E170" s="116"/>
      <c r="F170" s="116"/>
      <c r="G170" s="164"/>
      <c r="H170" s="120"/>
      <c r="I170" s="140"/>
      <c r="J170" s="120"/>
      <c r="K170" s="121"/>
      <c r="L170" s="221"/>
      <c r="M170" s="191"/>
    </row>
    <row r="171" spans="1:13" ht="5.0999999999999996" customHeight="1" thickBot="1" x14ac:dyDescent="0.3">
      <c r="A171" s="217"/>
      <c r="B171" s="212"/>
      <c r="C171" s="213"/>
      <c r="D171" s="213"/>
      <c r="E171" s="214"/>
      <c r="F171" s="214"/>
      <c r="G171" s="215"/>
      <c r="H171" s="218"/>
      <c r="I171" s="140"/>
      <c r="J171" s="218"/>
      <c r="K171" s="220"/>
      <c r="L171" s="221"/>
      <c r="M171" s="191"/>
    </row>
    <row r="172" spans="1:13" ht="15" customHeight="1" x14ac:dyDescent="0.25">
      <c r="A172" s="318"/>
      <c r="B172" s="148"/>
      <c r="C172" s="319"/>
      <c r="D172" s="149"/>
      <c r="E172" s="150"/>
      <c r="F172" s="150"/>
      <c r="G172" s="127"/>
      <c r="H172" s="189"/>
      <c r="I172" s="140"/>
      <c r="J172" s="323"/>
      <c r="K172" s="223"/>
      <c r="L172" s="112"/>
      <c r="M172" s="166"/>
    </row>
    <row r="173" spans="1:13" ht="15" customHeight="1" thickBot="1" x14ac:dyDescent="0.3">
      <c r="A173" s="318"/>
      <c r="B173" s="129"/>
      <c r="C173" s="124"/>
      <c r="D173" s="149"/>
      <c r="E173" s="150"/>
      <c r="F173" s="150"/>
      <c r="G173" s="128"/>
      <c r="H173" s="128"/>
      <c r="I173" s="140"/>
      <c r="J173" s="112"/>
      <c r="K173" s="166"/>
      <c r="L173" s="118"/>
      <c r="M173" s="166"/>
    </row>
    <row r="174" spans="1:13" ht="15" customHeight="1" x14ac:dyDescent="0.25">
      <c r="A174" s="318"/>
      <c r="B174" s="129"/>
      <c r="C174" s="124"/>
      <c r="D174" s="149"/>
      <c r="E174" s="150"/>
      <c r="F174" s="150"/>
      <c r="G174" s="128"/>
      <c r="H174" s="128"/>
      <c r="I174" s="140"/>
      <c r="J174" s="194" t="s">
        <v>39</v>
      </c>
      <c r="K174" s="223"/>
      <c r="L174" s="118"/>
      <c r="M174" s="166"/>
    </row>
    <row r="175" spans="1:13" ht="15" customHeight="1" thickBot="1" x14ac:dyDescent="0.3">
      <c r="A175" s="318"/>
      <c r="B175" s="129"/>
      <c r="C175" s="124"/>
      <c r="D175" s="149"/>
      <c r="E175" s="150"/>
      <c r="F175" s="150"/>
      <c r="G175" s="128"/>
      <c r="H175" s="128"/>
      <c r="I175" s="140"/>
      <c r="J175" s="112"/>
      <c r="K175" s="166"/>
      <c r="L175" s="118"/>
      <c r="M175" s="166"/>
    </row>
    <row r="176" spans="1:13" ht="15" customHeight="1" x14ac:dyDescent="0.25">
      <c r="A176" s="126"/>
      <c r="B176" s="129"/>
      <c r="C176" s="124"/>
      <c r="D176" s="149"/>
      <c r="E176" s="150"/>
      <c r="F176" s="150"/>
      <c r="G176" s="128"/>
      <c r="H176" s="128"/>
      <c r="I176" s="140"/>
      <c r="J176" s="194" t="s">
        <v>40</v>
      </c>
      <c r="K176" s="223"/>
      <c r="L176" s="118"/>
      <c r="M176" s="166"/>
    </row>
    <row r="177" spans="1:13" ht="15" customHeight="1" thickBot="1" x14ac:dyDescent="0.3">
      <c r="A177" s="126"/>
      <c r="B177" s="129"/>
      <c r="C177" s="124"/>
      <c r="D177" s="149"/>
      <c r="E177" s="150"/>
      <c r="F177" s="150"/>
      <c r="G177" s="128"/>
      <c r="H177" s="128"/>
      <c r="I177" s="140"/>
      <c r="J177" s="112"/>
      <c r="K177" s="166"/>
      <c r="L177" s="118"/>
      <c r="M177" s="166"/>
    </row>
    <row r="178" spans="1:13" ht="15" customHeight="1" x14ac:dyDescent="0.25">
      <c r="A178" s="126"/>
      <c r="B178" s="129"/>
      <c r="C178" s="124"/>
      <c r="D178" s="149"/>
      <c r="E178" s="150"/>
      <c r="F178" s="150"/>
      <c r="G178" s="128"/>
      <c r="H178" s="128"/>
      <c r="I178" s="140"/>
      <c r="J178" s="194" t="s">
        <v>41</v>
      </c>
      <c r="K178" s="223"/>
      <c r="L178" s="118"/>
      <c r="M178" s="166"/>
    </row>
    <row r="179" spans="1:13" ht="15" customHeight="1" thickBot="1" x14ac:dyDescent="0.3">
      <c r="A179" s="126"/>
      <c r="B179" s="129"/>
      <c r="C179" s="124"/>
      <c r="D179" s="149"/>
      <c r="E179" s="150"/>
      <c r="F179" s="150"/>
      <c r="G179" s="128"/>
      <c r="H179" s="128"/>
      <c r="I179" s="140"/>
      <c r="J179" s="112"/>
      <c r="K179" s="166"/>
      <c r="L179" s="118"/>
      <c r="M179" s="166"/>
    </row>
    <row r="180" spans="1:13" ht="15" customHeight="1" x14ac:dyDescent="0.25">
      <c r="A180" s="126"/>
      <c r="B180" s="129"/>
      <c r="C180" s="124"/>
      <c r="D180" s="149"/>
      <c r="E180" s="150"/>
      <c r="F180" s="150"/>
      <c r="G180" s="128"/>
      <c r="H180" s="128"/>
      <c r="I180" s="140"/>
      <c r="J180" s="194" t="s">
        <v>42</v>
      </c>
      <c r="K180" s="223"/>
      <c r="L180" s="111"/>
      <c r="M180" s="166"/>
    </row>
    <row r="181" spans="1:13" ht="15" customHeight="1" thickBot="1" x14ac:dyDescent="0.3">
      <c r="A181" s="126"/>
      <c r="B181" s="129"/>
      <c r="C181" s="124"/>
      <c r="D181" s="149"/>
      <c r="E181" s="150"/>
      <c r="F181" s="150"/>
      <c r="G181" s="128"/>
      <c r="H181" s="128"/>
      <c r="I181" s="140"/>
      <c r="J181" s="112"/>
      <c r="K181" s="166"/>
      <c r="L181" s="111"/>
      <c r="M181" s="166"/>
    </row>
    <row r="182" spans="1:13" ht="15" customHeight="1" x14ac:dyDescent="0.25">
      <c r="A182" s="126"/>
      <c r="B182" s="129"/>
      <c r="C182" s="124"/>
      <c r="D182" s="149"/>
      <c r="E182" s="150"/>
      <c r="F182" s="150"/>
      <c r="G182" s="128"/>
      <c r="H182" s="128"/>
      <c r="I182" s="140"/>
      <c r="J182" s="193" t="s">
        <v>43</v>
      </c>
      <c r="K182" s="223"/>
      <c r="L182" s="111"/>
      <c r="M182" s="166"/>
    </row>
    <row r="183" spans="1:13" ht="15" customHeight="1" x14ac:dyDescent="0.25">
      <c r="A183" s="126"/>
      <c r="B183" s="129"/>
      <c r="C183" s="124"/>
      <c r="D183" s="149"/>
      <c r="E183" s="150"/>
      <c r="F183" s="150"/>
      <c r="G183" s="128"/>
      <c r="H183" s="128"/>
      <c r="I183" s="140"/>
      <c r="J183" s="112"/>
      <c r="K183" s="166"/>
      <c r="L183" s="111"/>
      <c r="M183" s="166"/>
    </row>
    <row r="184" spans="1:13" ht="15" customHeight="1" x14ac:dyDescent="0.25">
      <c r="A184" s="126"/>
      <c r="B184" s="129"/>
      <c r="C184" s="124"/>
      <c r="D184" s="149"/>
      <c r="E184" s="150"/>
      <c r="F184" s="150"/>
      <c r="G184" s="128"/>
      <c r="H184" s="128"/>
      <c r="I184" s="140"/>
      <c r="J184" s="194" t="s">
        <v>44</v>
      </c>
      <c r="K184" s="224"/>
      <c r="L184" s="111"/>
      <c r="M184" s="166"/>
    </row>
    <row r="185" spans="1:13" ht="15" customHeight="1" x14ac:dyDescent="0.25">
      <c r="A185" s="126"/>
      <c r="B185" s="129"/>
      <c r="C185" s="124"/>
      <c r="D185" s="149"/>
      <c r="E185" s="150"/>
      <c r="F185" s="150"/>
      <c r="G185" s="128"/>
      <c r="H185" s="128"/>
      <c r="I185" s="140"/>
      <c r="J185" s="112"/>
      <c r="K185" s="166"/>
      <c r="L185" s="111"/>
      <c r="M185" s="166"/>
    </row>
    <row r="186" spans="1:13" ht="15" customHeight="1" x14ac:dyDescent="0.25">
      <c r="A186" s="130"/>
      <c r="B186" s="129"/>
      <c r="C186" s="124"/>
      <c r="D186" s="149"/>
      <c r="E186" s="150"/>
      <c r="F186" s="150"/>
      <c r="G186" s="128"/>
      <c r="H186" s="128"/>
      <c r="I186" s="140"/>
      <c r="J186" s="194" t="s">
        <v>45</v>
      </c>
      <c r="K186" s="224"/>
      <c r="L186" s="111"/>
      <c r="M186" s="166"/>
    </row>
    <row r="187" spans="1:13" ht="5.0999999999999996" customHeight="1" x14ac:dyDescent="0.25">
      <c r="A187" s="140"/>
      <c r="B187" s="140"/>
      <c r="C187" s="140"/>
      <c r="D187" s="140"/>
      <c r="E187" s="140"/>
      <c r="F187" s="140"/>
      <c r="G187" s="140"/>
      <c r="H187" s="140"/>
      <c r="I187" s="140"/>
      <c r="J187" s="112"/>
      <c r="K187" s="166"/>
      <c r="L187" s="111"/>
      <c r="M187" s="191"/>
    </row>
    <row r="188" spans="1:13" ht="16.5" thickBot="1" x14ac:dyDescent="0.3">
      <c r="A188" s="113"/>
      <c r="B188" s="114"/>
      <c r="C188" s="115"/>
      <c r="D188" s="115"/>
      <c r="E188" s="116"/>
      <c r="F188" s="116"/>
      <c r="G188" s="164"/>
      <c r="H188" s="120"/>
      <c r="I188" s="140"/>
      <c r="J188" s="120"/>
      <c r="K188" s="121"/>
      <c r="L188" s="221"/>
      <c r="M188" s="191"/>
    </row>
    <row r="189" spans="1:13" ht="5.0999999999999996" customHeight="1" thickBot="1" x14ac:dyDescent="0.3">
      <c r="A189" s="217"/>
      <c r="B189" s="212"/>
      <c r="C189" s="213"/>
      <c r="D189" s="213"/>
      <c r="E189" s="214"/>
      <c r="F189" s="214"/>
      <c r="G189" s="215"/>
      <c r="H189" s="218"/>
      <c r="I189" s="140"/>
      <c r="J189" s="218"/>
      <c r="K189" s="220"/>
      <c r="L189" s="221"/>
      <c r="M189" s="191"/>
    </row>
    <row r="190" spans="1:13" ht="15" customHeight="1" x14ac:dyDescent="0.25">
      <c r="A190" s="126"/>
      <c r="B190" s="148"/>
      <c r="C190" s="124"/>
      <c r="D190" s="149"/>
      <c r="E190" s="150"/>
      <c r="F190" s="150"/>
      <c r="G190" s="128"/>
      <c r="H190" s="128"/>
      <c r="I190" s="140"/>
      <c r="J190" s="324"/>
      <c r="K190" s="223"/>
      <c r="L190" s="112"/>
      <c r="M190" s="166"/>
    </row>
    <row r="191" spans="1:13" ht="15" customHeight="1" thickBot="1" x14ac:dyDescent="0.3">
      <c r="A191" s="126"/>
      <c r="B191" s="129"/>
      <c r="C191" s="124"/>
      <c r="D191" s="149"/>
      <c r="E191" s="150"/>
      <c r="F191" s="150"/>
      <c r="G191" s="128"/>
      <c r="H191" s="128"/>
      <c r="I191" s="140"/>
      <c r="J191" s="112"/>
      <c r="K191" s="166"/>
      <c r="L191" s="118"/>
      <c r="M191" s="166"/>
    </row>
    <row r="192" spans="1:13" ht="15" customHeight="1" x14ac:dyDescent="0.25">
      <c r="A192" s="126"/>
      <c r="B192" s="129"/>
      <c r="C192" s="124"/>
      <c r="D192" s="149"/>
      <c r="E192" s="150"/>
      <c r="F192" s="150"/>
      <c r="G192" s="128"/>
      <c r="H192" s="128"/>
      <c r="I192" s="140"/>
      <c r="J192" s="194" t="s">
        <v>39</v>
      </c>
      <c r="K192" s="223"/>
      <c r="L192" s="118"/>
      <c r="M192" s="166"/>
    </row>
    <row r="193" spans="1:13" ht="15" customHeight="1" thickBot="1" x14ac:dyDescent="0.3">
      <c r="A193" s="126"/>
      <c r="B193" s="129"/>
      <c r="C193" s="124"/>
      <c r="D193" s="149"/>
      <c r="E193" s="150"/>
      <c r="F193" s="150"/>
      <c r="G193" s="128"/>
      <c r="H193" s="128"/>
      <c r="I193" s="140"/>
      <c r="J193" s="112"/>
      <c r="K193" s="166"/>
      <c r="L193" s="118"/>
      <c r="M193" s="166"/>
    </row>
    <row r="194" spans="1:13" ht="15" customHeight="1" x14ac:dyDescent="0.25">
      <c r="A194" s="126"/>
      <c r="B194" s="129"/>
      <c r="C194" s="124"/>
      <c r="D194" s="149"/>
      <c r="E194" s="150"/>
      <c r="F194" s="150"/>
      <c r="G194" s="128"/>
      <c r="H194" s="128"/>
      <c r="I194" s="140"/>
      <c r="J194" s="194" t="s">
        <v>40</v>
      </c>
      <c r="K194" s="223"/>
      <c r="L194" s="118"/>
      <c r="M194" s="166"/>
    </row>
    <row r="195" spans="1:13" ht="15" customHeight="1" thickBot="1" x14ac:dyDescent="0.3">
      <c r="A195" s="126"/>
      <c r="B195" s="129"/>
      <c r="C195" s="124"/>
      <c r="D195" s="149"/>
      <c r="E195" s="150"/>
      <c r="F195" s="150"/>
      <c r="G195" s="128"/>
      <c r="H195" s="128"/>
      <c r="I195" s="140"/>
      <c r="J195" s="112"/>
      <c r="K195" s="166"/>
      <c r="L195" s="118"/>
      <c r="M195" s="166"/>
    </row>
    <row r="196" spans="1:13" ht="15" customHeight="1" x14ac:dyDescent="0.25">
      <c r="A196" s="126"/>
      <c r="B196" s="129"/>
      <c r="C196" s="124"/>
      <c r="D196" s="149"/>
      <c r="E196" s="150"/>
      <c r="F196" s="150"/>
      <c r="G196" s="128"/>
      <c r="H196" s="128"/>
      <c r="I196" s="140"/>
      <c r="J196" s="194" t="s">
        <v>41</v>
      </c>
      <c r="K196" s="223"/>
      <c r="L196" s="118"/>
      <c r="M196" s="166"/>
    </row>
    <row r="197" spans="1:13" ht="15" customHeight="1" thickBot="1" x14ac:dyDescent="0.3">
      <c r="A197" s="126"/>
      <c r="B197" s="129"/>
      <c r="C197" s="124"/>
      <c r="D197" s="149"/>
      <c r="E197" s="150"/>
      <c r="F197" s="150"/>
      <c r="G197" s="128"/>
      <c r="H197" s="128"/>
      <c r="I197" s="140"/>
      <c r="J197" s="112"/>
      <c r="K197" s="166"/>
      <c r="L197" s="118"/>
      <c r="M197" s="166"/>
    </row>
    <row r="198" spans="1:13" ht="15" customHeight="1" x14ac:dyDescent="0.25">
      <c r="A198" s="126"/>
      <c r="B198" s="129"/>
      <c r="C198" s="124"/>
      <c r="D198" s="149"/>
      <c r="E198" s="150"/>
      <c r="F198" s="150"/>
      <c r="G198" s="128"/>
      <c r="H198" s="128"/>
      <c r="I198" s="140"/>
      <c r="J198" s="194" t="s">
        <v>42</v>
      </c>
      <c r="K198" s="223"/>
      <c r="L198" s="111"/>
      <c r="M198" s="166"/>
    </row>
    <row r="199" spans="1:13" ht="15" customHeight="1" thickBot="1" x14ac:dyDescent="0.3">
      <c r="A199" s="126"/>
      <c r="B199" s="129"/>
      <c r="C199" s="124"/>
      <c r="D199" s="149"/>
      <c r="E199" s="150"/>
      <c r="F199" s="150"/>
      <c r="G199" s="128"/>
      <c r="H199" s="128"/>
      <c r="I199" s="140"/>
      <c r="J199" s="112"/>
      <c r="K199" s="166"/>
      <c r="L199" s="111"/>
      <c r="M199" s="166"/>
    </row>
    <row r="200" spans="1:13" ht="15" customHeight="1" x14ac:dyDescent="0.25">
      <c r="A200" s="126"/>
      <c r="B200" s="129"/>
      <c r="C200" s="124"/>
      <c r="D200" s="149"/>
      <c r="E200" s="150"/>
      <c r="F200" s="150"/>
      <c r="G200" s="128"/>
      <c r="H200" s="128"/>
      <c r="I200" s="140"/>
      <c r="J200" s="193" t="s">
        <v>43</v>
      </c>
      <c r="K200" s="223"/>
      <c r="L200" s="111"/>
      <c r="M200" s="166"/>
    </row>
    <row r="201" spans="1:13" ht="15" customHeight="1" x14ac:dyDescent="0.25">
      <c r="A201" s="126"/>
      <c r="B201" s="129"/>
      <c r="C201" s="124"/>
      <c r="D201" s="149"/>
      <c r="E201" s="150"/>
      <c r="F201" s="150"/>
      <c r="G201" s="128"/>
      <c r="H201" s="128"/>
      <c r="I201" s="140"/>
      <c r="J201" s="112"/>
      <c r="K201" s="166"/>
      <c r="L201" s="111"/>
      <c r="M201" s="166"/>
    </row>
    <row r="202" spans="1:13" ht="15" customHeight="1" x14ac:dyDescent="0.25">
      <c r="A202" s="126"/>
      <c r="B202" s="129"/>
      <c r="C202" s="124"/>
      <c r="D202" s="149"/>
      <c r="E202" s="150"/>
      <c r="F202" s="150"/>
      <c r="G202" s="128"/>
      <c r="H202" s="128"/>
      <c r="I202" s="140"/>
      <c r="J202" s="194" t="s">
        <v>44</v>
      </c>
      <c r="K202" s="224"/>
      <c r="L202" s="111"/>
      <c r="M202" s="166"/>
    </row>
    <row r="203" spans="1:13" ht="15" customHeight="1" x14ac:dyDescent="0.25">
      <c r="A203" s="126"/>
      <c r="B203" s="129"/>
      <c r="C203" s="124"/>
      <c r="D203" s="149"/>
      <c r="E203" s="150"/>
      <c r="F203" s="150"/>
      <c r="G203" s="128"/>
      <c r="H203" s="128"/>
      <c r="I203" s="140"/>
      <c r="J203" s="112"/>
      <c r="K203" s="166"/>
      <c r="L203" s="111"/>
      <c r="M203" s="166"/>
    </row>
    <row r="204" spans="1:13" ht="15" customHeight="1" x14ac:dyDescent="0.25">
      <c r="A204" s="130"/>
      <c r="B204" s="129"/>
      <c r="C204" s="124"/>
      <c r="D204" s="149"/>
      <c r="E204" s="150"/>
      <c r="F204" s="150"/>
      <c r="G204" s="128"/>
      <c r="H204" s="128"/>
      <c r="I204" s="140"/>
      <c r="J204" s="194" t="s">
        <v>45</v>
      </c>
      <c r="K204" s="224"/>
      <c r="L204" s="111"/>
      <c r="M204" s="166"/>
    </row>
    <row r="205" spans="1:13" ht="5.0999999999999996" customHeight="1" x14ac:dyDescent="0.25">
      <c r="A205" s="140"/>
      <c r="B205" s="140"/>
      <c r="C205" s="140"/>
      <c r="D205" s="140"/>
      <c r="E205" s="140"/>
      <c r="F205" s="140"/>
      <c r="G205" s="140"/>
      <c r="H205" s="140"/>
      <c r="I205" s="140"/>
      <c r="J205" s="112"/>
      <c r="K205" s="166"/>
      <c r="L205" s="111"/>
      <c r="M205" s="191"/>
    </row>
    <row r="206" spans="1:13" ht="16.5" thickBot="1" x14ac:dyDescent="0.3">
      <c r="A206" s="113"/>
      <c r="B206" s="114"/>
      <c r="C206" s="115"/>
      <c r="D206" s="115"/>
      <c r="E206" s="116"/>
      <c r="F206" s="116"/>
      <c r="G206" s="164"/>
      <c r="H206" s="120"/>
      <c r="I206" s="140"/>
      <c r="J206" s="120"/>
      <c r="K206" s="121"/>
      <c r="L206" s="221"/>
      <c r="M206" s="191"/>
    </row>
    <row r="207" spans="1:13" ht="5.0999999999999996" customHeight="1" thickBot="1" x14ac:dyDescent="0.3">
      <c r="A207" s="217"/>
      <c r="B207" s="212"/>
      <c r="C207" s="213"/>
      <c r="D207" s="213"/>
      <c r="E207" s="214"/>
      <c r="F207" s="214"/>
      <c r="G207" s="215"/>
      <c r="H207" s="218"/>
      <c r="I207" s="140"/>
      <c r="J207" s="218"/>
      <c r="K207" s="220"/>
      <c r="L207" s="221"/>
      <c r="M207" s="191"/>
    </row>
    <row r="208" spans="1:13" ht="15" customHeight="1" x14ac:dyDescent="0.25">
      <c r="A208" s="126"/>
      <c r="B208" s="148"/>
      <c r="C208" s="124"/>
      <c r="D208" s="149"/>
      <c r="E208" s="150"/>
      <c r="F208" s="150"/>
      <c r="G208" s="128"/>
      <c r="H208" s="128"/>
      <c r="I208" s="140"/>
      <c r="J208" s="315"/>
      <c r="K208" s="223"/>
      <c r="L208" s="112"/>
      <c r="M208" s="166"/>
    </row>
    <row r="209" spans="1:13" ht="15" customHeight="1" thickBot="1" x14ac:dyDescent="0.3">
      <c r="A209" s="126"/>
      <c r="B209" s="129"/>
      <c r="C209" s="124"/>
      <c r="D209" s="149"/>
      <c r="E209" s="150"/>
      <c r="F209" s="150"/>
      <c r="G209" s="128"/>
      <c r="H209" s="128"/>
      <c r="I209" s="140"/>
      <c r="J209" s="112"/>
      <c r="K209" s="166"/>
      <c r="L209" s="118"/>
      <c r="M209" s="166"/>
    </row>
    <row r="210" spans="1:13" ht="15" customHeight="1" x14ac:dyDescent="0.25">
      <c r="A210" s="126"/>
      <c r="B210" s="129"/>
      <c r="C210" s="124"/>
      <c r="D210" s="149"/>
      <c r="E210" s="150"/>
      <c r="F210" s="150"/>
      <c r="G210" s="128"/>
      <c r="H210" s="128"/>
      <c r="I210" s="140"/>
      <c r="J210" s="194" t="s">
        <v>39</v>
      </c>
      <c r="K210" s="223"/>
      <c r="L210" s="118"/>
      <c r="M210" s="166"/>
    </row>
    <row r="211" spans="1:13" ht="15" customHeight="1" thickBot="1" x14ac:dyDescent="0.3">
      <c r="A211" s="126"/>
      <c r="B211" s="129"/>
      <c r="C211" s="124"/>
      <c r="D211" s="149"/>
      <c r="E211" s="150"/>
      <c r="F211" s="150"/>
      <c r="G211" s="128"/>
      <c r="H211" s="128"/>
      <c r="I211" s="140"/>
      <c r="J211" s="112"/>
      <c r="K211" s="166"/>
      <c r="L211" s="118"/>
      <c r="M211" s="166"/>
    </row>
    <row r="212" spans="1:13" ht="15" customHeight="1" x14ac:dyDescent="0.25">
      <c r="A212" s="126"/>
      <c r="B212" s="129"/>
      <c r="C212" s="124"/>
      <c r="D212" s="149"/>
      <c r="E212" s="150"/>
      <c r="F212" s="150"/>
      <c r="G212" s="128"/>
      <c r="H212" s="128"/>
      <c r="I212" s="140"/>
      <c r="J212" s="194" t="s">
        <v>40</v>
      </c>
      <c r="K212" s="223"/>
      <c r="L212" s="118"/>
      <c r="M212" s="166"/>
    </row>
    <row r="213" spans="1:13" ht="15" customHeight="1" thickBot="1" x14ac:dyDescent="0.3">
      <c r="A213" s="126"/>
      <c r="B213" s="129"/>
      <c r="C213" s="124"/>
      <c r="D213" s="149"/>
      <c r="E213" s="150"/>
      <c r="F213" s="150"/>
      <c r="G213" s="128"/>
      <c r="H213" s="128"/>
      <c r="I213" s="140"/>
      <c r="J213" s="112"/>
      <c r="K213" s="166"/>
      <c r="L213" s="118"/>
      <c r="M213" s="166"/>
    </row>
    <row r="214" spans="1:13" ht="15" customHeight="1" x14ac:dyDescent="0.25">
      <c r="A214" s="126"/>
      <c r="B214" s="129"/>
      <c r="C214" s="124"/>
      <c r="D214" s="149"/>
      <c r="E214" s="150"/>
      <c r="F214" s="150"/>
      <c r="G214" s="128"/>
      <c r="H214" s="128"/>
      <c r="I214" s="140"/>
      <c r="J214" s="194" t="s">
        <v>41</v>
      </c>
      <c r="K214" s="223"/>
      <c r="L214" s="118"/>
      <c r="M214" s="166"/>
    </row>
    <row r="215" spans="1:13" ht="15" customHeight="1" thickBot="1" x14ac:dyDescent="0.3">
      <c r="A215" s="126"/>
      <c r="B215" s="129"/>
      <c r="C215" s="124"/>
      <c r="D215" s="149"/>
      <c r="E215" s="150"/>
      <c r="F215" s="150"/>
      <c r="G215" s="128"/>
      <c r="H215" s="128"/>
      <c r="I215" s="140"/>
      <c r="J215" s="112"/>
      <c r="K215" s="166"/>
      <c r="L215" s="118"/>
      <c r="M215" s="166"/>
    </row>
    <row r="216" spans="1:13" ht="15" customHeight="1" x14ac:dyDescent="0.25">
      <c r="A216" s="126"/>
      <c r="B216" s="129"/>
      <c r="C216" s="124"/>
      <c r="D216" s="149"/>
      <c r="E216" s="150"/>
      <c r="F216" s="150"/>
      <c r="G216" s="128"/>
      <c r="H216" s="128"/>
      <c r="I216" s="140"/>
      <c r="J216" s="194" t="s">
        <v>42</v>
      </c>
      <c r="K216" s="223"/>
      <c r="L216" s="111"/>
      <c r="M216" s="166"/>
    </row>
    <row r="217" spans="1:13" ht="15" customHeight="1" thickBot="1" x14ac:dyDescent="0.3">
      <c r="A217" s="126"/>
      <c r="B217" s="129"/>
      <c r="C217" s="124"/>
      <c r="D217" s="149"/>
      <c r="E217" s="150"/>
      <c r="F217" s="150"/>
      <c r="G217" s="128"/>
      <c r="H217" s="128"/>
      <c r="I217" s="140"/>
      <c r="J217" s="112"/>
      <c r="K217" s="166"/>
      <c r="L217" s="111"/>
      <c r="M217" s="166"/>
    </row>
    <row r="218" spans="1:13" ht="15" customHeight="1" x14ac:dyDescent="0.25">
      <c r="A218" s="126"/>
      <c r="B218" s="129"/>
      <c r="C218" s="124"/>
      <c r="D218" s="149"/>
      <c r="E218" s="150"/>
      <c r="F218" s="150"/>
      <c r="G218" s="128"/>
      <c r="H218" s="128"/>
      <c r="I218" s="140"/>
      <c r="J218" s="193" t="s">
        <v>43</v>
      </c>
      <c r="K218" s="223"/>
      <c r="L218" s="111"/>
      <c r="M218" s="166"/>
    </row>
    <row r="219" spans="1:13" ht="15" customHeight="1" x14ac:dyDescent="0.25">
      <c r="A219" s="126"/>
      <c r="B219" s="129"/>
      <c r="C219" s="124"/>
      <c r="D219" s="149"/>
      <c r="E219" s="150"/>
      <c r="F219" s="150"/>
      <c r="G219" s="128"/>
      <c r="H219" s="128"/>
      <c r="I219" s="140"/>
      <c r="J219" s="112"/>
      <c r="K219" s="166"/>
      <c r="L219" s="111"/>
      <c r="M219" s="166"/>
    </row>
    <row r="220" spans="1:13" ht="15" customHeight="1" x14ac:dyDescent="0.25">
      <c r="A220" s="126"/>
      <c r="B220" s="129"/>
      <c r="C220" s="124"/>
      <c r="D220" s="149"/>
      <c r="E220" s="150"/>
      <c r="F220" s="150"/>
      <c r="G220" s="128"/>
      <c r="H220" s="128"/>
      <c r="I220" s="140"/>
      <c r="J220" s="194" t="s">
        <v>44</v>
      </c>
      <c r="K220" s="224"/>
      <c r="L220" s="111"/>
      <c r="M220" s="166"/>
    </row>
    <row r="221" spans="1:13" ht="15" customHeight="1" x14ac:dyDescent="0.25">
      <c r="A221" s="126"/>
      <c r="B221" s="129"/>
      <c r="C221" s="124"/>
      <c r="D221" s="149"/>
      <c r="E221" s="150"/>
      <c r="F221" s="150"/>
      <c r="G221" s="128"/>
      <c r="H221" s="128"/>
      <c r="I221" s="140"/>
      <c r="J221" s="112"/>
      <c r="K221" s="166"/>
      <c r="L221" s="111"/>
      <c r="M221" s="166"/>
    </row>
    <row r="222" spans="1:13" ht="15" customHeight="1" x14ac:dyDescent="0.25">
      <c r="A222" s="130"/>
      <c r="B222" s="129"/>
      <c r="C222" s="124"/>
      <c r="D222" s="149"/>
      <c r="E222" s="150"/>
      <c r="F222" s="150"/>
      <c r="G222" s="128"/>
      <c r="H222" s="128"/>
      <c r="I222" s="140"/>
      <c r="J222" s="194" t="s">
        <v>45</v>
      </c>
      <c r="K222" s="224"/>
      <c r="L222" s="111"/>
      <c r="M222" s="166"/>
    </row>
    <row r="223" spans="1:13" ht="5.0999999999999996" customHeight="1" x14ac:dyDescent="0.25">
      <c r="A223" s="140"/>
      <c r="B223" s="140"/>
      <c r="C223" s="140"/>
      <c r="D223" s="140"/>
      <c r="E223" s="140"/>
      <c r="F223" s="140"/>
      <c r="G223" s="140"/>
      <c r="H223" s="140"/>
      <c r="I223" s="140"/>
      <c r="J223" s="112"/>
      <c r="K223" s="166"/>
      <c r="L223" s="111"/>
      <c r="M223" s="191"/>
    </row>
    <row r="224" spans="1:13" ht="16.5" thickBot="1" x14ac:dyDescent="0.3">
      <c r="A224" s="113"/>
      <c r="B224" s="114"/>
      <c r="C224" s="115"/>
      <c r="D224" s="115"/>
      <c r="E224" s="116"/>
      <c r="F224" s="116"/>
      <c r="G224" s="164"/>
      <c r="H224" s="120"/>
      <c r="I224" s="140"/>
      <c r="J224" s="120"/>
      <c r="K224" s="121"/>
      <c r="L224" s="221"/>
      <c r="M224" s="191"/>
    </row>
    <row r="225" spans="1:13" ht="5.0999999999999996" customHeight="1" thickBot="1" x14ac:dyDescent="0.3">
      <c r="A225" s="217"/>
      <c r="B225" s="212"/>
      <c r="C225" s="213"/>
      <c r="D225" s="213"/>
      <c r="E225" s="214"/>
      <c r="F225" s="214"/>
      <c r="G225" s="215"/>
      <c r="H225" s="218"/>
      <c r="I225" s="140"/>
      <c r="J225" s="218"/>
      <c r="K225" s="220"/>
      <c r="L225" s="221"/>
      <c r="M225" s="191"/>
    </row>
    <row r="226" spans="1:13" ht="15" customHeight="1" x14ac:dyDescent="0.25">
      <c r="A226" s="318"/>
      <c r="B226" s="148"/>
      <c r="C226" s="123"/>
      <c r="D226" s="149"/>
      <c r="E226" s="150"/>
      <c r="F226" s="150"/>
      <c r="G226" s="127"/>
      <c r="H226" s="189"/>
      <c r="I226" s="140"/>
      <c r="J226" s="325"/>
      <c r="K226" s="192"/>
      <c r="L226" s="191"/>
      <c r="M226" s="165"/>
    </row>
    <row r="227" spans="1:13" ht="15" customHeight="1" x14ac:dyDescent="0.25">
      <c r="A227" s="318"/>
      <c r="B227" s="129"/>
      <c r="C227" s="124"/>
      <c r="D227" s="149"/>
      <c r="E227" s="150"/>
      <c r="F227" s="150"/>
      <c r="G227" s="128"/>
      <c r="H227" s="128"/>
      <c r="I227" s="140"/>
      <c r="J227" s="112"/>
      <c r="K227" s="165"/>
      <c r="L227" s="111"/>
      <c r="M227" s="165"/>
    </row>
    <row r="228" spans="1:13" ht="15" customHeight="1" x14ac:dyDescent="0.25">
      <c r="A228" s="126"/>
      <c r="B228" s="129"/>
      <c r="C228" s="124"/>
      <c r="D228" s="149"/>
      <c r="E228" s="150"/>
      <c r="F228" s="150"/>
      <c r="G228" s="128"/>
      <c r="H228" s="128"/>
      <c r="I228" s="140"/>
      <c r="J228" s="194" t="s">
        <v>39</v>
      </c>
      <c r="K228" s="192"/>
      <c r="L228" s="111"/>
      <c r="M228" s="165"/>
    </row>
    <row r="229" spans="1:13" ht="15" customHeight="1" x14ac:dyDescent="0.25">
      <c r="A229" s="126"/>
      <c r="B229" s="129"/>
      <c r="C229" s="124"/>
      <c r="D229" s="149"/>
      <c r="E229" s="150"/>
      <c r="F229" s="150"/>
      <c r="G229" s="128"/>
      <c r="H229" s="128"/>
      <c r="I229" s="140"/>
      <c r="J229" s="112"/>
      <c r="K229" s="165"/>
      <c r="L229" s="111"/>
      <c r="M229" s="165"/>
    </row>
    <row r="230" spans="1:13" ht="15" customHeight="1" x14ac:dyDescent="0.25">
      <c r="A230" s="126"/>
      <c r="B230" s="129"/>
      <c r="C230" s="124"/>
      <c r="D230" s="149"/>
      <c r="E230" s="150"/>
      <c r="F230" s="150"/>
      <c r="G230" s="128"/>
      <c r="H230" s="128"/>
      <c r="I230" s="140"/>
      <c r="J230" s="194" t="s">
        <v>40</v>
      </c>
      <c r="K230" s="195"/>
      <c r="L230" s="111"/>
      <c r="M230" s="165"/>
    </row>
    <row r="231" spans="1:13" ht="15" customHeight="1" x14ac:dyDescent="0.25">
      <c r="A231" s="126"/>
      <c r="B231" s="129"/>
      <c r="C231" s="124"/>
      <c r="D231" s="149"/>
      <c r="E231" s="150"/>
      <c r="F231" s="150"/>
      <c r="G231" s="128"/>
      <c r="H231" s="128"/>
      <c r="I231" s="140"/>
      <c r="J231" s="112"/>
      <c r="K231" s="165"/>
      <c r="L231" s="111"/>
      <c r="M231" s="165"/>
    </row>
    <row r="232" spans="1:13" ht="15" customHeight="1" x14ac:dyDescent="0.25">
      <c r="A232" s="126"/>
      <c r="B232" s="129"/>
      <c r="C232" s="124"/>
      <c r="D232" s="149"/>
      <c r="E232" s="150"/>
      <c r="F232" s="150"/>
      <c r="G232" s="128"/>
      <c r="H232" s="128"/>
      <c r="I232" s="140"/>
      <c r="J232" s="194" t="s">
        <v>41</v>
      </c>
      <c r="K232" s="195"/>
      <c r="L232" s="111"/>
      <c r="M232" s="165"/>
    </row>
    <row r="233" spans="1:13" ht="15" customHeight="1" x14ac:dyDescent="0.25">
      <c r="A233" s="126"/>
      <c r="B233" s="129"/>
      <c r="C233" s="124"/>
      <c r="D233" s="149"/>
      <c r="E233" s="150"/>
      <c r="F233" s="150"/>
      <c r="G233" s="128"/>
      <c r="H233" s="128"/>
      <c r="I233" s="140"/>
      <c r="J233" s="112"/>
      <c r="K233" s="165"/>
      <c r="L233" s="111"/>
      <c r="M233" s="165"/>
    </row>
    <row r="234" spans="1:13" ht="15" customHeight="1" x14ac:dyDescent="0.25">
      <c r="A234" s="126"/>
      <c r="B234" s="129"/>
      <c r="C234" s="124"/>
      <c r="D234" s="149"/>
      <c r="E234" s="150"/>
      <c r="F234" s="150"/>
      <c r="G234" s="128"/>
      <c r="H234" s="128"/>
      <c r="I234" s="140"/>
      <c r="J234" s="194" t="s">
        <v>42</v>
      </c>
      <c r="K234" s="192"/>
      <c r="L234" s="111"/>
      <c r="M234" s="165"/>
    </row>
    <row r="235" spans="1:13" ht="15" customHeight="1" x14ac:dyDescent="0.25">
      <c r="A235" s="126"/>
      <c r="B235" s="129"/>
      <c r="C235" s="124"/>
      <c r="D235" s="149"/>
      <c r="E235" s="150"/>
      <c r="F235" s="150"/>
      <c r="G235" s="128"/>
      <c r="H235" s="128"/>
      <c r="I235" s="140"/>
      <c r="J235" s="112"/>
      <c r="K235" s="165"/>
      <c r="L235" s="111"/>
      <c r="M235" s="165"/>
    </row>
    <row r="236" spans="1:13" ht="15" customHeight="1" x14ac:dyDescent="0.25">
      <c r="A236" s="126"/>
      <c r="B236" s="129"/>
      <c r="C236" s="124"/>
      <c r="D236" s="149"/>
      <c r="E236" s="150"/>
      <c r="F236" s="150"/>
      <c r="G236" s="128"/>
      <c r="H236" s="128"/>
      <c r="I236" s="140"/>
      <c r="J236" s="193" t="s">
        <v>43</v>
      </c>
      <c r="K236" s="195"/>
      <c r="L236" s="111"/>
      <c r="M236" s="165"/>
    </row>
    <row r="237" spans="1:13" ht="15" customHeight="1" x14ac:dyDescent="0.25">
      <c r="A237" s="126"/>
      <c r="B237" s="129"/>
      <c r="C237" s="124"/>
      <c r="D237" s="149"/>
      <c r="E237" s="150"/>
      <c r="F237" s="150"/>
      <c r="G237" s="128"/>
      <c r="H237" s="128"/>
      <c r="I237" s="140"/>
      <c r="J237" s="112"/>
      <c r="K237" s="165"/>
      <c r="L237" s="111"/>
      <c r="M237" s="165"/>
    </row>
    <row r="238" spans="1:13" ht="15" customHeight="1" x14ac:dyDescent="0.25">
      <c r="A238" s="126"/>
      <c r="B238" s="129"/>
      <c r="C238" s="124"/>
      <c r="D238" s="149"/>
      <c r="E238" s="150"/>
      <c r="F238" s="150"/>
      <c r="G238" s="128"/>
      <c r="H238" s="128"/>
      <c r="I238" s="140"/>
      <c r="J238" s="194" t="s">
        <v>44</v>
      </c>
      <c r="K238" s="195"/>
      <c r="L238" s="111"/>
      <c r="M238" s="165"/>
    </row>
    <row r="239" spans="1:13" ht="15" customHeight="1" x14ac:dyDescent="0.25">
      <c r="A239" s="126"/>
      <c r="B239" s="129"/>
      <c r="C239" s="124"/>
      <c r="D239" s="149"/>
      <c r="E239" s="150"/>
      <c r="F239" s="150"/>
      <c r="G239" s="128"/>
      <c r="H239" s="128"/>
      <c r="I239" s="140"/>
      <c r="J239" s="112"/>
      <c r="K239" s="165"/>
      <c r="L239" s="111"/>
      <c r="M239" s="165"/>
    </row>
    <row r="240" spans="1:13" ht="15" customHeight="1" x14ac:dyDescent="0.25">
      <c r="A240" s="130"/>
      <c r="B240" s="129"/>
      <c r="C240" s="124"/>
      <c r="D240" s="149"/>
      <c r="E240" s="150"/>
      <c r="F240" s="150"/>
      <c r="G240" s="128"/>
      <c r="H240" s="128"/>
      <c r="I240" s="140"/>
      <c r="J240" s="194" t="s">
        <v>45</v>
      </c>
      <c r="K240" s="196"/>
      <c r="L240" s="111"/>
      <c r="M240" s="165"/>
    </row>
    <row r="241" spans="1:13" ht="5.0999999999999996" customHeight="1" x14ac:dyDescent="0.25">
      <c r="A241" s="140"/>
      <c r="B241" s="140"/>
      <c r="C241" s="140"/>
      <c r="D241" s="140"/>
      <c r="E241" s="140"/>
      <c r="F241" s="140"/>
      <c r="G241" s="140"/>
      <c r="H241" s="140"/>
      <c r="I241" s="140"/>
      <c r="J241" s="194"/>
      <c r="K241" s="197"/>
      <c r="L241" s="111"/>
      <c r="M241" s="191"/>
    </row>
    <row r="242" spans="1:13" ht="16.5" thickBot="1" x14ac:dyDescent="0.3">
      <c r="A242" s="113"/>
      <c r="B242" s="114"/>
      <c r="C242" s="115"/>
      <c r="D242" s="115"/>
      <c r="E242" s="116"/>
      <c r="F242" s="116"/>
      <c r="G242" s="164"/>
      <c r="H242" s="120"/>
      <c r="I242" s="140"/>
      <c r="J242" s="119"/>
      <c r="K242" s="119"/>
      <c r="L242" s="210"/>
      <c r="M242" s="191"/>
    </row>
    <row r="243" spans="1:13" ht="5.0999999999999996" customHeight="1" thickBot="1" x14ac:dyDescent="0.3">
      <c r="A243" s="217"/>
      <c r="B243" s="212"/>
      <c r="C243" s="213"/>
      <c r="D243" s="213"/>
      <c r="E243" s="214"/>
      <c r="F243" s="214"/>
      <c r="G243" s="215"/>
      <c r="H243" s="218"/>
      <c r="I243" s="140"/>
      <c r="J243" s="210"/>
      <c r="K243" s="210"/>
      <c r="L243" s="210"/>
      <c r="M243" s="191"/>
    </row>
    <row r="244" spans="1:13" s="73" customFormat="1" ht="15" customHeight="1" thickBot="1" x14ac:dyDescent="0.3">
      <c r="A244" s="125"/>
      <c r="B244" s="148"/>
      <c r="C244" s="123"/>
      <c r="D244" s="149"/>
      <c r="E244" s="150"/>
      <c r="F244" s="150"/>
      <c r="G244" s="127"/>
      <c r="H244" s="189"/>
      <c r="I244" s="140"/>
      <c r="J244" s="209"/>
      <c r="K244" s="222"/>
      <c r="L244" s="112"/>
      <c r="M244" s="166"/>
    </row>
    <row r="245" spans="1:13" ht="15" customHeight="1" thickBot="1" x14ac:dyDescent="0.3">
      <c r="A245" s="126"/>
      <c r="B245" s="129"/>
      <c r="C245" s="124"/>
      <c r="D245" s="149"/>
      <c r="E245" s="150"/>
      <c r="F245" s="150"/>
      <c r="G245" s="128"/>
      <c r="H245" s="128"/>
      <c r="I245" s="140"/>
      <c r="J245" s="112"/>
      <c r="K245" s="166"/>
      <c r="L245" s="118"/>
      <c r="M245" s="166"/>
    </row>
    <row r="246" spans="1:13" ht="15" customHeight="1" x14ac:dyDescent="0.25">
      <c r="A246" s="126"/>
      <c r="B246" s="129"/>
      <c r="C246" s="124"/>
      <c r="D246" s="149"/>
      <c r="E246" s="150"/>
      <c r="F246" s="150"/>
      <c r="G246" s="128"/>
      <c r="H246" s="128"/>
      <c r="I246" s="140"/>
      <c r="J246" s="194" t="s">
        <v>39</v>
      </c>
      <c r="K246" s="222"/>
      <c r="L246" s="118"/>
      <c r="M246" s="166"/>
    </row>
    <row r="247" spans="1:13" ht="15" customHeight="1" thickBot="1" x14ac:dyDescent="0.3">
      <c r="A247" s="126"/>
      <c r="B247" s="129"/>
      <c r="C247" s="124"/>
      <c r="D247" s="149"/>
      <c r="E247" s="150"/>
      <c r="F247" s="150"/>
      <c r="G247" s="128"/>
      <c r="H247" s="128"/>
      <c r="I247" s="140"/>
      <c r="J247" s="112"/>
      <c r="K247" s="166"/>
      <c r="L247" s="118"/>
      <c r="M247" s="166"/>
    </row>
    <row r="248" spans="1:13" ht="15" customHeight="1" x14ac:dyDescent="0.25">
      <c r="A248" s="126"/>
      <c r="B248" s="129"/>
      <c r="C248" s="124"/>
      <c r="D248" s="149"/>
      <c r="E248" s="150"/>
      <c r="F248" s="150"/>
      <c r="G248" s="128"/>
      <c r="H248" s="128"/>
      <c r="I248" s="140"/>
      <c r="J248" s="194" t="s">
        <v>40</v>
      </c>
      <c r="K248" s="223"/>
      <c r="L248" s="118"/>
      <c r="M248" s="166"/>
    </row>
    <row r="249" spans="1:13" ht="15" customHeight="1" thickBot="1" x14ac:dyDescent="0.3">
      <c r="A249" s="126"/>
      <c r="B249" s="129"/>
      <c r="C249" s="124"/>
      <c r="D249" s="149"/>
      <c r="E249" s="150"/>
      <c r="F249" s="150"/>
      <c r="G249" s="128"/>
      <c r="H249" s="128"/>
      <c r="I249" s="140"/>
      <c r="J249" s="112"/>
      <c r="K249" s="166"/>
      <c r="L249" s="118"/>
      <c r="M249" s="166"/>
    </row>
    <row r="250" spans="1:13" ht="15" customHeight="1" x14ac:dyDescent="0.25">
      <c r="A250" s="126"/>
      <c r="B250" s="129"/>
      <c r="C250" s="124"/>
      <c r="D250" s="149"/>
      <c r="E250" s="150"/>
      <c r="F250" s="150"/>
      <c r="G250" s="128"/>
      <c r="H250" s="128"/>
      <c r="I250" s="140"/>
      <c r="J250" s="194" t="s">
        <v>41</v>
      </c>
      <c r="K250" s="223"/>
      <c r="L250" s="118"/>
      <c r="M250" s="166"/>
    </row>
    <row r="251" spans="1:13" ht="15" customHeight="1" thickBot="1" x14ac:dyDescent="0.3">
      <c r="A251" s="126"/>
      <c r="B251" s="129"/>
      <c r="C251" s="124"/>
      <c r="D251" s="149"/>
      <c r="E251" s="150"/>
      <c r="F251" s="150"/>
      <c r="G251" s="128"/>
      <c r="H251" s="128"/>
      <c r="I251" s="140"/>
      <c r="J251" s="112"/>
      <c r="K251" s="166"/>
      <c r="L251" s="118"/>
      <c r="M251" s="166"/>
    </row>
    <row r="252" spans="1:13" ht="15" customHeight="1" x14ac:dyDescent="0.25">
      <c r="A252" s="126"/>
      <c r="B252" s="129"/>
      <c r="C252" s="124"/>
      <c r="D252" s="149"/>
      <c r="E252" s="150"/>
      <c r="F252" s="150"/>
      <c r="G252" s="128"/>
      <c r="H252" s="128"/>
      <c r="I252" s="140"/>
      <c r="J252" s="194" t="s">
        <v>42</v>
      </c>
      <c r="K252" s="222"/>
      <c r="L252" s="111"/>
      <c r="M252" s="166"/>
    </row>
    <row r="253" spans="1:13" ht="15" customHeight="1" thickBot="1" x14ac:dyDescent="0.3">
      <c r="A253" s="126"/>
      <c r="B253" s="129"/>
      <c r="C253" s="124"/>
      <c r="D253" s="149"/>
      <c r="E253" s="150"/>
      <c r="F253" s="150"/>
      <c r="G253" s="128"/>
      <c r="H253" s="128"/>
      <c r="I253" s="140"/>
      <c r="J253" s="112"/>
      <c r="K253" s="166"/>
      <c r="L253" s="111"/>
      <c r="M253" s="166"/>
    </row>
    <row r="254" spans="1:13" ht="15" customHeight="1" x14ac:dyDescent="0.25">
      <c r="A254" s="126"/>
      <c r="B254" s="129"/>
      <c r="C254" s="124"/>
      <c r="D254" s="149"/>
      <c r="E254" s="150"/>
      <c r="F254" s="150"/>
      <c r="G254" s="128"/>
      <c r="H254" s="128"/>
      <c r="I254" s="140"/>
      <c r="J254" s="193" t="s">
        <v>43</v>
      </c>
      <c r="K254" s="222"/>
      <c r="L254" s="111"/>
      <c r="M254" s="166"/>
    </row>
    <row r="255" spans="1:13" ht="15" customHeight="1" x14ac:dyDescent="0.25">
      <c r="A255" s="126"/>
      <c r="B255" s="129"/>
      <c r="C255" s="124"/>
      <c r="D255" s="149"/>
      <c r="E255" s="150"/>
      <c r="F255" s="150"/>
      <c r="G255" s="128"/>
      <c r="H255" s="128"/>
      <c r="I255" s="140"/>
      <c r="J255" s="112"/>
      <c r="K255" s="166"/>
      <c r="L255" s="111"/>
      <c r="M255" s="166"/>
    </row>
    <row r="256" spans="1:13" ht="15" customHeight="1" x14ac:dyDescent="0.25">
      <c r="A256" s="126"/>
      <c r="B256" s="129"/>
      <c r="C256" s="124"/>
      <c r="D256" s="149"/>
      <c r="E256" s="150"/>
      <c r="F256" s="150"/>
      <c r="G256" s="128"/>
      <c r="H256" s="128"/>
      <c r="I256" s="140"/>
      <c r="J256" s="194" t="s">
        <v>44</v>
      </c>
      <c r="K256" s="224"/>
      <c r="L256" s="111"/>
      <c r="M256" s="166"/>
    </row>
    <row r="257" spans="1:13" ht="15" customHeight="1" x14ac:dyDescent="0.25">
      <c r="A257" s="126"/>
      <c r="B257" s="129"/>
      <c r="C257" s="124"/>
      <c r="D257" s="149"/>
      <c r="E257" s="150"/>
      <c r="F257" s="150"/>
      <c r="G257" s="128"/>
      <c r="H257" s="128"/>
      <c r="I257" s="140"/>
      <c r="J257" s="112"/>
      <c r="K257" s="166"/>
      <c r="L257" s="111"/>
      <c r="M257" s="166"/>
    </row>
    <row r="258" spans="1:13" ht="15" customHeight="1" x14ac:dyDescent="0.25">
      <c r="A258" s="130"/>
      <c r="B258" s="129"/>
      <c r="C258" s="124"/>
      <c r="D258" s="149"/>
      <c r="E258" s="150"/>
      <c r="F258" s="150"/>
      <c r="G258" s="128"/>
      <c r="H258" s="128"/>
      <c r="I258" s="140"/>
      <c r="J258" s="194" t="s">
        <v>45</v>
      </c>
      <c r="K258" s="224"/>
      <c r="L258" s="111"/>
      <c r="M258" s="166"/>
    </row>
    <row r="259" spans="1:13" ht="5.0999999999999996" customHeight="1" x14ac:dyDescent="0.25">
      <c r="A259" s="140"/>
      <c r="B259" s="140"/>
      <c r="C259" s="140"/>
      <c r="D259" s="140"/>
      <c r="E259" s="140"/>
      <c r="F259" s="140"/>
      <c r="G259" s="140"/>
      <c r="H259" s="140"/>
      <c r="I259" s="140"/>
      <c r="J259" s="194"/>
      <c r="K259" s="166"/>
      <c r="L259" s="111"/>
      <c r="M259" s="191"/>
    </row>
    <row r="260" spans="1:13" ht="16.5" thickBot="1" x14ac:dyDescent="0.3">
      <c r="A260" s="113"/>
      <c r="B260" s="114"/>
      <c r="C260" s="115"/>
      <c r="D260" s="115"/>
      <c r="E260" s="116"/>
      <c r="F260" s="116"/>
      <c r="G260" s="164"/>
      <c r="H260" s="120"/>
      <c r="I260" s="140"/>
      <c r="J260" s="120"/>
      <c r="K260" s="121"/>
      <c r="L260" s="221"/>
      <c r="M260" s="191"/>
    </row>
    <row r="261" spans="1:13" ht="5.0999999999999996" customHeight="1" thickBot="1" x14ac:dyDescent="0.3">
      <c r="A261" s="217"/>
      <c r="B261" s="212"/>
      <c r="C261" s="213"/>
      <c r="D261" s="213"/>
      <c r="E261" s="214"/>
      <c r="F261" s="214"/>
      <c r="G261" s="215"/>
      <c r="H261" s="218"/>
      <c r="I261" s="140"/>
      <c r="J261" s="219"/>
      <c r="K261" s="220"/>
      <c r="L261" s="221"/>
      <c r="M261" s="191"/>
    </row>
    <row r="262" spans="1:13" ht="15" customHeight="1" x14ac:dyDescent="0.25">
      <c r="A262" s="126"/>
      <c r="B262" s="148"/>
      <c r="C262" s="123"/>
      <c r="D262" s="149"/>
      <c r="E262" s="150"/>
      <c r="F262" s="150"/>
      <c r="G262" s="127"/>
      <c r="H262" s="189"/>
      <c r="I262" s="140"/>
      <c r="J262" s="264"/>
      <c r="K262" s="223"/>
      <c r="L262" s="112"/>
      <c r="M262" s="166"/>
    </row>
    <row r="263" spans="1:13" ht="15" customHeight="1" thickBot="1" x14ac:dyDescent="0.3">
      <c r="A263" s="126"/>
      <c r="B263" s="129"/>
      <c r="C263" s="124"/>
      <c r="D263" s="149"/>
      <c r="E263" s="150"/>
      <c r="F263" s="150"/>
      <c r="G263" s="128"/>
      <c r="H263" s="128"/>
      <c r="I263" s="140"/>
      <c r="J263" s="112"/>
      <c r="K263" s="166"/>
      <c r="L263" s="118"/>
      <c r="M263" s="166"/>
    </row>
    <row r="264" spans="1:13" ht="15" customHeight="1" x14ac:dyDescent="0.25">
      <c r="A264" s="126"/>
      <c r="B264" s="129"/>
      <c r="C264" s="124"/>
      <c r="D264" s="149"/>
      <c r="E264" s="150"/>
      <c r="F264" s="150"/>
      <c r="G264" s="128"/>
      <c r="H264" s="128"/>
      <c r="I264" s="140"/>
      <c r="J264" s="194" t="s">
        <v>39</v>
      </c>
      <c r="K264" s="223"/>
      <c r="L264" s="118"/>
      <c r="M264" s="166"/>
    </row>
    <row r="265" spans="1:13" ht="15" customHeight="1" thickBot="1" x14ac:dyDescent="0.3">
      <c r="A265" s="126"/>
      <c r="B265" s="129"/>
      <c r="C265" s="124"/>
      <c r="D265" s="149"/>
      <c r="E265" s="150"/>
      <c r="F265" s="150"/>
      <c r="G265" s="128"/>
      <c r="H265" s="128"/>
      <c r="I265" s="140"/>
      <c r="J265" s="112"/>
      <c r="K265" s="166"/>
      <c r="L265" s="118"/>
      <c r="M265" s="166"/>
    </row>
    <row r="266" spans="1:13" ht="15" customHeight="1" x14ac:dyDescent="0.25">
      <c r="A266" s="126"/>
      <c r="B266" s="129"/>
      <c r="C266" s="124"/>
      <c r="D266" s="149"/>
      <c r="E266" s="150"/>
      <c r="F266" s="150"/>
      <c r="G266" s="128"/>
      <c r="H266" s="128"/>
      <c r="I266" s="140"/>
      <c r="J266" s="194" t="s">
        <v>40</v>
      </c>
      <c r="K266" s="223"/>
      <c r="L266" s="118"/>
      <c r="M266" s="166"/>
    </row>
    <row r="267" spans="1:13" ht="15" customHeight="1" thickBot="1" x14ac:dyDescent="0.3">
      <c r="A267" s="126"/>
      <c r="B267" s="129"/>
      <c r="C267" s="124"/>
      <c r="D267" s="149"/>
      <c r="E267" s="150"/>
      <c r="F267" s="150"/>
      <c r="G267" s="128"/>
      <c r="H267" s="128"/>
      <c r="I267" s="140"/>
      <c r="J267" s="112"/>
      <c r="K267" s="166"/>
      <c r="L267" s="118"/>
      <c r="M267" s="166"/>
    </row>
    <row r="268" spans="1:13" ht="15" customHeight="1" x14ac:dyDescent="0.25">
      <c r="A268" s="126"/>
      <c r="B268" s="129"/>
      <c r="C268" s="124"/>
      <c r="D268" s="149"/>
      <c r="E268" s="150"/>
      <c r="F268" s="150"/>
      <c r="G268" s="128"/>
      <c r="H268" s="128"/>
      <c r="I268" s="140"/>
      <c r="J268" s="194" t="s">
        <v>41</v>
      </c>
      <c r="K268" s="223"/>
      <c r="L268" s="118"/>
      <c r="M268" s="166"/>
    </row>
    <row r="269" spans="1:13" ht="15" customHeight="1" thickBot="1" x14ac:dyDescent="0.3">
      <c r="A269" s="126"/>
      <c r="B269" s="129"/>
      <c r="C269" s="124"/>
      <c r="D269" s="149"/>
      <c r="E269" s="150"/>
      <c r="F269" s="150"/>
      <c r="G269" s="128"/>
      <c r="H269" s="128"/>
      <c r="I269" s="140"/>
      <c r="J269" s="112"/>
      <c r="K269" s="166"/>
      <c r="L269" s="118"/>
      <c r="M269" s="166"/>
    </row>
    <row r="270" spans="1:13" ht="15" customHeight="1" x14ac:dyDescent="0.25">
      <c r="A270" s="126"/>
      <c r="B270" s="129"/>
      <c r="C270" s="124"/>
      <c r="D270" s="149"/>
      <c r="E270" s="150"/>
      <c r="F270" s="150"/>
      <c r="G270" s="128"/>
      <c r="H270" s="128"/>
      <c r="I270" s="140"/>
      <c r="J270" s="194" t="s">
        <v>42</v>
      </c>
      <c r="K270" s="223"/>
      <c r="L270" s="111"/>
      <c r="M270" s="166"/>
    </row>
    <row r="271" spans="1:13" ht="15" customHeight="1" thickBot="1" x14ac:dyDescent="0.3">
      <c r="A271" s="126"/>
      <c r="B271" s="129"/>
      <c r="C271" s="124"/>
      <c r="D271" s="149"/>
      <c r="E271" s="150"/>
      <c r="F271" s="150"/>
      <c r="G271" s="128"/>
      <c r="H271" s="128"/>
      <c r="I271" s="140"/>
      <c r="J271" s="112"/>
      <c r="K271" s="166"/>
      <c r="L271" s="111"/>
      <c r="M271" s="166"/>
    </row>
    <row r="272" spans="1:13" ht="15" customHeight="1" x14ac:dyDescent="0.25">
      <c r="A272" s="126"/>
      <c r="B272" s="129"/>
      <c r="C272" s="124"/>
      <c r="D272" s="149"/>
      <c r="E272" s="150"/>
      <c r="F272" s="150"/>
      <c r="G272" s="128"/>
      <c r="H272" s="128"/>
      <c r="I272" s="140"/>
      <c r="J272" s="193" t="s">
        <v>43</v>
      </c>
      <c r="K272" s="223"/>
      <c r="L272" s="111"/>
      <c r="M272" s="166"/>
    </row>
    <row r="273" spans="1:13" ht="15" customHeight="1" x14ac:dyDescent="0.25">
      <c r="A273" s="126"/>
      <c r="B273" s="129"/>
      <c r="C273" s="124"/>
      <c r="D273" s="149"/>
      <c r="E273" s="150"/>
      <c r="F273" s="150"/>
      <c r="G273" s="128"/>
      <c r="H273" s="128"/>
      <c r="I273" s="140"/>
      <c r="J273" s="112"/>
      <c r="K273" s="166"/>
      <c r="L273" s="111"/>
      <c r="M273" s="166"/>
    </row>
    <row r="274" spans="1:13" ht="15" customHeight="1" x14ac:dyDescent="0.25">
      <c r="A274" s="126"/>
      <c r="B274" s="129"/>
      <c r="C274" s="124"/>
      <c r="D274" s="149"/>
      <c r="E274" s="150"/>
      <c r="F274" s="150"/>
      <c r="G274" s="128"/>
      <c r="H274" s="128"/>
      <c r="I274" s="140"/>
      <c r="J274" s="194" t="s">
        <v>44</v>
      </c>
      <c r="K274" s="224"/>
      <c r="L274" s="111"/>
      <c r="M274" s="166"/>
    </row>
    <row r="275" spans="1:13" ht="15" customHeight="1" x14ac:dyDescent="0.25">
      <c r="A275" s="126"/>
      <c r="B275" s="129"/>
      <c r="C275" s="124"/>
      <c r="D275" s="149"/>
      <c r="E275" s="150"/>
      <c r="F275" s="150"/>
      <c r="G275" s="128"/>
      <c r="H275" s="128"/>
      <c r="I275" s="140"/>
      <c r="J275" s="112"/>
      <c r="K275" s="166"/>
      <c r="L275" s="111"/>
      <c r="M275" s="166"/>
    </row>
    <row r="276" spans="1:13" ht="15" customHeight="1" x14ac:dyDescent="0.25">
      <c r="A276" s="130"/>
      <c r="B276" s="129"/>
      <c r="C276" s="124"/>
      <c r="D276" s="149"/>
      <c r="E276" s="150"/>
      <c r="F276" s="150"/>
      <c r="G276" s="128"/>
      <c r="H276" s="128"/>
      <c r="I276" s="140"/>
      <c r="J276" s="194" t="s">
        <v>45</v>
      </c>
      <c r="K276" s="224"/>
      <c r="L276" s="111"/>
      <c r="M276" s="166"/>
    </row>
    <row r="277" spans="1:13" ht="5.0999999999999996" customHeight="1" x14ac:dyDescent="0.25">
      <c r="A277" s="140"/>
      <c r="B277" s="140"/>
      <c r="C277" s="140"/>
      <c r="D277" s="140"/>
      <c r="E277" s="140"/>
      <c r="F277" s="140"/>
      <c r="G277" s="140"/>
      <c r="H277" s="140"/>
      <c r="I277" s="140"/>
      <c r="J277" s="194"/>
      <c r="K277" s="166"/>
      <c r="L277" s="111"/>
      <c r="M277" s="191"/>
    </row>
    <row r="278" spans="1:13" ht="16.5" thickBot="1" x14ac:dyDescent="0.3">
      <c r="A278" s="113"/>
      <c r="B278" s="114"/>
      <c r="C278" s="115"/>
      <c r="D278" s="115"/>
      <c r="E278" s="116"/>
      <c r="F278" s="116"/>
      <c r="G278" s="164"/>
      <c r="H278" s="120"/>
      <c r="I278" s="140"/>
      <c r="J278" s="120"/>
      <c r="K278" s="121"/>
      <c r="L278" s="221"/>
      <c r="M278" s="191"/>
    </row>
    <row r="279" spans="1:13" ht="5.0999999999999996" customHeight="1" thickBot="1" x14ac:dyDescent="0.3">
      <c r="A279" s="217"/>
      <c r="B279" s="212"/>
      <c r="C279" s="213"/>
      <c r="D279" s="213"/>
      <c r="E279" s="214"/>
      <c r="F279" s="214"/>
      <c r="G279" s="215"/>
      <c r="H279" s="218"/>
      <c r="I279" s="140"/>
      <c r="J279" s="218"/>
      <c r="K279" s="220"/>
      <c r="L279" s="221"/>
      <c r="M279" s="191"/>
    </row>
    <row r="280" spans="1:13" ht="15" customHeight="1" x14ac:dyDescent="0.25">
      <c r="A280" s="125"/>
      <c r="B280" s="148"/>
      <c r="C280" s="123"/>
      <c r="D280" s="149"/>
      <c r="E280" s="150"/>
      <c r="F280" s="150"/>
      <c r="G280" s="127"/>
      <c r="H280" s="189"/>
      <c r="I280" s="140"/>
      <c r="J280" s="264"/>
      <c r="K280" s="223"/>
      <c r="L280" s="112"/>
      <c r="M280" s="166"/>
    </row>
    <row r="281" spans="1:13" ht="15" customHeight="1" thickBot="1" x14ac:dyDescent="0.3">
      <c r="A281" s="126"/>
      <c r="B281" s="129"/>
      <c r="C281" s="124"/>
      <c r="D281" s="149"/>
      <c r="E281" s="150"/>
      <c r="F281" s="150"/>
      <c r="G281" s="128"/>
      <c r="H281" s="128"/>
      <c r="I281" s="140"/>
      <c r="J281" s="112"/>
      <c r="K281" s="166"/>
      <c r="L281" s="118"/>
      <c r="M281" s="166"/>
    </row>
    <row r="282" spans="1:13" ht="15" customHeight="1" x14ac:dyDescent="0.25">
      <c r="A282" s="126"/>
      <c r="B282" s="129"/>
      <c r="C282" s="124"/>
      <c r="D282" s="149"/>
      <c r="E282" s="150"/>
      <c r="F282" s="150"/>
      <c r="G282" s="128"/>
      <c r="H282" s="128"/>
      <c r="I282" s="140"/>
      <c r="J282" s="194" t="s">
        <v>39</v>
      </c>
      <c r="K282" s="223"/>
      <c r="L282" s="118"/>
      <c r="M282" s="166"/>
    </row>
    <row r="283" spans="1:13" ht="15" customHeight="1" thickBot="1" x14ac:dyDescent="0.3">
      <c r="A283" s="126"/>
      <c r="B283" s="129"/>
      <c r="C283" s="124"/>
      <c r="D283" s="149"/>
      <c r="E283" s="150"/>
      <c r="F283" s="150"/>
      <c r="G283" s="128"/>
      <c r="H283" s="128"/>
      <c r="I283" s="140"/>
      <c r="J283" s="112"/>
      <c r="K283" s="166"/>
      <c r="L283" s="118"/>
      <c r="M283" s="166"/>
    </row>
    <row r="284" spans="1:13" ht="15" customHeight="1" x14ac:dyDescent="0.25">
      <c r="A284" s="126"/>
      <c r="B284" s="129"/>
      <c r="C284" s="124"/>
      <c r="D284" s="149"/>
      <c r="E284" s="150"/>
      <c r="F284" s="150"/>
      <c r="G284" s="128"/>
      <c r="H284" s="128"/>
      <c r="I284" s="140"/>
      <c r="J284" s="194" t="s">
        <v>40</v>
      </c>
      <c r="K284" s="223"/>
      <c r="L284" s="118"/>
      <c r="M284" s="166"/>
    </row>
    <row r="285" spans="1:13" ht="15" customHeight="1" thickBot="1" x14ac:dyDescent="0.3">
      <c r="A285" s="126"/>
      <c r="B285" s="129"/>
      <c r="C285" s="124"/>
      <c r="D285" s="149"/>
      <c r="E285" s="150"/>
      <c r="F285" s="150"/>
      <c r="G285" s="128"/>
      <c r="H285" s="128"/>
      <c r="I285" s="140"/>
      <c r="J285" s="112"/>
      <c r="K285" s="166"/>
      <c r="L285" s="118"/>
      <c r="M285" s="166"/>
    </row>
    <row r="286" spans="1:13" ht="15" customHeight="1" x14ac:dyDescent="0.25">
      <c r="A286" s="126"/>
      <c r="B286" s="129"/>
      <c r="C286" s="124"/>
      <c r="D286" s="149"/>
      <c r="E286" s="150"/>
      <c r="F286" s="150"/>
      <c r="G286" s="128"/>
      <c r="H286" s="128"/>
      <c r="I286" s="140"/>
      <c r="J286" s="194" t="s">
        <v>41</v>
      </c>
      <c r="K286" s="223"/>
      <c r="L286" s="118"/>
      <c r="M286" s="166"/>
    </row>
    <row r="287" spans="1:13" ht="15" customHeight="1" thickBot="1" x14ac:dyDescent="0.3">
      <c r="A287" s="126"/>
      <c r="B287" s="129"/>
      <c r="C287" s="124"/>
      <c r="D287" s="149"/>
      <c r="E287" s="150"/>
      <c r="F287" s="150"/>
      <c r="G287" s="128"/>
      <c r="H287" s="128"/>
      <c r="I287" s="140"/>
      <c r="J287" s="112"/>
      <c r="K287" s="166"/>
      <c r="L287" s="118"/>
      <c r="M287" s="166"/>
    </row>
    <row r="288" spans="1:13" ht="15" customHeight="1" x14ac:dyDescent="0.25">
      <c r="A288" s="126"/>
      <c r="B288" s="129"/>
      <c r="C288" s="124"/>
      <c r="D288" s="149"/>
      <c r="E288" s="150"/>
      <c r="F288" s="150"/>
      <c r="G288" s="128"/>
      <c r="H288" s="128"/>
      <c r="I288" s="140"/>
      <c r="J288" s="194" t="s">
        <v>42</v>
      </c>
      <c r="K288" s="223"/>
      <c r="L288" s="111"/>
      <c r="M288" s="166"/>
    </row>
    <row r="289" spans="1:13" ht="15" customHeight="1" thickBot="1" x14ac:dyDescent="0.3">
      <c r="A289" s="126"/>
      <c r="B289" s="129"/>
      <c r="C289" s="124"/>
      <c r="D289" s="149"/>
      <c r="E289" s="150"/>
      <c r="F289" s="150"/>
      <c r="G289" s="128"/>
      <c r="H289" s="128"/>
      <c r="I289" s="140"/>
      <c r="J289" s="112"/>
      <c r="K289" s="166"/>
      <c r="L289" s="111"/>
      <c r="M289" s="166"/>
    </row>
    <row r="290" spans="1:13" ht="15" customHeight="1" x14ac:dyDescent="0.25">
      <c r="A290" s="126"/>
      <c r="B290" s="129"/>
      <c r="C290" s="124"/>
      <c r="D290" s="149"/>
      <c r="E290" s="150"/>
      <c r="F290" s="150"/>
      <c r="G290" s="128"/>
      <c r="H290" s="128"/>
      <c r="I290" s="140"/>
      <c r="J290" s="193" t="s">
        <v>43</v>
      </c>
      <c r="K290" s="223"/>
      <c r="L290" s="111"/>
      <c r="M290" s="166"/>
    </row>
    <row r="291" spans="1:13" ht="15" customHeight="1" x14ac:dyDescent="0.25">
      <c r="A291" s="126"/>
      <c r="B291" s="129"/>
      <c r="C291" s="124"/>
      <c r="D291" s="149"/>
      <c r="E291" s="150"/>
      <c r="F291" s="150"/>
      <c r="G291" s="128"/>
      <c r="H291" s="128"/>
      <c r="I291" s="140"/>
      <c r="J291" s="112"/>
      <c r="K291" s="166"/>
      <c r="L291" s="111"/>
      <c r="M291" s="166"/>
    </row>
    <row r="292" spans="1:13" ht="15" customHeight="1" x14ac:dyDescent="0.25">
      <c r="A292" s="126"/>
      <c r="B292" s="129"/>
      <c r="C292" s="124"/>
      <c r="D292" s="149"/>
      <c r="E292" s="150"/>
      <c r="F292" s="150"/>
      <c r="G292" s="128"/>
      <c r="H292" s="128"/>
      <c r="I292" s="140"/>
      <c r="J292" s="194" t="s">
        <v>44</v>
      </c>
      <c r="K292" s="224"/>
      <c r="L292" s="111"/>
      <c r="M292" s="166"/>
    </row>
    <row r="293" spans="1:13" ht="15" customHeight="1" x14ac:dyDescent="0.25">
      <c r="A293" s="126"/>
      <c r="B293" s="129"/>
      <c r="C293" s="124"/>
      <c r="D293" s="149"/>
      <c r="E293" s="150"/>
      <c r="F293" s="150"/>
      <c r="G293" s="128"/>
      <c r="H293" s="128"/>
      <c r="I293" s="140"/>
      <c r="J293" s="112"/>
      <c r="K293" s="166"/>
      <c r="L293" s="111"/>
      <c r="M293" s="166"/>
    </row>
    <row r="294" spans="1:13" ht="15" customHeight="1" x14ac:dyDescent="0.25">
      <c r="A294" s="130"/>
      <c r="B294" s="129"/>
      <c r="C294" s="124"/>
      <c r="D294" s="149"/>
      <c r="E294" s="150"/>
      <c r="F294" s="150"/>
      <c r="G294" s="128"/>
      <c r="H294" s="128"/>
      <c r="I294" s="140"/>
      <c r="J294" s="194" t="s">
        <v>45</v>
      </c>
      <c r="K294" s="224"/>
      <c r="L294" s="111"/>
      <c r="M294" s="166"/>
    </row>
    <row r="295" spans="1:13" ht="5.0999999999999996" customHeight="1" x14ac:dyDescent="0.25">
      <c r="A295" s="140"/>
      <c r="B295" s="140"/>
      <c r="C295" s="140"/>
      <c r="D295" s="140"/>
      <c r="E295" s="140"/>
      <c r="F295" s="140"/>
      <c r="G295" s="140"/>
      <c r="H295" s="140"/>
      <c r="I295" s="140"/>
      <c r="J295" s="112"/>
      <c r="K295" s="166"/>
      <c r="L295" s="111"/>
      <c r="M295" s="191"/>
    </row>
    <row r="296" spans="1:13" ht="16.5" thickBot="1" x14ac:dyDescent="0.3">
      <c r="A296" s="113"/>
      <c r="B296" s="114"/>
      <c r="C296" s="115"/>
      <c r="D296" s="115"/>
      <c r="E296" s="116"/>
      <c r="F296" s="116"/>
      <c r="G296" s="164"/>
      <c r="H296" s="120"/>
      <c r="I296" s="140"/>
      <c r="J296" s="120"/>
      <c r="K296" s="121"/>
      <c r="L296" s="221"/>
      <c r="M296" s="191"/>
    </row>
    <row r="297" spans="1:13" ht="5.0999999999999996" customHeight="1" thickBot="1" x14ac:dyDescent="0.3">
      <c r="A297" s="217"/>
      <c r="B297" s="212"/>
      <c r="C297" s="213"/>
      <c r="D297" s="213"/>
      <c r="E297" s="214"/>
      <c r="F297" s="214"/>
      <c r="G297" s="215"/>
      <c r="H297" s="218"/>
      <c r="I297" s="140"/>
      <c r="J297" s="218"/>
      <c r="K297" s="220"/>
      <c r="L297" s="221"/>
      <c r="M297" s="191"/>
    </row>
    <row r="298" spans="1:13" ht="15" customHeight="1" thickBot="1" x14ac:dyDescent="0.3">
      <c r="A298" s="326"/>
      <c r="B298" s="148"/>
      <c r="C298" s="123"/>
      <c r="D298" s="149"/>
      <c r="E298" s="150"/>
      <c r="F298" s="150"/>
      <c r="G298" s="127"/>
      <c r="H298" s="189"/>
      <c r="I298" s="140"/>
      <c r="J298" s="327"/>
      <c r="K298" s="223"/>
      <c r="L298" s="112"/>
      <c r="M298" s="166"/>
    </row>
    <row r="299" spans="1:13" ht="15" customHeight="1" thickBot="1" x14ac:dyDescent="0.3">
      <c r="A299" s="318"/>
      <c r="B299" s="129"/>
      <c r="C299" s="123"/>
      <c r="D299" s="149"/>
      <c r="E299" s="150"/>
      <c r="F299" s="150"/>
      <c r="G299" s="128"/>
      <c r="H299" s="128"/>
      <c r="I299" s="140"/>
      <c r="J299" s="112"/>
      <c r="K299" s="166"/>
      <c r="L299" s="118"/>
      <c r="M299" s="166"/>
    </row>
    <row r="300" spans="1:13" ht="15" customHeight="1" x14ac:dyDescent="0.25">
      <c r="A300" s="126"/>
      <c r="B300" s="129"/>
      <c r="C300" s="124"/>
      <c r="D300" s="149"/>
      <c r="E300" s="150"/>
      <c r="F300" s="150"/>
      <c r="G300" s="128"/>
      <c r="H300" s="128"/>
      <c r="I300" s="140"/>
      <c r="J300" s="194" t="s">
        <v>39</v>
      </c>
      <c r="K300" s="223"/>
      <c r="L300" s="118"/>
      <c r="M300" s="166"/>
    </row>
    <row r="301" spans="1:13" ht="15" customHeight="1" thickBot="1" x14ac:dyDescent="0.3">
      <c r="A301" s="126"/>
      <c r="B301" s="129"/>
      <c r="C301" s="124"/>
      <c r="D301" s="149"/>
      <c r="E301" s="150"/>
      <c r="F301" s="150"/>
      <c r="G301" s="128"/>
      <c r="H301" s="128"/>
      <c r="I301" s="140"/>
      <c r="J301" s="112"/>
      <c r="K301" s="166"/>
      <c r="L301" s="118"/>
      <c r="M301" s="166"/>
    </row>
    <row r="302" spans="1:13" ht="15" customHeight="1" x14ac:dyDescent="0.25">
      <c r="A302" s="126"/>
      <c r="B302" s="129"/>
      <c r="C302" s="124"/>
      <c r="D302" s="149"/>
      <c r="E302" s="150"/>
      <c r="F302" s="150"/>
      <c r="G302" s="128"/>
      <c r="H302" s="128"/>
      <c r="I302" s="140"/>
      <c r="J302" s="194" t="s">
        <v>40</v>
      </c>
      <c r="K302" s="223"/>
      <c r="L302" s="118"/>
      <c r="M302" s="166"/>
    </row>
    <row r="303" spans="1:13" ht="15" customHeight="1" thickBot="1" x14ac:dyDescent="0.3">
      <c r="A303" s="126"/>
      <c r="B303" s="129"/>
      <c r="C303" s="124"/>
      <c r="D303" s="149"/>
      <c r="E303" s="150"/>
      <c r="F303" s="150"/>
      <c r="G303" s="128"/>
      <c r="H303" s="128"/>
      <c r="I303" s="140"/>
      <c r="J303" s="112"/>
      <c r="K303" s="166"/>
      <c r="L303" s="118"/>
      <c r="M303" s="166"/>
    </row>
    <row r="304" spans="1:13" s="74" customFormat="1" ht="15" customHeight="1" x14ac:dyDescent="0.25">
      <c r="A304" s="126"/>
      <c r="B304" s="129"/>
      <c r="C304" s="124"/>
      <c r="D304" s="149"/>
      <c r="E304" s="150"/>
      <c r="F304" s="150"/>
      <c r="G304" s="128"/>
      <c r="H304" s="128"/>
      <c r="I304" s="140"/>
      <c r="J304" s="194" t="s">
        <v>41</v>
      </c>
      <c r="K304" s="223"/>
      <c r="L304" s="118"/>
      <c r="M304" s="166"/>
    </row>
    <row r="305" spans="1:13" ht="15" customHeight="1" thickBot="1" x14ac:dyDescent="0.3">
      <c r="A305" s="126"/>
      <c r="B305" s="129"/>
      <c r="C305" s="124"/>
      <c r="D305" s="149"/>
      <c r="E305" s="150"/>
      <c r="F305" s="150"/>
      <c r="G305" s="128"/>
      <c r="H305" s="128"/>
      <c r="I305" s="140"/>
      <c r="J305" s="112"/>
      <c r="K305" s="166"/>
      <c r="L305" s="118"/>
      <c r="M305" s="166"/>
    </row>
    <row r="306" spans="1:13" ht="15" customHeight="1" x14ac:dyDescent="0.25">
      <c r="A306" s="126"/>
      <c r="B306" s="129"/>
      <c r="C306" s="124"/>
      <c r="D306" s="149"/>
      <c r="E306" s="150"/>
      <c r="F306" s="150"/>
      <c r="G306" s="128"/>
      <c r="H306" s="128"/>
      <c r="I306" s="140"/>
      <c r="J306" s="194" t="s">
        <v>42</v>
      </c>
      <c r="K306" s="223"/>
      <c r="L306" s="111"/>
      <c r="M306" s="166"/>
    </row>
    <row r="307" spans="1:13" ht="15" customHeight="1" thickBot="1" x14ac:dyDescent="0.3">
      <c r="A307" s="126"/>
      <c r="B307" s="129"/>
      <c r="C307" s="124"/>
      <c r="D307" s="149"/>
      <c r="E307" s="150"/>
      <c r="F307" s="150"/>
      <c r="G307" s="128"/>
      <c r="H307" s="128"/>
      <c r="I307" s="140"/>
      <c r="J307" s="112"/>
      <c r="K307" s="166"/>
      <c r="L307" s="111"/>
      <c r="M307" s="166"/>
    </row>
    <row r="308" spans="1:13" ht="15" customHeight="1" x14ac:dyDescent="0.25">
      <c r="A308" s="126"/>
      <c r="B308" s="129"/>
      <c r="C308" s="124"/>
      <c r="D308" s="149"/>
      <c r="E308" s="150"/>
      <c r="F308" s="150"/>
      <c r="G308" s="128"/>
      <c r="H308" s="128"/>
      <c r="I308" s="140"/>
      <c r="J308" s="193" t="s">
        <v>43</v>
      </c>
      <c r="K308" s="223"/>
      <c r="L308" s="111"/>
      <c r="M308" s="166"/>
    </row>
    <row r="309" spans="1:13" ht="15" customHeight="1" x14ac:dyDescent="0.25">
      <c r="A309" s="126"/>
      <c r="B309" s="129"/>
      <c r="C309" s="124"/>
      <c r="D309" s="149"/>
      <c r="E309" s="150"/>
      <c r="F309" s="150"/>
      <c r="G309" s="128"/>
      <c r="H309" s="128"/>
      <c r="I309" s="140"/>
      <c r="J309" s="112"/>
      <c r="K309" s="166"/>
      <c r="L309" s="111"/>
      <c r="M309" s="166"/>
    </row>
    <row r="310" spans="1:13" ht="15" customHeight="1" x14ac:dyDescent="0.25">
      <c r="A310" s="126"/>
      <c r="B310" s="129"/>
      <c r="C310" s="124"/>
      <c r="D310" s="149"/>
      <c r="E310" s="150"/>
      <c r="F310" s="150"/>
      <c r="G310" s="128"/>
      <c r="H310" s="128"/>
      <c r="I310" s="140"/>
      <c r="J310" s="194" t="s">
        <v>44</v>
      </c>
      <c r="K310" s="224"/>
      <c r="L310" s="111"/>
      <c r="M310" s="166"/>
    </row>
    <row r="311" spans="1:13" ht="15" customHeight="1" x14ac:dyDescent="0.25">
      <c r="A311" s="126"/>
      <c r="B311" s="129"/>
      <c r="C311" s="124"/>
      <c r="D311" s="149"/>
      <c r="E311" s="150"/>
      <c r="F311" s="150"/>
      <c r="G311" s="128"/>
      <c r="H311" s="128"/>
      <c r="I311" s="140"/>
      <c r="J311" s="112"/>
      <c r="K311" s="166"/>
      <c r="L311" s="111"/>
      <c r="M311" s="166"/>
    </row>
    <row r="312" spans="1:13" ht="15" customHeight="1" x14ac:dyDescent="0.25">
      <c r="A312" s="130"/>
      <c r="B312" s="129"/>
      <c r="C312" s="124"/>
      <c r="D312" s="149"/>
      <c r="E312" s="150"/>
      <c r="F312" s="150"/>
      <c r="G312" s="128"/>
      <c r="H312" s="128"/>
      <c r="I312" s="140"/>
      <c r="J312" s="194" t="s">
        <v>45</v>
      </c>
      <c r="K312" s="224"/>
      <c r="L312" s="111"/>
      <c r="M312" s="166"/>
    </row>
    <row r="313" spans="1:13" ht="5.0999999999999996" customHeight="1" x14ac:dyDescent="0.25">
      <c r="A313" s="140"/>
      <c r="B313" s="140"/>
      <c r="C313" s="140"/>
      <c r="D313" s="140"/>
      <c r="E313" s="140"/>
      <c r="F313" s="140"/>
      <c r="G313" s="140"/>
      <c r="H313" s="140"/>
      <c r="I313" s="140"/>
      <c r="J313" s="112"/>
      <c r="K313" s="166"/>
      <c r="L313" s="111"/>
      <c r="M313" s="191"/>
    </row>
    <row r="314" spans="1:13" ht="16.5" thickBot="1" x14ac:dyDescent="0.3">
      <c r="A314" s="113"/>
      <c r="B314" s="114"/>
      <c r="C314" s="115"/>
      <c r="D314" s="115"/>
      <c r="E314" s="116"/>
      <c r="F314" s="116"/>
      <c r="G314" s="164"/>
      <c r="H314" s="120"/>
      <c r="I314" s="140"/>
      <c r="J314" s="120"/>
      <c r="K314" s="121"/>
      <c r="L314" s="221"/>
      <c r="M314" s="191"/>
    </row>
    <row r="315" spans="1:13" ht="5.0999999999999996" customHeight="1" thickBot="1" x14ac:dyDescent="0.3">
      <c r="A315" s="217"/>
      <c r="B315" s="212"/>
      <c r="C315" s="213"/>
      <c r="D315" s="213"/>
      <c r="E315" s="214"/>
      <c r="F315" s="214"/>
      <c r="G315" s="215"/>
      <c r="H315" s="218"/>
      <c r="I315" s="140"/>
      <c r="J315" s="218"/>
      <c r="K315" s="220"/>
      <c r="L315" s="221"/>
      <c r="M315" s="191"/>
    </row>
    <row r="316" spans="1:13" ht="15" customHeight="1" thickBot="1" x14ac:dyDescent="0.3">
      <c r="A316" s="125"/>
      <c r="B316" s="148"/>
      <c r="C316" s="124"/>
      <c r="D316" s="149"/>
      <c r="E316" s="150"/>
      <c r="F316" s="150"/>
      <c r="G316" s="127"/>
      <c r="H316" s="189"/>
      <c r="I316" s="140"/>
      <c r="J316" s="209"/>
      <c r="K316" s="223"/>
      <c r="L316" s="112"/>
      <c r="M316" s="166"/>
    </row>
    <row r="317" spans="1:13" ht="15" customHeight="1" thickBot="1" x14ac:dyDescent="0.3">
      <c r="A317" s="126"/>
      <c r="B317" s="129"/>
      <c r="C317" s="124"/>
      <c r="D317" s="149"/>
      <c r="E317" s="150"/>
      <c r="F317" s="150"/>
      <c r="G317" s="128"/>
      <c r="H317" s="128"/>
      <c r="I317" s="140"/>
      <c r="J317" s="112"/>
      <c r="K317" s="166"/>
      <c r="L317" s="118"/>
      <c r="M317" s="166"/>
    </row>
    <row r="318" spans="1:13" ht="15" customHeight="1" x14ac:dyDescent="0.25">
      <c r="A318" s="126"/>
      <c r="B318" s="129"/>
      <c r="C318" s="124"/>
      <c r="D318" s="149"/>
      <c r="E318" s="150"/>
      <c r="F318" s="150"/>
      <c r="G318" s="128"/>
      <c r="H318" s="128"/>
      <c r="I318" s="140"/>
      <c r="J318" s="194" t="s">
        <v>39</v>
      </c>
      <c r="K318" s="223"/>
      <c r="L318" s="118"/>
      <c r="M318" s="166"/>
    </row>
    <row r="319" spans="1:13" ht="15" customHeight="1" thickBot="1" x14ac:dyDescent="0.3">
      <c r="A319" s="126"/>
      <c r="B319" s="129"/>
      <c r="C319" s="124"/>
      <c r="D319" s="149"/>
      <c r="E319" s="150"/>
      <c r="F319" s="150"/>
      <c r="G319" s="128"/>
      <c r="H319" s="128"/>
      <c r="I319" s="140"/>
      <c r="J319" s="112"/>
      <c r="K319" s="166"/>
      <c r="L319" s="118"/>
      <c r="M319" s="166"/>
    </row>
    <row r="320" spans="1:13" ht="15" customHeight="1" x14ac:dyDescent="0.25">
      <c r="A320" s="126"/>
      <c r="B320" s="129"/>
      <c r="C320" s="124"/>
      <c r="D320" s="149"/>
      <c r="E320" s="150"/>
      <c r="F320" s="150"/>
      <c r="G320" s="128"/>
      <c r="H320" s="128"/>
      <c r="I320" s="140"/>
      <c r="J320" s="194" t="s">
        <v>40</v>
      </c>
      <c r="K320" s="223"/>
      <c r="L320" s="118"/>
      <c r="M320" s="166"/>
    </row>
    <row r="321" spans="1:13" ht="15" customHeight="1" thickBot="1" x14ac:dyDescent="0.3">
      <c r="A321" s="126"/>
      <c r="B321" s="129"/>
      <c r="C321" s="124"/>
      <c r="D321" s="149"/>
      <c r="E321" s="150"/>
      <c r="F321" s="150"/>
      <c r="G321" s="128"/>
      <c r="H321" s="128"/>
      <c r="I321" s="140"/>
      <c r="J321" s="112"/>
      <c r="K321" s="166"/>
      <c r="L321" s="118"/>
      <c r="M321" s="166"/>
    </row>
    <row r="322" spans="1:13" ht="15" customHeight="1" x14ac:dyDescent="0.25">
      <c r="A322" s="126"/>
      <c r="B322" s="129"/>
      <c r="C322" s="124"/>
      <c r="D322" s="149"/>
      <c r="E322" s="150"/>
      <c r="F322" s="150"/>
      <c r="G322" s="128"/>
      <c r="H322" s="128"/>
      <c r="I322" s="140"/>
      <c r="J322" s="194" t="s">
        <v>41</v>
      </c>
      <c r="K322" s="223"/>
      <c r="L322" s="118"/>
      <c r="M322" s="166"/>
    </row>
    <row r="323" spans="1:13" ht="15" customHeight="1" thickBot="1" x14ac:dyDescent="0.3">
      <c r="A323" s="126"/>
      <c r="B323" s="129"/>
      <c r="C323" s="124"/>
      <c r="D323" s="149"/>
      <c r="E323" s="150"/>
      <c r="F323" s="150"/>
      <c r="G323" s="128"/>
      <c r="H323" s="128"/>
      <c r="I323" s="140"/>
      <c r="J323" s="112"/>
      <c r="K323" s="166"/>
      <c r="L323" s="118"/>
      <c r="M323" s="166"/>
    </row>
    <row r="324" spans="1:13" ht="15" customHeight="1" x14ac:dyDescent="0.25">
      <c r="A324" s="126"/>
      <c r="B324" s="129"/>
      <c r="C324" s="124"/>
      <c r="D324" s="149"/>
      <c r="E324" s="150"/>
      <c r="F324" s="150"/>
      <c r="G324" s="128"/>
      <c r="H324" s="128"/>
      <c r="I324" s="140"/>
      <c r="J324" s="194" t="s">
        <v>42</v>
      </c>
      <c r="K324" s="223"/>
      <c r="L324" s="111"/>
      <c r="M324" s="166"/>
    </row>
    <row r="325" spans="1:13" ht="15" customHeight="1" thickBot="1" x14ac:dyDescent="0.3">
      <c r="A325" s="126"/>
      <c r="B325" s="129"/>
      <c r="C325" s="124"/>
      <c r="D325" s="149"/>
      <c r="E325" s="150"/>
      <c r="F325" s="150"/>
      <c r="G325" s="128"/>
      <c r="H325" s="128"/>
      <c r="I325" s="140"/>
      <c r="J325" s="112"/>
      <c r="K325" s="166"/>
      <c r="L325" s="111"/>
      <c r="M325" s="166"/>
    </row>
    <row r="326" spans="1:13" ht="15" customHeight="1" x14ac:dyDescent="0.25">
      <c r="A326" s="126"/>
      <c r="B326" s="129"/>
      <c r="C326" s="124"/>
      <c r="D326" s="149"/>
      <c r="E326" s="150"/>
      <c r="F326" s="150"/>
      <c r="G326" s="128"/>
      <c r="H326" s="128"/>
      <c r="I326" s="140"/>
      <c r="J326" s="193" t="s">
        <v>43</v>
      </c>
      <c r="K326" s="223"/>
      <c r="L326" s="111"/>
      <c r="M326" s="166"/>
    </row>
    <row r="327" spans="1:13" ht="15" customHeight="1" x14ac:dyDescent="0.25">
      <c r="A327" s="126"/>
      <c r="B327" s="129"/>
      <c r="C327" s="124"/>
      <c r="D327" s="149"/>
      <c r="E327" s="150"/>
      <c r="F327" s="150"/>
      <c r="G327" s="128"/>
      <c r="H327" s="128"/>
      <c r="I327" s="140"/>
      <c r="J327" s="112"/>
      <c r="K327" s="166"/>
      <c r="L327" s="111"/>
      <c r="M327" s="166"/>
    </row>
    <row r="328" spans="1:13" ht="15" customHeight="1" x14ac:dyDescent="0.25">
      <c r="A328" s="126"/>
      <c r="B328" s="129"/>
      <c r="C328" s="124"/>
      <c r="D328" s="149"/>
      <c r="E328" s="150"/>
      <c r="F328" s="150"/>
      <c r="G328" s="128"/>
      <c r="H328" s="128"/>
      <c r="I328" s="140"/>
      <c r="J328" s="194" t="s">
        <v>44</v>
      </c>
      <c r="K328" s="224"/>
      <c r="L328" s="111"/>
      <c r="M328" s="166"/>
    </row>
    <row r="329" spans="1:13" ht="15" customHeight="1" x14ac:dyDescent="0.25">
      <c r="A329" s="126"/>
      <c r="B329" s="129"/>
      <c r="C329" s="124"/>
      <c r="D329" s="149"/>
      <c r="E329" s="150"/>
      <c r="F329" s="150"/>
      <c r="G329" s="128"/>
      <c r="H329" s="128"/>
      <c r="I329" s="140"/>
      <c r="J329" s="112"/>
      <c r="K329" s="166"/>
      <c r="L329" s="111"/>
      <c r="M329" s="166"/>
    </row>
    <row r="330" spans="1:13" ht="15" customHeight="1" x14ac:dyDescent="0.25">
      <c r="A330" s="130"/>
      <c r="B330" s="129"/>
      <c r="C330" s="124"/>
      <c r="D330" s="149"/>
      <c r="E330" s="150"/>
      <c r="F330" s="150"/>
      <c r="G330" s="128"/>
      <c r="H330" s="128"/>
      <c r="I330" s="140"/>
      <c r="J330" s="194" t="s">
        <v>45</v>
      </c>
      <c r="K330" s="224"/>
      <c r="L330" s="111"/>
      <c r="M330" s="166"/>
    </row>
    <row r="331" spans="1:13" ht="5.0999999999999996" customHeight="1" x14ac:dyDescent="0.25">
      <c r="A331" s="140"/>
      <c r="B331" s="140"/>
      <c r="C331" s="140"/>
      <c r="D331" s="140"/>
      <c r="E331" s="140"/>
      <c r="F331" s="140"/>
      <c r="G331" s="140"/>
      <c r="H331" s="140"/>
      <c r="I331" s="140"/>
      <c r="J331" s="140"/>
      <c r="K331" s="140"/>
      <c r="L331" s="111"/>
      <c r="M331" s="191"/>
    </row>
    <row r="332" spans="1:13" ht="16.5" thickBot="1" x14ac:dyDescent="0.3">
      <c r="A332" s="113"/>
      <c r="B332" s="114"/>
      <c r="C332" s="115"/>
      <c r="D332" s="115"/>
      <c r="E332" s="116"/>
      <c r="F332" s="116"/>
      <c r="G332" s="164"/>
      <c r="H332" s="120"/>
      <c r="I332" s="140"/>
      <c r="J332" s="120"/>
      <c r="K332" s="121"/>
      <c r="L332" s="221"/>
      <c r="M332" s="191"/>
    </row>
    <row r="333" spans="1:13" ht="5.0999999999999996" customHeight="1" thickBot="1" x14ac:dyDescent="0.3">
      <c r="A333" s="217"/>
      <c r="B333" s="212"/>
      <c r="C333" s="213"/>
      <c r="D333" s="213"/>
      <c r="E333" s="214"/>
      <c r="F333" s="214"/>
      <c r="G333" s="215"/>
      <c r="H333" s="218"/>
      <c r="I333" s="140"/>
      <c r="J333" s="218"/>
      <c r="K333" s="220"/>
      <c r="L333" s="221"/>
      <c r="M333" s="191"/>
    </row>
    <row r="334" spans="1:13" ht="15" customHeight="1" thickBot="1" x14ac:dyDescent="0.3">
      <c r="A334" s="126"/>
      <c r="B334" s="148"/>
      <c r="C334" s="123"/>
      <c r="D334" s="149"/>
      <c r="E334" s="150"/>
      <c r="F334" s="150"/>
      <c r="G334" s="127"/>
      <c r="H334" s="189"/>
      <c r="I334" s="140"/>
      <c r="J334" s="209"/>
      <c r="K334" s="192"/>
      <c r="L334" s="191"/>
      <c r="M334" s="165"/>
    </row>
    <row r="335" spans="1:13" ht="15" customHeight="1" x14ac:dyDescent="0.25">
      <c r="A335" s="126"/>
      <c r="B335" s="129"/>
      <c r="C335" s="124"/>
      <c r="D335" s="149"/>
      <c r="E335" s="150"/>
      <c r="F335" s="150"/>
      <c r="G335" s="128"/>
      <c r="H335" s="128"/>
      <c r="I335" s="140"/>
      <c r="J335" s="112"/>
      <c r="K335" s="165"/>
      <c r="L335" s="111"/>
      <c r="M335" s="165"/>
    </row>
    <row r="336" spans="1:13" ht="15" customHeight="1" x14ac:dyDescent="0.25">
      <c r="A336" s="126"/>
      <c r="B336" s="129"/>
      <c r="C336" s="124"/>
      <c r="D336" s="149"/>
      <c r="E336" s="150"/>
      <c r="F336" s="150"/>
      <c r="G336" s="128"/>
      <c r="H336" s="128"/>
      <c r="I336" s="140"/>
      <c r="J336" s="194" t="s">
        <v>39</v>
      </c>
      <c r="K336" s="192"/>
      <c r="L336" s="111"/>
      <c r="M336" s="165"/>
    </row>
    <row r="337" spans="1:13" ht="15" customHeight="1" x14ac:dyDescent="0.25">
      <c r="A337" s="126"/>
      <c r="B337" s="129"/>
      <c r="C337" s="124"/>
      <c r="D337" s="149"/>
      <c r="E337" s="150"/>
      <c r="F337" s="150"/>
      <c r="G337" s="128"/>
      <c r="H337" s="128"/>
      <c r="I337" s="140"/>
      <c r="J337" s="112"/>
      <c r="K337" s="165"/>
      <c r="L337" s="111"/>
      <c r="M337" s="165"/>
    </row>
    <row r="338" spans="1:13" ht="15" customHeight="1" x14ac:dyDescent="0.25">
      <c r="A338" s="126"/>
      <c r="B338" s="129"/>
      <c r="C338" s="124"/>
      <c r="D338" s="149"/>
      <c r="E338" s="150"/>
      <c r="F338" s="150"/>
      <c r="G338" s="128"/>
      <c r="H338" s="128"/>
      <c r="I338" s="140"/>
      <c r="J338" s="194" t="s">
        <v>40</v>
      </c>
      <c r="K338" s="195"/>
      <c r="L338" s="111"/>
      <c r="M338" s="165"/>
    </row>
    <row r="339" spans="1:13" ht="15" customHeight="1" x14ac:dyDescent="0.25">
      <c r="A339" s="126"/>
      <c r="B339" s="129"/>
      <c r="C339" s="124"/>
      <c r="D339" s="149"/>
      <c r="E339" s="150"/>
      <c r="F339" s="150"/>
      <c r="G339" s="128"/>
      <c r="H339" s="128"/>
      <c r="I339" s="140"/>
      <c r="J339" s="112"/>
      <c r="K339" s="165"/>
      <c r="L339" s="111"/>
      <c r="M339" s="165"/>
    </row>
    <row r="340" spans="1:13" ht="15" customHeight="1" x14ac:dyDescent="0.25">
      <c r="A340" s="126"/>
      <c r="B340" s="129"/>
      <c r="C340" s="124"/>
      <c r="D340" s="149"/>
      <c r="E340" s="150"/>
      <c r="F340" s="150"/>
      <c r="G340" s="128"/>
      <c r="H340" s="128"/>
      <c r="I340" s="140"/>
      <c r="J340" s="194" t="s">
        <v>41</v>
      </c>
      <c r="K340" s="195"/>
      <c r="L340" s="111"/>
      <c r="M340" s="165"/>
    </row>
    <row r="341" spans="1:13" ht="15" customHeight="1" x14ac:dyDescent="0.25">
      <c r="A341" s="126"/>
      <c r="B341" s="129"/>
      <c r="C341" s="124"/>
      <c r="D341" s="149"/>
      <c r="E341" s="150"/>
      <c r="F341" s="150"/>
      <c r="G341" s="128"/>
      <c r="H341" s="128"/>
      <c r="I341" s="140"/>
      <c r="J341" s="112"/>
      <c r="K341" s="165"/>
      <c r="L341" s="111"/>
      <c r="M341" s="165"/>
    </row>
    <row r="342" spans="1:13" ht="15" customHeight="1" x14ac:dyDescent="0.25">
      <c r="A342" s="126"/>
      <c r="B342" s="129"/>
      <c r="C342" s="124"/>
      <c r="D342" s="149"/>
      <c r="E342" s="150"/>
      <c r="F342" s="150"/>
      <c r="G342" s="128"/>
      <c r="H342" s="128"/>
      <c r="I342" s="140"/>
      <c r="J342" s="194" t="s">
        <v>42</v>
      </c>
      <c r="K342" s="192"/>
      <c r="L342" s="111"/>
      <c r="M342" s="165"/>
    </row>
    <row r="343" spans="1:13" ht="15" customHeight="1" x14ac:dyDescent="0.25">
      <c r="A343" s="126"/>
      <c r="B343" s="129"/>
      <c r="C343" s="124"/>
      <c r="D343" s="149"/>
      <c r="E343" s="150"/>
      <c r="F343" s="150"/>
      <c r="G343" s="128"/>
      <c r="H343" s="128"/>
      <c r="I343" s="140"/>
      <c r="J343" s="112"/>
      <c r="K343" s="165"/>
      <c r="L343" s="111"/>
      <c r="M343" s="165"/>
    </row>
    <row r="344" spans="1:13" ht="15" customHeight="1" x14ac:dyDescent="0.25">
      <c r="A344" s="126"/>
      <c r="B344" s="129"/>
      <c r="C344" s="124"/>
      <c r="D344" s="149"/>
      <c r="E344" s="150"/>
      <c r="F344" s="150"/>
      <c r="G344" s="128"/>
      <c r="H344" s="128"/>
      <c r="I344" s="140"/>
      <c r="J344" s="193" t="s">
        <v>43</v>
      </c>
      <c r="K344" s="195"/>
      <c r="L344" s="111"/>
      <c r="M344" s="165"/>
    </row>
    <row r="345" spans="1:13" ht="15" customHeight="1" x14ac:dyDescent="0.25">
      <c r="A345" s="126"/>
      <c r="B345" s="129"/>
      <c r="C345" s="124"/>
      <c r="D345" s="149"/>
      <c r="E345" s="150"/>
      <c r="F345" s="150"/>
      <c r="G345" s="128"/>
      <c r="H345" s="128"/>
      <c r="I345" s="140"/>
      <c r="J345" s="112"/>
      <c r="K345" s="165"/>
      <c r="L345" s="111"/>
      <c r="M345" s="165"/>
    </row>
    <row r="346" spans="1:13" ht="15" customHeight="1" x14ac:dyDescent="0.25">
      <c r="A346" s="126"/>
      <c r="B346" s="129"/>
      <c r="C346" s="124"/>
      <c r="D346" s="149"/>
      <c r="E346" s="150"/>
      <c r="F346" s="150"/>
      <c r="G346" s="128"/>
      <c r="H346" s="128"/>
      <c r="I346" s="140"/>
      <c r="J346" s="194" t="s">
        <v>44</v>
      </c>
      <c r="K346" s="195"/>
      <c r="L346" s="111"/>
      <c r="M346" s="165"/>
    </row>
    <row r="347" spans="1:13" ht="15" customHeight="1" x14ac:dyDescent="0.25">
      <c r="A347" s="126"/>
      <c r="B347" s="129"/>
      <c r="C347" s="124"/>
      <c r="D347" s="149"/>
      <c r="E347" s="150"/>
      <c r="F347" s="150"/>
      <c r="G347" s="128"/>
      <c r="H347" s="128"/>
      <c r="I347" s="140"/>
      <c r="J347" s="112"/>
      <c r="K347" s="165"/>
      <c r="L347" s="111"/>
      <c r="M347" s="165"/>
    </row>
    <row r="348" spans="1:13" ht="15" customHeight="1" x14ac:dyDescent="0.25">
      <c r="A348" s="130"/>
      <c r="B348" s="129"/>
      <c r="C348" s="124"/>
      <c r="D348" s="149"/>
      <c r="E348" s="150"/>
      <c r="F348" s="150"/>
      <c r="G348" s="128"/>
      <c r="H348" s="128"/>
      <c r="I348" s="140"/>
      <c r="J348" s="194" t="s">
        <v>45</v>
      </c>
      <c r="K348" s="196"/>
      <c r="L348" s="111"/>
      <c r="M348" s="165"/>
    </row>
    <row r="349" spans="1:13" ht="5.0999999999999996" customHeight="1" x14ac:dyDescent="0.25">
      <c r="A349" s="140"/>
      <c r="B349" s="140"/>
      <c r="C349" s="140"/>
      <c r="D349" s="140"/>
      <c r="E349" s="140"/>
      <c r="F349" s="140"/>
      <c r="G349" s="140"/>
      <c r="H349" s="140"/>
      <c r="I349" s="140"/>
      <c r="J349" s="194"/>
      <c r="K349" s="197"/>
      <c r="L349" s="111"/>
      <c r="M349" s="191"/>
    </row>
    <row r="350" spans="1:13" ht="16.5" thickBot="1" x14ac:dyDescent="0.3">
      <c r="A350" s="113"/>
      <c r="B350" s="114"/>
      <c r="C350" s="115"/>
      <c r="D350" s="115"/>
      <c r="E350" s="116"/>
      <c r="F350" s="116"/>
      <c r="G350" s="164"/>
      <c r="H350" s="120"/>
      <c r="I350" s="140"/>
      <c r="J350" s="119"/>
      <c r="K350" s="119"/>
      <c r="L350" s="210"/>
      <c r="M350" s="191"/>
    </row>
    <row r="351" spans="1:13" ht="5.0999999999999996" customHeight="1" thickBot="1" x14ac:dyDescent="0.3">
      <c r="A351" s="217"/>
      <c r="B351" s="212"/>
      <c r="C351" s="213"/>
      <c r="D351" s="213"/>
      <c r="E351" s="214"/>
      <c r="F351" s="214"/>
      <c r="G351" s="215"/>
      <c r="H351" s="218"/>
      <c r="I351" s="140"/>
      <c r="J351" s="210"/>
      <c r="K351" s="210"/>
      <c r="L351" s="210"/>
      <c r="M351" s="191"/>
    </row>
    <row r="352" spans="1:13" ht="15" customHeight="1" thickBot="1" x14ac:dyDescent="0.3">
      <c r="A352" s="125"/>
      <c r="B352" s="148"/>
      <c r="C352" s="124"/>
      <c r="D352" s="149"/>
      <c r="E352" s="150"/>
      <c r="F352" s="150"/>
      <c r="G352" s="127"/>
      <c r="H352" s="189"/>
      <c r="I352" s="140"/>
      <c r="J352" s="209"/>
      <c r="K352" s="222"/>
      <c r="L352" s="112"/>
      <c r="M352" s="166"/>
    </row>
    <row r="353" spans="1:13" ht="15" customHeight="1" thickBot="1" x14ac:dyDescent="0.3">
      <c r="A353" s="126"/>
      <c r="B353" s="129"/>
      <c r="C353" s="124"/>
      <c r="D353" s="149"/>
      <c r="E353" s="150"/>
      <c r="F353" s="150"/>
      <c r="G353" s="128"/>
      <c r="H353" s="128"/>
      <c r="I353" s="140"/>
      <c r="J353" s="112"/>
      <c r="K353" s="166"/>
      <c r="L353" s="118"/>
      <c r="M353" s="166"/>
    </row>
    <row r="354" spans="1:13" ht="15" customHeight="1" x14ac:dyDescent="0.25">
      <c r="A354" s="126"/>
      <c r="B354" s="129"/>
      <c r="C354" s="124"/>
      <c r="D354" s="149"/>
      <c r="E354" s="150"/>
      <c r="F354" s="150"/>
      <c r="G354" s="128"/>
      <c r="H354" s="128"/>
      <c r="I354" s="140"/>
      <c r="J354" s="194" t="s">
        <v>39</v>
      </c>
      <c r="K354" s="222"/>
      <c r="L354" s="118"/>
      <c r="M354" s="166"/>
    </row>
    <row r="355" spans="1:13" ht="15" customHeight="1" thickBot="1" x14ac:dyDescent="0.3">
      <c r="A355" s="126"/>
      <c r="B355" s="129"/>
      <c r="C355" s="124"/>
      <c r="D355" s="149"/>
      <c r="E355" s="150"/>
      <c r="F355" s="150"/>
      <c r="G355" s="128"/>
      <c r="H355" s="128"/>
      <c r="I355" s="140"/>
      <c r="J355" s="112"/>
      <c r="K355" s="166"/>
      <c r="L355" s="118"/>
      <c r="M355" s="166"/>
    </row>
    <row r="356" spans="1:13" ht="15" customHeight="1" x14ac:dyDescent="0.25">
      <c r="A356" s="126"/>
      <c r="B356" s="129"/>
      <c r="C356" s="124"/>
      <c r="D356" s="149"/>
      <c r="E356" s="150"/>
      <c r="F356" s="150"/>
      <c r="G356" s="128"/>
      <c r="H356" s="128"/>
      <c r="I356" s="140"/>
      <c r="J356" s="194" t="s">
        <v>40</v>
      </c>
      <c r="K356" s="223"/>
      <c r="L356" s="118"/>
      <c r="M356" s="166"/>
    </row>
    <row r="357" spans="1:13" ht="15" customHeight="1" thickBot="1" x14ac:dyDescent="0.3">
      <c r="A357" s="126"/>
      <c r="B357" s="129"/>
      <c r="C357" s="124"/>
      <c r="D357" s="149"/>
      <c r="E357" s="150"/>
      <c r="F357" s="150"/>
      <c r="G357" s="128"/>
      <c r="H357" s="128"/>
      <c r="I357" s="140"/>
      <c r="J357" s="112"/>
      <c r="K357" s="166"/>
      <c r="L357" s="118"/>
      <c r="M357" s="166"/>
    </row>
    <row r="358" spans="1:13" ht="15" customHeight="1" x14ac:dyDescent="0.25">
      <c r="A358" s="126"/>
      <c r="B358" s="129"/>
      <c r="C358" s="124"/>
      <c r="D358" s="149"/>
      <c r="E358" s="150"/>
      <c r="F358" s="150"/>
      <c r="G358" s="128"/>
      <c r="H358" s="128"/>
      <c r="I358" s="140"/>
      <c r="J358" s="194" t="s">
        <v>41</v>
      </c>
      <c r="K358" s="223"/>
      <c r="L358" s="118"/>
      <c r="M358" s="166"/>
    </row>
    <row r="359" spans="1:13" ht="15" customHeight="1" thickBot="1" x14ac:dyDescent="0.3">
      <c r="A359" s="126"/>
      <c r="B359" s="129"/>
      <c r="C359" s="124"/>
      <c r="D359" s="149"/>
      <c r="E359" s="150"/>
      <c r="F359" s="150"/>
      <c r="G359" s="128"/>
      <c r="H359" s="128"/>
      <c r="I359" s="140"/>
      <c r="J359" s="112"/>
      <c r="K359" s="166"/>
      <c r="L359" s="118"/>
      <c r="M359" s="166"/>
    </row>
    <row r="360" spans="1:13" ht="15" customHeight="1" x14ac:dyDescent="0.25">
      <c r="A360" s="126"/>
      <c r="B360" s="129"/>
      <c r="C360" s="124"/>
      <c r="D360" s="149"/>
      <c r="E360" s="150"/>
      <c r="F360" s="150"/>
      <c r="G360" s="128"/>
      <c r="H360" s="128"/>
      <c r="I360" s="140"/>
      <c r="J360" s="194" t="s">
        <v>42</v>
      </c>
      <c r="K360" s="222"/>
      <c r="L360" s="111"/>
      <c r="M360" s="166"/>
    </row>
    <row r="361" spans="1:13" ht="15" customHeight="1" thickBot="1" x14ac:dyDescent="0.3">
      <c r="A361" s="126"/>
      <c r="B361" s="129"/>
      <c r="C361" s="124"/>
      <c r="D361" s="149"/>
      <c r="E361" s="150"/>
      <c r="F361" s="150"/>
      <c r="G361" s="128"/>
      <c r="H361" s="128"/>
      <c r="I361" s="140"/>
      <c r="J361" s="112"/>
      <c r="K361" s="166"/>
      <c r="L361" s="111"/>
      <c r="M361" s="166"/>
    </row>
    <row r="362" spans="1:13" ht="15" customHeight="1" x14ac:dyDescent="0.25">
      <c r="A362" s="126"/>
      <c r="B362" s="129"/>
      <c r="C362" s="124"/>
      <c r="D362" s="149"/>
      <c r="E362" s="150"/>
      <c r="F362" s="150"/>
      <c r="G362" s="128"/>
      <c r="H362" s="128"/>
      <c r="I362" s="140"/>
      <c r="J362" s="193" t="s">
        <v>43</v>
      </c>
      <c r="K362" s="222"/>
      <c r="L362" s="111"/>
      <c r="M362" s="166"/>
    </row>
    <row r="363" spans="1:13" ht="15" customHeight="1" x14ac:dyDescent="0.25">
      <c r="A363" s="126"/>
      <c r="B363" s="129"/>
      <c r="C363" s="124"/>
      <c r="D363" s="149"/>
      <c r="E363" s="150"/>
      <c r="F363" s="150"/>
      <c r="G363" s="128"/>
      <c r="H363" s="128"/>
      <c r="I363" s="140"/>
      <c r="J363" s="112"/>
      <c r="K363" s="166"/>
      <c r="L363" s="111"/>
      <c r="M363" s="166"/>
    </row>
    <row r="364" spans="1:13" ht="15" customHeight="1" x14ac:dyDescent="0.25">
      <c r="A364" s="126"/>
      <c r="B364" s="129"/>
      <c r="C364" s="124"/>
      <c r="D364" s="149"/>
      <c r="E364" s="150"/>
      <c r="F364" s="150"/>
      <c r="G364" s="128"/>
      <c r="H364" s="128"/>
      <c r="I364" s="140"/>
      <c r="J364" s="194" t="s">
        <v>44</v>
      </c>
      <c r="K364" s="224"/>
      <c r="L364" s="111"/>
      <c r="M364" s="166"/>
    </row>
    <row r="365" spans="1:13" ht="15" customHeight="1" x14ac:dyDescent="0.25">
      <c r="A365" s="126"/>
      <c r="B365" s="129"/>
      <c r="C365" s="124"/>
      <c r="D365" s="149"/>
      <c r="E365" s="150"/>
      <c r="F365" s="150"/>
      <c r="G365" s="128"/>
      <c r="H365" s="128"/>
      <c r="I365" s="140"/>
      <c r="J365" s="112"/>
      <c r="K365" s="166"/>
      <c r="L365" s="111"/>
      <c r="M365" s="166"/>
    </row>
    <row r="366" spans="1:13" ht="15" customHeight="1" x14ac:dyDescent="0.25">
      <c r="A366" s="130"/>
      <c r="B366" s="129"/>
      <c r="C366" s="124"/>
      <c r="D366" s="149"/>
      <c r="E366" s="150"/>
      <c r="F366" s="150"/>
      <c r="G366" s="128"/>
      <c r="H366" s="128"/>
      <c r="I366" s="140"/>
      <c r="J366" s="194" t="s">
        <v>45</v>
      </c>
      <c r="K366" s="224"/>
      <c r="L366" s="111"/>
      <c r="M366" s="166"/>
    </row>
    <row r="367" spans="1:13" ht="5.0999999999999996" customHeight="1" x14ac:dyDescent="0.25">
      <c r="A367" s="140"/>
      <c r="B367" s="140"/>
      <c r="C367" s="140"/>
      <c r="D367" s="140"/>
      <c r="E367" s="140"/>
      <c r="F367" s="140"/>
      <c r="G367" s="140"/>
      <c r="H367" s="140"/>
      <c r="I367" s="140"/>
      <c r="J367" s="194"/>
      <c r="K367" s="166"/>
      <c r="L367" s="111"/>
      <c r="M367" s="191"/>
    </row>
    <row r="368" spans="1:13" ht="16.5" thickBot="1" x14ac:dyDescent="0.3">
      <c r="A368" s="113"/>
      <c r="B368" s="114"/>
      <c r="C368" s="115"/>
      <c r="D368" s="115"/>
      <c r="E368" s="116"/>
      <c r="F368" s="116"/>
      <c r="G368" s="164"/>
      <c r="H368" s="120"/>
      <c r="I368" s="140"/>
      <c r="J368" s="120"/>
      <c r="K368" s="121"/>
      <c r="L368" s="221"/>
      <c r="M368" s="191"/>
    </row>
    <row r="369" spans="1:13" ht="5.0999999999999996" customHeight="1" thickBot="1" x14ac:dyDescent="0.3">
      <c r="A369" s="217"/>
      <c r="B369" s="212"/>
      <c r="C369" s="213"/>
      <c r="D369" s="213"/>
      <c r="E369" s="214"/>
      <c r="F369" s="214"/>
      <c r="G369" s="215"/>
      <c r="H369" s="218"/>
      <c r="I369" s="140"/>
      <c r="J369" s="219"/>
      <c r="K369" s="220"/>
      <c r="L369" s="221"/>
      <c r="M369" s="191"/>
    </row>
    <row r="370" spans="1:13" ht="15" customHeight="1" thickBot="1" x14ac:dyDescent="0.3">
      <c r="A370" s="126"/>
      <c r="B370" s="148"/>
      <c r="C370" s="124"/>
      <c r="D370" s="149"/>
      <c r="E370" s="150"/>
      <c r="F370" s="150"/>
      <c r="G370" s="127"/>
      <c r="H370" s="189"/>
      <c r="I370" s="140"/>
      <c r="J370" s="209"/>
      <c r="K370" s="223"/>
      <c r="L370" s="112"/>
      <c r="M370" s="166"/>
    </row>
    <row r="371" spans="1:13" ht="15" customHeight="1" thickBot="1" x14ac:dyDescent="0.3">
      <c r="A371" s="126"/>
      <c r="B371" s="129"/>
      <c r="C371" s="124"/>
      <c r="D371" s="149"/>
      <c r="E371" s="150"/>
      <c r="F371" s="150"/>
      <c r="G371" s="128"/>
      <c r="H371" s="189"/>
      <c r="I371" s="140"/>
      <c r="J371" s="112"/>
      <c r="K371" s="166"/>
      <c r="L371" s="118"/>
      <c r="M371" s="166"/>
    </row>
    <row r="372" spans="1:13" ht="15" customHeight="1" x14ac:dyDescent="0.25">
      <c r="A372" s="126"/>
      <c r="B372" s="129"/>
      <c r="C372" s="124"/>
      <c r="D372" s="149"/>
      <c r="E372" s="150"/>
      <c r="F372" s="150"/>
      <c r="G372" s="128"/>
      <c r="H372" s="189"/>
      <c r="I372" s="140"/>
      <c r="J372" s="194" t="s">
        <v>39</v>
      </c>
      <c r="K372" s="223"/>
      <c r="L372" s="118"/>
      <c r="M372" s="166"/>
    </row>
    <row r="373" spans="1:13" ht="15" customHeight="1" thickBot="1" x14ac:dyDescent="0.3">
      <c r="A373" s="126"/>
      <c r="B373" s="129"/>
      <c r="C373" s="124"/>
      <c r="D373" s="149"/>
      <c r="E373" s="150"/>
      <c r="F373" s="150"/>
      <c r="G373" s="128"/>
      <c r="H373" s="128"/>
      <c r="I373" s="140"/>
      <c r="J373" s="112"/>
      <c r="K373" s="166"/>
      <c r="L373" s="118"/>
      <c r="M373" s="166"/>
    </row>
    <row r="374" spans="1:13" ht="15" customHeight="1" x14ac:dyDescent="0.25">
      <c r="A374" s="126"/>
      <c r="B374" s="129"/>
      <c r="C374" s="124"/>
      <c r="D374" s="149"/>
      <c r="E374" s="150"/>
      <c r="F374" s="150"/>
      <c r="G374" s="128"/>
      <c r="H374" s="128"/>
      <c r="I374" s="140"/>
      <c r="J374" s="194" t="s">
        <v>40</v>
      </c>
      <c r="K374" s="223"/>
      <c r="L374" s="118"/>
      <c r="M374" s="166"/>
    </row>
    <row r="375" spans="1:13" ht="15" customHeight="1" thickBot="1" x14ac:dyDescent="0.3">
      <c r="A375" s="126"/>
      <c r="B375" s="129"/>
      <c r="C375" s="124"/>
      <c r="D375" s="149"/>
      <c r="E375" s="150"/>
      <c r="F375" s="150"/>
      <c r="G375" s="128"/>
      <c r="H375" s="128"/>
      <c r="I375" s="140"/>
      <c r="J375" s="112"/>
      <c r="K375" s="166"/>
      <c r="L375" s="118"/>
      <c r="M375" s="166"/>
    </row>
    <row r="376" spans="1:13" ht="15" customHeight="1" x14ac:dyDescent="0.25">
      <c r="A376" s="126"/>
      <c r="B376" s="129"/>
      <c r="C376" s="124"/>
      <c r="D376" s="149"/>
      <c r="E376" s="150"/>
      <c r="F376" s="150"/>
      <c r="G376" s="128"/>
      <c r="H376" s="128"/>
      <c r="I376" s="140"/>
      <c r="J376" s="194" t="s">
        <v>41</v>
      </c>
      <c r="K376" s="223"/>
      <c r="L376" s="118"/>
      <c r="M376" s="166"/>
    </row>
    <row r="377" spans="1:13" ht="15" customHeight="1" thickBot="1" x14ac:dyDescent="0.3">
      <c r="A377" s="126"/>
      <c r="B377" s="129"/>
      <c r="C377" s="124"/>
      <c r="D377" s="149"/>
      <c r="E377" s="150"/>
      <c r="F377" s="150"/>
      <c r="G377" s="128"/>
      <c r="H377" s="128"/>
      <c r="I377" s="140"/>
      <c r="J377" s="112"/>
      <c r="K377" s="166"/>
      <c r="L377" s="118"/>
      <c r="M377" s="166"/>
    </row>
    <row r="378" spans="1:13" ht="15" customHeight="1" x14ac:dyDescent="0.25">
      <c r="A378" s="126"/>
      <c r="B378" s="129"/>
      <c r="C378" s="124"/>
      <c r="D378" s="149"/>
      <c r="E378" s="150"/>
      <c r="F378" s="150"/>
      <c r="G378" s="128"/>
      <c r="H378" s="128"/>
      <c r="I378" s="140"/>
      <c r="J378" s="194" t="s">
        <v>42</v>
      </c>
      <c r="K378" s="223"/>
      <c r="L378" s="111"/>
      <c r="M378" s="166"/>
    </row>
    <row r="379" spans="1:13" ht="15" customHeight="1" thickBot="1" x14ac:dyDescent="0.3">
      <c r="A379" s="126"/>
      <c r="B379" s="129"/>
      <c r="C379" s="124"/>
      <c r="D379" s="149"/>
      <c r="E379" s="150"/>
      <c r="F379" s="150"/>
      <c r="G379" s="128"/>
      <c r="H379" s="128"/>
      <c r="I379" s="140"/>
      <c r="J379" s="112"/>
      <c r="K379" s="166"/>
      <c r="L379" s="111"/>
      <c r="M379" s="166"/>
    </row>
    <row r="380" spans="1:13" ht="15" customHeight="1" x14ac:dyDescent="0.25">
      <c r="A380" s="126"/>
      <c r="B380" s="129"/>
      <c r="C380" s="124"/>
      <c r="D380" s="149"/>
      <c r="E380" s="150"/>
      <c r="F380" s="150"/>
      <c r="G380" s="128"/>
      <c r="H380" s="128"/>
      <c r="I380" s="140"/>
      <c r="J380" s="193" t="s">
        <v>43</v>
      </c>
      <c r="K380" s="223"/>
      <c r="L380" s="111"/>
      <c r="M380" s="166"/>
    </row>
    <row r="381" spans="1:13" ht="15" customHeight="1" x14ac:dyDescent="0.25">
      <c r="A381" s="126"/>
      <c r="B381" s="129"/>
      <c r="C381" s="124"/>
      <c r="D381" s="149"/>
      <c r="E381" s="150"/>
      <c r="F381" s="150"/>
      <c r="G381" s="128"/>
      <c r="H381" s="128"/>
      <c r="I381" s="140"/>
      <c r="J381" s="112"/>
      <c r="K381" s="166"/>
      <c r="L381" s="111"/>
      <c r="M381" s="166"/>
    </row>
    <row r="382" spans="1:13" ht="15" customHeight="1" x14ac:dyDescent="0.25">
      <c r="A382" s="126"/>
      <c r="B382" s="129"/>
      <c r="C382" s="124"/>
      <c r="D382" s="149"/>
      <c r="E382" s="150"/>
      <c r="F382" s="150"/>
      <c r="G382" s="128"/>
      <c r="H382" s="128"/>
      <c r="I382" s="140"/>
      <c r="J382" s="194" t="s">
        <v>44</v>
      </c>
      <c r="K382" s="224"/>
      <c r="L382" s="111"/>
      <c r="M382" s="166"/>
    </row>
    <row r="383" spans="1:13" ht="15" customHeight="1" x14ac:dyDescent="0.25">
      <c r="A383" s="126"/>
      <c r="B383" s="129"/>
      <c r="C383" s="124"/>
      <c r="D383" s="149"/>
      <c r="E383" s="150"/>
      <c r="F383" s="150"/>
      <c r="G383" s="128"/>
      <c r="H383" s="128"/>
      <c r="I383" s="140"/>
      <c r="J383" s="112"/>
      <c r="K383" s="166"/>
      <c r="L383" s="111"/>
      <c r="M383" s="166"/>
    </row>
    <row r="384" spans="1:13" ht="15" customHeight="1" x14ac:dyDescent="0.25">
      <c r="A384" s="130"/>
      <c r="B384" s="129"/>
      <c r="C384" s="124"/>
      <c r="D384" s="149"/>
      <c r="E384" s="150"/>
      <c r="F384" s="150"/>
      <c r="G384" s="128"/>
      <c r="H384" s="128"/>
      <c r="I384" s="140"/>
      <c r="J384" s="194" t="s">
        <v>45</v>
      </c>
      <c r="K384" s="224"/>
      <c r="L384" s="111"/>
      <c r="M384" s="166"/>
    </row>
    <row r="385" spans="1:13" ht="5.0999999999999996" customHeight="1" x14ac:dyDescent="0.25">
      <c r="A385" s="140"/>
      <c r="B385" s="140"/>
      <c r="C385" s="140"/>
      <c r="D385" s="140"/>
      <c r="E385" s="140"/>
      <c r="F385" s="140"/>
      <c r="G385" s="140"/>
      <c r="H385" s="140"/>
      <c r="I385" s="140"/>
      <c r="J385" s="194"/>
      <c r="K385" s="166"/>
      <c r="L385" s="111"/>
      <c r="M385" s="191"/>
    </row>
    <row r="386" spans="1:13" ht="16.5" thickBot="1" x14ac:dyDescent="0.3">
      <c r="A386" s="113"/>
      <c r="B386" s="114"/>
      <c r="C386" s="115"/>
      <c r="D386" s="115"/>
      <c r="E386" s="116"/>
      <c r="F386" s="116"/>
      <c r="G386" s="164"/>
      <c r="H386" s="120"/>
      <c r="I386" s="140"/>
      <c r="J386" s="120"/>
      <c r="K386" s="121"/>
      <c r="L386" s="221"/>
      <c r="M386" s="191"/>
    </row>
    <row r="387" spans="1:13" ht="5.0999999999999996" customHeight="1" thickBot="1" x14ac:dyDescent="0.3">
      <c r="A387" s="217"/>
      <c r="B387" s="212"/>
      <c r="C387" s="225"/>
      <c r="D387" s="213"/>
      <c r="E387" s="214"/>
      <c r="F387" s="214"/>
      <c r="G387" s="226"/>
      <c r="H387" s="218"/>
      <c r="I387" s="140"/>
      <c r="J387" s="218"/>
      <c r="K387" s="220"/>
      <c r="L387" s="221"/>
      <c r="M387" s="191"/>
    </row>
    <row r="388" spans="1:13" ht="15" customHeight="1" thickBot="1" x14ac:dyDescent="0.3">
      <c r="A388" s="126"/>
      <c r="B388" s="148"/>
      <c r="C388" s="124"/>
      <c r="D388" s="149"/>
      <c r="E388" s="150"/>
      <c r="F388" s="150"/>
      <c r="G388" s="128"/>
      <c r="H388" s="128"/>
      <c r="I388" s="140"/>
      <c r="J388" s="209"/>
      <c r="K388" s="223"/>
      <c r="L388" s="112"/>
      <c r="M388" s="166"/>
    </row>
    <row r="389" spans="1:13" ht="15" customHeight="1" thickBot="1" x14ac:dyDescent="0.3">
      <c r="A389" s="126"/>
      <c r="B389" s="129"/>
      <c r="C389" s="124"/>
      <c r="D389" s="149"/>
      <c r="E389" s="150"/>
      <c r="F389" s="150"/>
      <c r="G389" s="128"/>
      <c r="H389" s="128"/>
      <c r="I389" s="140"/>
      <c r="J389" s="112"/>
      <c r="K389" s="166"/>
      <c r="L389" s="118"/>
      <c r="M389" s="166"/>
    </row>
    <row r="390" spans="1:13" ht="15" customHeight="1" x14ac:dyDescent="0.25">
      <c r="A390" s="126"/>
      <c r="B390" s="129"/>
      <c r="C390" s="124"/>
      <c r="D390" s="149"/>
      <c r="E390" s="150"/>
      <c r="F390" s="150"/>
      <c r="G390" s="128"/>
      <c r="H390" s="128"/>
      <c r="I390" s="140"/>
      <c r="J390" s="194" t="s">
        <v>39</v>
      </c>
      <c r="K390" s="223"/>
      <c r="L390" s="118"/>
      <c r="M390" s="166"/>
    </row>
    <row r="391" spans="1:13" ht="15" customHeight="1" thickBot="1" x14ac:dyDescent="0.3">
      <c r="A391" s="126"/>
      <c r="B391" s="129"/>
      <c r="C391" s="124"/>
      <c r="D391" s="149"/>
      <c r="E391" s="150"/>
      <c r="F391" s="150"/>
      <c r="G391" s="128"/>
      <c r="H391" s="128"/>
      <c r="I391" s="140"/>
      <c r="J391" s="112"/>
      <c r="K391" s="166"/>
      <c r="L391" s="118"/>
      <c r="M391" s="166"/>
    </row>
    <row r="392" spans="1:13" ht="15" customHeight="1" x14ac:dyDescent="0.25">
      <c r="A392" s="126"/>
      <c r="B392" s="129"/>
      <c r="C392" s="124"/>
      <c r="D392" s="149"/>
      <c r="E392" s="150"/>
      <c r="F392" s="150"/>
      <c r="G392" s="128"/>
      <c r="H392" s="128"/>
      <c r="I392" s="140"/>
      <c r="J392" s="194" t="s">
        <v>40</v>
      </c>
      <c r="K392" s="223"/>
      <c r="L392" s="118"/>
      <c r="M392" s="166"/>
    </row>
    <row r="393" spans="1:13" ht="15" customHeight="1" thickBot="1" x14ac:dyDescent="0.3">
      <c r="A393" s="126"/>
      <c r="B393" s="129"/>
      <c r="C393" s="124"/>
      <c r="D393" s="149"/>
      <c r="E393" s="150"/>
      <c r="F393" s="150"/>
      <c r="G393" s="128"/>
      <c r="H393" s="128"/>
      <c r="I393" s="140"/>
      <c r="J393" s="112"/>
      <c r="K393" s="166"/>
      <c r="L393" s="118"/>
      <c r="M393" s="166"/>
    </row>
    <row r="394" spans="1:13" ht="15" customHeight="1" x14ac:dyDescent="0.25">
      <c r="A394" s="126"/>
      <c r="B394" s="129"/>
      <c r="C394" s="124"/>
      <c r="D394" s="149"/>
      <c r="E394" s="150"/>
      <c r="F394" s="150"/>
      <c r="G394" s="128"/>
      <c r="H394" s="128"/>
      <c r="I394" s="140"/>
      <c r="J394" s="194" t="s">
        <v>41</v>
      </c>
      <c r="K394" s="223"/>
      <c r="L394" s="118"/>
      <c r="M394" s="166"/>
    </row>
    <row r="395" spans="1:13" ht="15" customHeight="1" thickBot="1" x14ac:dyDescent="0.3">
      <c r="A395" s="126"/>
      <c r="B395" s="129"/>
      <c r="C395" s="124"/>
      <c r="D395" s="149"/>
      <c r="E395" s="150"/>
      <c r="F395" s="150"/>
      <c r="G395" s="128"/>
      <c r="H395" s="128"/>
      <c r="I395" s="140"/>
      <c r="J395" s="112"/>
      <c r="K395" s="166"/>
      <c r="L395" s="118"/>
      <c r="M395" s="166"/>
    </row>
    <row r="396" spans="1:13" ht="15" customHeight="1" x14ac:dyDescent="0.25">
      <c r="A396" s="126"/>
      <c r="B396" s="129"/>
      <c r="C396" s="124"/>
      <c r="D396" s="149"/>
      <c r="E396" s="150"/>
      <c r="F396" s="150"/>
      <c r="G396" s="128"/>
      <c r="H396" s="128"/>
      <c r="I396" s="140"/>
      <c r="J396" s="194" t="s">
        <v>42</v>
      </c>
      <c r="K396" s="223"/>
      <c r="L396" s="111"/>
      <c r="M396" s="166"/>
    </row>
    <row r="397" spans="1:13" ht="15" customHeight="1" thickBot="1" x14ac:dyDescent="0.3">
      <c r="A397" s="126"/>
      <c r="B397" s="129"/>
      <c r="C397" s="124"/>
      <c r="D397" s="149"/>
      <c r="E397" s="150"/>
      <c r="F397" s="150"/>
      <c r="G397" s="128"/>
      <c r="H397" s="128"/>
      <c r="I397" s="140"/>
      <c r="J397" s="112"/>
      <c r="K397" s="166"/>
      <c r="L397" s="111"/>
      <c r="M397" s="166"/>
    </row>
    <row r="398" spans="1:13" ht="15" customHeight="1" x14ac:dyDescent="0.25">
      <c r="A398" s="126"/>
      <c r="B398" s="129"/>
      <c r="C398" s="124"/>
      <c r="D398" s="149"/>
      <c r="E398" s="150"/>
      <c r="F398" s="150"/>
      <c r="G398" s="128"/>
      <c r="H398" s="128"/>
      <c r="I398" s="140"/>
      <c r="J398" s="193" t="s">
        <v>43</v>
      </c>
      <c r="K398" s="223"/>
      <c r="L398" s="111"/>
      <c r="M398" s="166"/>
    </row>
    <row r="399" spans="1:13" ht="15" customHeight="1" x14ac:dyDescent="0.25">
      <c r="A399" s="126"/>
      <c r="B399" s="129"/>
      <c r="C399" s="124"/>
      <c r="D399" s="149"/>
      <c r="E399" s="150"/>
      <c r="F399" s="150"/>
      <c r="G399" s="128"/>
      <c r="H399" s="128"/>
      <c r="I399" s="140"/>
      <c r="J399" s="112"/>
      <c r="K399" s="166"/>
      <c r="L399" s="111"/>
      <c r="M399" s="166"/>
    </row>
    <row r="400" spans="1:13" ht="15" customHeight="1" x14ac:dyDescent="0.25">
      <c r="A400" s="126"/>
      <c r="B400" s="129"/>
      <c r="C400" s="124"/>
      <c r="D400" s="149"/>
      <c r="E400" s="150"/>
      <c r="F400" s="150"/>
      <c r="G400" s="128"/>
      <c r="H400" s="128"/>
      <c r="I400" s="140"/>
      <c r="J400" s="194" t="s">
        <v>44</v>
      </c>
      <c r="K400" s="224"/>
      <c r="L400" s="111"/>
      <c r="M400" s="166"/>
    </row>
    <row r="401" spans="1:13" ht="15" customHeight="1" x14ac:dyDescent="0.25">
      <c r="A401" s="126"/>
      <c r="B401" s="129"/>
      <c r="C401" s="124"/>
      <c r="D401" s="149"/>
      <c r="E401" s="150"/>
      <c r="F401" s="150"/>
      <c r="G401" s="128"/>
      <c r="H401" s="128"/>
      <c r="I401" s="140"/>
      <c r="J401" s="112"/>
      <c r="K401" s="166"/>
      <c r="L401" s="111"/>
      <c r="M401" s="166"/>
    </row>
    <row r="402" spans="1:13" ht="15" customHeight="1" x14ac:dyDescent="0.25">
      <c r="A402" s="130"/>
      <c r="B402" s="129"/>
      <c r="C402" s="124"/>
      <c r="D402" s="149"/>
      <c r="E402" s="150"/>
      <c r="F402" s="150"/>
      <c r="G402" s="128"/>
      <c r="H402" s="128"/>
      <c r="I402" s="140"/>
      <c r="J402" s="194" t="s">
        <v>45</v>
      </c>
      <c r="K402" s="224"/>
      <c r="L402" s="111"/>
      <c r="M402" s="166"/>
    </row>
    <row r="403" spans="1:13" ht="5.0999999999999996" customHeight="1" x14ac:dyDescent="0.25">
      <c r="A403" s="140"/>
      <c r="B403" s="140"/>
      <c r="C403" s="140"/>
      <c r="D403" s="140"/>
      <c r="E403" s="140"/>
      <c r="F403" s="140"/>
      <c r="G403" s="140"/>
      <c r="H403" s="140"/>
      <c r="I403" s="140"/>
      <c r="J403" s="112"/>
      <c r="K403" s="166"/>
      <c r="L403" s="111"/>
      <c r="M403" s="191"/>
    </row>
    <row r="404" spans="1:13" ht="16.5" thickBot="1" x14ac:dyDescent="0.3">
      <c r="A404" s="113"/>
      <c r="B404" s="114"/>
      <c r="C404" s="115"/>
      <c r="D404" s="115"/>
      <c r="E404" s="116"/>
      <c r="F404" s="116"/>
      <c r="G404" s="164"/>
      <c r="H404" s="120"/>
      <c r="I404" s="140"/>
      <c r="J404" s="120"/>
      <c r="K404" s="121"/>
      <c r="L404" s="221"/>
      <c r="M404" s="191"/>
    </row>
    <row r="405" spans="1:13" ht="5.0999999999999996" customHeight="1" thickBot="1" x14ac:dyDescent="0.3">
      <c r="A405" s="217"/>
      <c r="B405" s="212"/>
      <c r="C405" s="213"/>
      <c r="D405" s="213"/>
      <c r="E405" s="214"/>
      <c r="F405" s="214"/>
      <c r="G405" s="215"/>
      <c r="H405" s="218"/>
      <c r="I405" s="140"/>
      <c r="J405" s="218"/>
      <c r="K405" s="220"/>
      <c r="L405" s="221"/>
      <c r="M405" s="191"/>
    </row>
    <row r="406" spans="1:13" ht="15" customHeight="1" thickBot="1" x14ac:dyDescent="0.3">
      <c r="A406" s="125"/>
      <c r="B406" s="148"/>
      <c r="C406" s="123"/>
      <c r="D406" s="149"/>
      <c r="E406" s="150"/>
      <c r="F406" s="150"/>
      <c r="G406" s="127"/>
      <c r="H406" s="189"/>
      <c r="I406" s="140"/>
      <c r="J406" s="209"/>
      <c r="K406" s="223"/>
      <c r="L406" s="112"/>
      <c r="M406" s="166"/>
    </row>
    <row r="407" spans="1:13" ht="15" customHeight="1" thickBot="1" x14ac:dyDescent="0.3">
      <c r="A407" s="126"/>
      <c r="B407" s="129"/>
      <c r="C407" s="124"/>
      <c r="D407" s="149"/>
      <c r="E407" s="150"/>
      <c r="F407" s="150"/>
      <c r="G407" s="128"/>
      <c r="H407" s="128"/>
      <c r="I407" s="140"/>
      <c r="J407" s="112"/>
      <c r="K407" s="166"/>
      <c r="L407" s="118"/>
      <c r="M407" s="166"/>
    </row>
    <row r="408" spans="1:13" ht="15" customHeight="1" x14ac:dyDescent="0.25">
      <c r="A408" s="126"/>
      <c r="B408" s="129"/>
      <c r="C408" s="124"/>
      <c r="D408" s="149"/>
      <c r="E408" s="150"/>
      <c r="F408" s="150"/>
      <c r="G408" s="128"/>
      <c r="H408" s="128"/>
      <c r="I408" s="140"/>
      <c r="J408" s="194" t="s">
        <v>39</v>
      </c>
      <c r="K408" s="223"/>
      <c r="L408" s="118"/>
      <c r="M408" s="166"/>
    </row>
    <row r="409" spans="1:13" ht="15" customHeight="1" thickBot="1" x14ac:dyDescent="0.3">
      <c r="A409" s="126"/>
      <c r="B409" s="129"/>
      <c r="C409" s="124"/>
      <c r="D409" s="149"/>
      <c r="E409" s="150"/>
      <c r="F409" s="150"/>
      <c r="G409" s="128"/>
      <c r="H409" s="128"/>
      <c r="I409" s="140"/>
      <c r="J409" s="112"/>
      <c r="K409" s="166"/>
      <c r="L409" s="118"/>
      <c r="M409" s="166"/>
    </row>
    <row r="410" spans="1:13" ht="15" customHeight="1" x14ac:dyDescent="0.25">
      <c r="A410" s="126"/>
      <c r="B410" s="129"/>
      <c r="C410" s="124"/>
      <c r="D410" s="149"/>
      <c r="E410" s="150"/>
      <c r="F410" s="150"/>
      <c r="G410" s="128"/>
      <c r="H410" s="128"/>
      <c r="I410" s="140"/>
      <c r="J410" s="194" t="s">
        <v>40</v>
      </c>
      <c r="K410" s="223"/>
      <c r="L410" s="118"/>
      <c r="M410" s="166"/>
    </row>
    <row r="411" spans="1:13" ht="15" customHeight="1" thickBot="1" x14ac:dyDescent="0.3">
      <c r="A411" s="126"/>
      <c r="B411" s="129"/>
      <c r="C411" s="124"/>
      <c r="D411" s="149"/>
      <c r="E411" s="150"/>
      <c r="F411" s="150"/>
      <c r="G411" s="128"/>
      <c r="H411" s="128"/>
      <c r="I411" s="140"/>
      <c r="J411" s="112"/>
      <c r="K411" s="166"/>
      <c r="L411" s="118"/>
      <c r="M411" s="166"/>
    </row>
    <row r="412" spans="1:13" ht="15" customHeight="1" x14ac:dyDescent="0.25">
      <c r="A412" s="126"/>
      <c r="B412" s="129"/>
      <c r="C412" s="124"/>
      <c r="D412" s="149"/>
      <c r="E412" s="150"/>
      <c r="F412" s="150"/>
      <c r="G412" s="128"/>
      <c r="H412" s="128"/>
      <c r="I412" s="140"/>
      <c r="J412" s="194" t="s">
        <v>41</v>
      </c>
      <c r="K412" s="223"/>
      <c r="L412" s="118"/>
      <c r="M412" s="166"/>
    </row>
    <row r="413" spans="1:13" ht="15" customHeight="1" thickBot="1" x14ac:dyDescent="0.3">
      <c r="A413" s="126"/>
      <c r="B413" s="129"/>
      <c r="C413" s="124"/>
      <c r="D413" s="149"/>
      <c r="E413" s="150"/>
      <c r="F413" s="150"/>
      <c r="G413" s="128"/>
      <c r="H413" s="128"/>
      <c r="I413" s="140"/>
      <c r="J413" s="112"/>
      <c r="K413" s="166"/>
      <c r="L413" s="118"/>
      <c r="M413" s="166"/>
    </row>
    <row r="414" spans="1:13" ht="15" customHeight="1" x14ac:dyDescent="0.25">
      <c r="A414" s="126"/>
      <c r="B414" s="129"/>
      <c r="C414" s="124"/>
      <c r="D414" s="149"/>
      <c r="E414" s="150"/>
      <c r="F414" s="150"/>
      <c r="G414" s="128"/>
      <c r="H414" s="128"/>
      <c r="I414" s="140"/>
      <c r="J414" s="194" t="s">
        <v>42</v>
      </c>
      <c r="K414" s="223"/>
      <c r="L414" s="111"/>
      <c r="M414" s="166"/>
    </row>
    <row r="415" spans="1:13" ht="15" customHeight="1" thickBot="1" x14ac:dyDescent="0.3">
      <c r="A415" s="126"/>
      <c r="B415" s="129"/>
      <c r="C415" s="124"/>
      <c r="D415" s="149"/>
      <c r="E415" s="150"/>
      <c r="F415" s="150"/>
      <c r="G415" s="128"/>
      <c r="H415" s="128"/>
      <c r="I415" s="140"/>
      <c r="J415" s="112"/>
      <c r="K415" s="166"/>
      <c r="L415" s="111"/>
      <c r="M415" s="166"/>
    </row>
    <row r="416" spans="1:13" ht="15" customHeight="1" x14ac:dyDescent="0.25">
      <c r="A416" s="126"/>
      <c r="B416" s="129"/>
      <c r="C416" s="124"/>
      <c r="D416" s="149"/>
      <c r="E416" s="150"/>
      <c r="F416" s="150"/>
      <c r="G416" s="128"/>
      <c r="H416" s="128"/>
      <c r="I416" s="140"/>
      <c r="J416" s="193" t="s">
        <v>43</v>
      </c>
      <c r="K416" s="223"/>
      <c r="L416" s="111"/>
      <c r="M416" s="166"/>
    </row>
    <row r="417" spans="1:13" ht="15" customHeight="1" x14ac:dyDescent="0.25">
      <c r="A417" s="126"/>
      <c r="B417" s="129"/>
      <c r="C417" s="124"/>
      <c r="D417" s="149"/>
      <c r="E417" s="150"/>
      <c r="F417" s="150"/>
      <c r="G417" s="128"/>
      <c r="H417" s="128"/>
      <c r="I417" s="140"/>
      <c r="J417" s="112"/>
      <c r="K417" s="166"/>
      <c r="L417" s="111"/>
      <c r="M417" s="166"/>
    </row>
    <row r="418" spans="1:13" ht="15" customHeight="1" x14ac:dyDescent="0.25">
      <c r="A418" s="126"/>
      <c r="B418" s="129"/>
      <c r="C418" s="124"/>
      <c r="D418" s="149"/>
      <c r="E418" s="150"/>
      <c r="F418" s="150"/>
      <c r="G418" s="128"/>
      <c r="H418" s="128"/>
      <c r="I418" s="140"/>
      <c r="J418" s="194" t="s">
        <v>44</v>
      </c>
      <c r="K418" s="224"/>
      <c r="L418" s="111"/>
      <c r="M418" s="166"/>
    </row>
    <row r="419" spans="1:13" ht="15" customHeight="1" x14ac:dyDescent="0.25">
      <c r="A419" s="126"/>
      <c r="B419" s="129"/>
      <c r="C419" s="124"/>
      <c r="D419" s="149"/>
      <c r="E419" s="150"/>
      <c r="F419" s="150"/>
      <c r="G419" s="128"/>
      <c r="H419" s="128"/>
      <c r="I419" s="140"/>
      <c r="J419" s="112"/>
      <c r="K419" s="166"/>
      <c r="L419" s="111"/>
      <c r="M419" s="166"/>
    </row>
    <row r="420" spans="1:13" ht="15" customHeight="1" x14ac:dyDescent="0.25">
      <c r="A420" s="130"/>
      <c r="B420" s="129"/>
      <c r="C420" s="124"/>
      <c r="D420" s="149"/>
      <c r="E420" s="150"/>
      <c r="F420" s="150"/>
      <c r="G420" s="128"/>
      <c r="H420" s="128"/>
      <c r="I420" s="140"/>
      <c r="J420" s="194" t="s">
        <v>45</v>
      </c>
      <c r="K420" s="224"/>
      <c r="L420" s="111"/>
      <c r="M420" s="166"/>
    </row>
    <row r="421" spans="1:13" ht="5.0999999999999996" customHeight="1" x14ac:dyDescent="0.25">
      <c r="A421" s="140"/>
      <c r="B421" s="140"/>
      <c r="C421" s="140"/>
      <c r="D421" s="140"/>
      <c r="E421" s="140"/>
      <c r="F421" s="140"/>
      <c r="G421" s="140"/>
      <c r="H421" s="140"/>
      <c r="I421" s="140"/>
      <c r="J421" s="112"/>
      <c r="K421" s="166"/>
      <c r="L421" s="111"/>
      <c r="M421" s="191"/>
    </row>
    <row r="422" spans="1:13" ht="16.5" thickBot="1" x14ac:dyDescent="0.3">
      <c r="A422" s="113"/>
      <c r="B422" s="114"/>
      <c r="C422" s="115"/>
      <c r="D422" s="115"/>
      <c r="E422" s="116"/>
      <c r="F422" s="116"/>
      <c r="G422" s="164"/>
      <c r="H422" s="120"/>
      <c r="I422" s="140"/>
      <c r="J422" s="120"/>
      <c r="K422" s="121"/>
      <c r="L422" s="221"/>
      <c r="M422" s="191"/>
    </row>
    <row r="423" spans="1:13" ht="5.0999999999999996" customHeight="1" thickBot="1" x14ac:dyDescent="0.3">
      <c r="A423" s="217"/>
      <c r="B423" s="212"/>
      <c r="C423" s="213"/>
      <c r="D423" s="213"/>
      <c r="E423" s="214"/>
      <c r="F423" s="214"/>
      <c r="G423" s="215"/>
      <c r="H423" s="218"/>
      <c r="I423" s="140"/>
      <c r="J423" s="218"/>
      <c r="K423" s="220"/>
      <c r="L423" s="221"/>
      <c r="M423" s="191"/>
    </row>
    <row r="424" spans="1:13" ht="15" customHeight="1" thickBot="1" x14ac:dyDescent="0.3">
      <c r="A424" s="125"/>
      <c r="B424" s="148"/>
      <c r="C424" s="123"/>
      <c r="D424" s="149"/>
      <c r="E424" s="150"/>
      <c r="F424" s="150"/>
      <c r="G424" s="127"/>
      <c r="H424" s="189"/>
      <c r="I424" s="140"/>
      <c r="J424" s="209"/>
      <c r="K424" s="223"/>
      <c r="L424" s="112"/>
      <c r="M424" s="166"/>
    </row>
    <row r="425" spans="1:13" ht="15" customHeight="1" thickBot="1" x14ac:dyDescent="0.3">
      <c r="A425" s="126"/>
      <c r="B425" s="129"/>
      <c r="C425" s="124"/>
      <c r="D425" s="149"/>
      <c r="E425" s="150"/>
      <c r="F425" s="150"/>
      <c r="G425" s="128"/>
      <c r="H425" s="128"/>
      <c r="I425" s="140"/>
      <c r="J425" s="112"/>
      <c r="K425" s="166"/>
      <c r="L425" s="118"/>
      <c r="M425" s="166"/>
    </row>
    <row r="426" spans="1:13" ht="15" customHeight="1" x14ac:dyDescent="0.25">
      <c r="A426" s="126"/>
      <c r="B426" s="129"/>
      <c r="C426" s="124"/>
      <c r="D426" s="149"/>
      <c r="E426" s="150"/>
      <c r="F426" s="150"/>
      <c r="G426" s="128"/>
      <c r="H426" s="128"/>
      <c r="I426" s="140"/>
      <c r="J426" s="194" t="s">
        <v>39</v>
      </c>
      <c r="K426" s="223"/>
      <c r="L426" s="118"/>
      <c r="M426" s="166"/>
    </row>
    <row r="427" spans="1:13" ht="15" customHeight="1" thickBot="1" x14ac:dyDescent="0.3">
      <c r="A427" s="126"/>
      <c r="B427" s="129"/>
      <c r="C427" s="124"/>
      <c r="D427" s="149"/>
      <c r="E427" s="150"/>
      <c r="F427" s="150"/>
      <c r="G427" s="128"/>
      <c r="H427" s="128"/>
      <c r="I427" s="140"/>
      <c r="J427" s="112"/>
      <c r="K427" s="166"/>
      <c r="L427" s="118"/>
      <c r="M427" s="166"/>
    </row>
    <row r="428" spans="1:13" ht="15" customHeight="1" x14ac:dyDescent="0.25">
      <c r="A428" s="126"/>
      <c r="B428" s="129"/>
      <c r="C428" s="124"/>
      <c r="D428" s="149"/>
      <c r="E428" s="150"/>
      <c r="F428" s="150"/>
      <c r="G428" s="128"/>
      <c r="H428" s="128"/>
      <c r="I428" s="140"/>
      <c r="J428" s="194" t="s">
        <v>40</v>
      </c>
      <c r="K428" s="223"/>
      <c r="L428" s="118"/>
      <c r="M428" s="166"/>
    </row>
    <row r="429" spans="1:13" ht="15" customHeight="1" thickBot="1" x14ac:dyDescent="0.3">
      <c r="A429" s="126"/>
      <c r="B429" s="129"/>
      <c r="C429" s="124"/>
      <c r="D429" s="149"/>
      <c r="E429" s="150"/>
      <c r="F429" s="150"/>
      <c r="G429" s="128"/>
      <c r="H429" s="128"/>
      <c r="I429" s="140"/>
      <c r="J429" s="112"/>
      <c r="K429" s="166"/>
      <c r="L429" s="118"/>
      <c r="M429" s="166"/>
    </row>
    <row r="430" spans="1:13" ht="15" customHeight="1" x14ac:dyDescent="0.25">
      <c r="A430" s="126"/>
      <c r="B430" s="129"/>
      <c r="C430" s="124"/>
      <c r="D430" s="149"/>
      <c r="E430" s="150"/>
      <c r="F430" s="150"/>
      <c r="G430" s="128"/>
      <c r="H430" s="128"/>
      <c r="I430" s="140"/>
      <c r="J430" s="194" t="s">
        <v>41</v>
      </c>
      <c r="K430" s="223"/>
      <c r="L430" s="118"/>
      <c r="M430" s="166"/>
    </row>
    <row r="431" spans="1:13" ht="15" customHeight="1" thickBot="1" x14ac:dyDescent="0.3">
      <c r="A431" s="126"/>
      <c r="B431" s="129"/>
      <c r="C431" s="124"/>
      <c r="D431" s="149"/>
      <c r="E431" s="150"/>
      <c r="F431" s="150"/>
      <c r="G431" s="128"/>
      <c r="H431" s="128"/>
      <c r="I431" s="140"/>
      <c r="J431" s="112"/>
      <c r="K431" s="166"/>
      <c r="L431" s="118"/>
      <c r="M431" s="166"/>
    </row>
    <row r="432" spans="1:13" ht="15" customHeight="1" x14ac:dyDescent="0.25">
      <c r="A432" s="126"/>
      <c r="B432" s="129"/>
      <c r="C432" s="124"/>
      <c r="D432" s="149"/>
      <c r="E432" s="150"/>
      <c r="F432" s="150"/>
      <c r="G432" s="128"/>
      <c r="H432" s="128"/>
      <c r="I432" s="140"/>
      <c r="J432" s="194" t="s">
        <v>42</v>
      </c>
      <c r="K432" s="223"/>
      <c r="L432" s="111"/>
      <c r="M432" s="166"/>
    </row>
    <row r="433" spans="1:13" ht="15" customHeight="1" thickBot="1" x14ac:dyDescent="0.3">
      <c r="A433" s="126"/>
      <c r="B433" s="129"/>
      <c r="C433" s="124"/>
      <c r="D433" s="149"/>
      <c r="E433" s="150"/>
      <c r="F433" s="150"/>
      <c r="G433" s="128"/>
      <c r="H433" s="128"/>
      <c r="I433" s="140"/>
      <c r="J433" s="112"/>
      <c r="K433" s="166"/>
      <c r="L433" s="111"/>
      <c r="M433" s="166"/>
    </row>
    <row r="434" spans="1:13" ht="15" customHeight="1" x14ac:dyDescent="0.25">
      <c r="A434" s="126"/>
      <c r="B434" s="129"/>
      <c r="C434" s="124"/>
      <c r="D434" s="149"/>
      <c r="E434" s="150"/>
      <c r="F434" s="150"/>
      <c r="G434" s="128"/>
      <c r="H434" s="128"/>
      <c r="I434" s="140"/>
      <c r="J434" s="193" t="s">
        <v>43</v>
      </c>
      <c r="K434" s="223"/>
      <c r="L434" s="111"/>
      <c r="M434" s="166"/>
    </row>
    <row r="435" spans="1:13" ht="15" customHeight="1" x14ac:dyDescent="0.25">
      <c r="A435" s="126"/>
      <c r="B435" s="129"/>
      <c r="C435" s="124"/>
      <c r="D435" s="149"/>
      <c r="E435" s="150"/>
      <c r="F435" s="150"/>
      <c r="G435" s="128"/>
      <c r="H435" s="128"/>
      <c r="I435" s="140"/>
      <c r="J435" s="112"/>
      <c r="K435" s="166"/>
      <c r="L435" s="111"/>
      <c r="M435" s="166"/>
    </row>
    <row r="436" spans="1:13" ht="15" customHeight="1" x14ac:dyDescent="0.25">
      <c r="A436" s="126"/>
      <c r="B436" s="129"/>
      <c r="C436" s="124"/>
      <c r="D436" s="149"/>
      <c r="E436" s="150"/>
      <c r="F436" s="150"/>
      <c r="G436" s="128"/>
      <c r="H436" s="128"/>
      <c r="I436" s="140"/>
      <c r="J436" s="194" t="s">
        <v>44</v>
      </c>
      <c r="K436" s="224"/>
      <c r="L436" s="111"/>
      <c r="M436" s="166"/>
    </row>
    <row r="437" spans="1:13" ht="15" customHeight="1" x14ac:dyDescent="0.25">
      <c r="A437" s="126"/>
      <c r="B437" s="129"/>
      <c r="C437" s="124"/>
      <c r="D437" s="149"/>
      <c r="E437" s="150"/>
      <c r="F437" s="150"/>
      <c r="G437" s="128"/>
      <c r="H437" s="128"/>
      <c r="I437" s="140"/>
      <c r="J437" s="112"/>
      <c r="K437" s="166"/>
      <c r="L437" s="111"/>
      <c r="M437" s="166"/>
    </row>
    <row r="438" spans="1:13" ht="15" customHeight="1" x14ac:dyDescent="0.25">
      <c r="A438" s="130"/>
      <c r="B438" s="129"/>
      <c r="C438" s="124"/>
      <c r="D438" s="149"/>
      <c r="E438" s="150"/>
      <c r="F438" s="150"/>
      <c r="G438" s="128"/>
      <c r="H438" s="128"/>
      <c r="I438" s="140"/>
      <c r="J438" s="194" t="s">
        <v>45</v>
      </c>
      <c r="K438" s="224"/>
      <c r="L438" s="111"/>
      <c r="M438" s="166"/>
    </row>
    <row r="439" spans="1:13" ht="5.0999999999999996" customHeight="1" x14ac:dyDescent="0.25">
      <c r="A439" s="140"/>
      <c r="B439" s="140"/>
      <c r="C439" s="140"/>
      <c r="D439" s="140"/>
      <c r="E439" s="140"/>
      <c r="F439" s="140"/>
      <c r="G439" s="140"/>
      <c r="H439" s="140"/>
      <c r="I439" s="140"/>
      <c r="J439" s="112"/>
      <c r="K439" s="166"/>
      <c r="L439" s="111"/>
      <c r="M439" s="191"/>
    </row>
    <row r="440" spans="1:13" ht="16.5" thickBot="1" x14ac:dyDescent="0.3">
      <c r="A440" s="113"/>
      <c r="B440" s="114"/>
      <c r="C440" s="115"/>
      <c r="D440" s="115"/>
      <c r="E440" s="116"/>
      <c r="F440" s="116"/>
      <c r="G440" s="164"/>
      <c r="H440" s="120"/>
      <c r="I440" s="140"/>
      <c r="J440" s="120"/>
      <c r="K440" s="121"/>
      <c r="L440" s="221"/>
      <c r="M440" s="191"/>
    </row>
    <row r="441" spans="1:13" ht="5.0999999999999996" customHeight="1" thickBot="1" x14ac:dyDescent="0.3">
      <c r="A441" s="217"/>
      <c r="B441" s="212"/>
      <c r="C441" s="213"/>
      <c r="D441" s="213"/>
      <c r="E441" s="214"/>
      <c r="F441" s="214"/>
      <c r="G441" s="215"/>
      <c r="H441" s="218"/>
      <c r="I441" s="140"/>
      <c r="J441" s="218"/>
      <c r="K441" s="220"/>
      <c r="L441" s="221"/>
      <c r="M441" s="191"/>
    </row>
    <row r="442" spans="1:13" ht="15" customHeight="1" thickBot="1" x14ac:dyDescent="0.3">
      <c r="A442" s="125"/>
      <c r="B442" s="148"/>
      <c r="C442" s="124"/>
      <c r="D442" s="149"/>
      <c r="E442" s="150"/>
      <c r="F442" s="150"/>
      <c r="G442" s="127"/>
      <c r="H442" s="189"/>
      <c r="I442" s="140"/>
      <c r="J442" s="209"/>
      <c r="K442" s="192"/>
      <c r="L442" s="191"/>
      <c r="M442" s="165"/>
    </row>
    <row r="443" spans="1:13" ht="15" customHeight="1" x14ac:dyDescent="0.25">
      <c r="A443" s="126"/>
      <c r="B443" s="129"/>
      <c r="C443" s="124"/>
      <c r="D443" s="149"/>
      <c r="E443" s="150"/>
      <c r="F443" s="150"/>
      <c r="G443" s="128"/>
      <c r="H443" s="128"/>
      <c r="I443" s="140"/>
      <c r="J443" s="112"/>
      <c r="K443" s="165"/>
      <c r="L443" s="111"/>
      <c r="M443" s="165"/>
    </row>
    <row r="444" spans="1:13" ht="15" customHeight="1" x14ac:dyDescent="0.25">
      <c r="A444" s="126"/>
      <c r="B444" s="129"/>
      <c r="C444" s="124"/>
      <c r="D444" s="149"/>
      <c r="E444" s="150"/>
      <c r="F444" s="150"/>
      <c r="G444" s="128"/>
      <c r="H444" s="128"/>
      <c r="I444" s="140"/>
      <c r="J444" s="194" t="s">
        <v>39</v>
      </c>
      <c r="K444" s="192"/>
      <c r="L444" s="111"/>
      <c r="M444" s="165"/>
    </row>
    <row r="445" spans="1:13" ht="15" customHeight="1" x14ac:dyDescent="0.25">
      <c r="A445" s="126"/>
      <c r="B445" s="129"/>
      <c r="C445" s="124"/>
      <c r="D445" s="149"/>
      <c r="E445" s="150"/>
      <c r="F445" s="150"/>
      <c r="G445" s="128"/>
      <c r="H445" s="128"/>
      <c r="I445" s="140"/>
      <c r="J445" s="112"/>
      <c r="K445" s="165"/>
      <c r="L445" s="111"/>
      <c r="M445" s="165"/>
    </row>
    <row r="446" spans="1:13" ht="15" customHeight="1" x14ac:dyDescent="0.25">
      <c r="A446" s="126"/>
      <c r="B446" s="129"/>
      <c r="C446" s="124"/>
      <c r="D446" s="149"/>
      <c r="E446" s="150"/>
      <c r="F446" s="150"/>
      <c r="G446" s="128"/>
      <c r="H446" s="128"/>
      <c r="I446" s="140"/>
      <c r="J446" s="194" t="s">
        <v>40</v>
      </c>
      <c r="K446" s="195"/>
      <c r="L446" s="111"/>
      <c r="M446" s="165"/>
    </row>
    <row r="447" spans="1:13" ht="15" customHeight="1" x14ac:dyDescent="0.25">
      <c r="A447" s="126"/>
      <c r="B447" s="129"/>
      <c r="C447" s="124"/>
      <c r="D447" s="149"/>
      <c r="E447" s="150"/>
      <c r="F447" s="150"/>
      <c r="G447" s="128"/>
      <c r="H447" s="128"/>
      <c r="I447" s="140"/>
      <c r="J447" s="112"/>
      <c r="K447" s="165"/>
      <c r="L447" s="111"/>
      <c r="M447" s="165"/>
    </row>
    <row r="448" spans="1:13" ht="15" customHeight="1" x14ac:dyDescent="0.25">
      <c r="A448" s="126"/>
      <c r="B448" s="129"/>
      <c r="C448" s="124"/>
      <c r="D448" s="149"/>
      <c r="E448" s="150"/>
      <c r="F448" s="150"/>
      <c r="G448" s="128"/>
      <c r="H448" s="128"/>
      <c r="I448" s="140"/>
      <c r="J448" s="194" t="s">
        <v>41</v>
      </c>
      <c r="K448" s="195"/>
      <c r="L448" s="111"/>
      <c r="M448" s="165"/>
    </row>
    <row r="449" spans="1:13" ht="15" customHeight="1" x14ac:dyDescent="0.25">
      <c r="A449" s="126"/>
      <c r="B449" s="129"/>
      <c r="C449" s="124"/>
      <c r="D449" s="149"/>
      <c r="E449" s="150"/>
      <c r="F449" s="150"/>
      <c r="G449" s="128"/>
      <c r="H449" s="128"/>
      <c r="I449" s="140"/>
      <c r="J449" s="112"/>
      <c r="K449" s="165"/>
      <c r="L449" s="111"/>
      <c r="M449" s="165"/>
    </row>
    <row r="450" spans="1:13" ht="15" customHeight="1" x14ac:dyDescent="0.25">
      <c r="A450" s="126"/>
      <c r="B450" s="129"/>
      <c r="C450" s="124"/>
      <c r="D450" s="149"/>
      <c r="E450" s="150"/>
      <c r="F450" s="150"/>
      <c r="G450" s="128"/>
      <c r="H450" s="128"/>
      <c r="I450" s="140"/>
      <c r="J450" s="194" t="s">
        <v>42</v>
      </c>
      <c r="K450" s="192"/>
      <c r="L450" s="111"/>
      <c r="M450" s="165"/>
    </row>
    <row r="451" spans="1:13" ht="15" customHeight="1" x14ac:dyDescent="0.25">
      <c r="A451" s="126"/>
      <c r="B451" s="129"/>
      <c r="C451" s="124"/>
      <c r="D451" s="149"/>
      <c r="E451" s="150"/>
      <c r="F451" s="150"/>
      <c r="G451" s="128"/>
      <c r="H451" s="128"/>
      <c r="I451" s="140"/>
      <c r="J451" s="112"/>
      <c r="K451" s="165"/>
      <c r="L451" s="111"/>
      <c r="M451" s="165"/>
    </row>
    <row r="452" spans="1:13" ht="15" customHeight="1" x14ac:dyDescent="0.25">
      <c r="A452" s="126"/>
      <c r="B452" s="129"/>
      <c r="C452" s="124"/>
      <c r="D452" s="149"/>
      <c r="E452" s="150"/>
      <c r="F452" s="150"/>
      <c r="G452" s="128"/>
      <c r="H452" s="128"/>
      <c r="I452" s="140"/>
      <c r="J452" s="193" t="s">
        <v>43</v>
      </c>
      <c r="K452" s="195"/>
      <c r="L452" s="111"/>
      <c r="M452" s="165"/>
    </row>
    <row r="453" spans="1:13" ht="15" customHeight="1" x14ac:dyDescent="0.25">
      <c r="A453" s="126"/>
      <c r="B453" s="129"/>
      <c r="C453" s="124"/>
      <c r="D453" s="149"/>
      <c r="E453" s="150"/>
      <c r="F453" s="150"/>
      <c r="G453" s="128"/>
      <c r="H453" s="128"/>
      <c r="I453" s="140"/>
      <c r="J453" s="112"/>
      <c r="K453" s="165"/>
      <c r="L453" s="111"/>
      <c r="M453" s="165"/>
    </row>
    <row r="454" spans="1:13" ht="15" customHeight="1" x14ac:dyDescent="0.25">
      <c r="A454" s="126"/>
      <c r="B454" s="129"/>
      <c r="C454" s="124"/>
      <c r="D454" s="149"/>
      <c r="E454" s="150"/>
      <c r="F454" s="150"/>
      <c r="G454" s="128"/>
      <c r="H454" s="128"/>
      <c r="I454" s="140"/>
      <c r="J454" s="194" t="s">
        <v>44</v>
      </c>
      <c r="K454" s="195"/>
      <c r="L454" s="111"/>
      <c r="M454" s="165"/>
    </row>
    <row r="455" spans="1:13" ht="15" customHeight="1" x14ac:dyDescent="0.25">
      <c r="A455" s="126"/>
      <c r="B455" s="129"/>
      <c r="C455" s="124"/>
      <c r="D455" s="149"/>
      <c r="E455" s="150"/>
      <c r="F455" s="150"/>
      <c r="G455" s="128"/>
      <c r="H455" s="128"/>
      <c r="I455" s="140"/>
      <c r="J455" s="112"/>
      <c r="K455" s="165"/>
      <c r="L455" s="111"/>
      <c r="M455" s="165"/>
    </row>
    <row r="456" spans="1:13" ht="15" customHeight="1" x14ac:dyDescent="0.25">
      <c r="A456" s="130"/>
      <c r="B456" s="129"/>
      <c r="C456" s="124"/>
      <c r="D456" s="149"/>
      <c r="E456" s="150"/>
      <c r="F456" s="150"/>
      <c r="G456" s="128"/>
      <c r="H456" s="128"/>
      <c r="I456" s="140"/>
      <c r="J456" s="194" t="s">
        <v>45</v>
      </c>
      <c r="K456" s="196"/>
      <c r="L456" s="111"/>
      <c r="M456" s="165"/>
    </row>
    <row r="457" spans="1:13" ht="5.0999999999999996" customHeight="1" x14ac:dyDescent="0.25">
      <c r="A457" s="140"/>
      <c r="B457" s="140"/>
      <c r="C457" s="140"/>
      <c r="D457" s="140"/>
      <c r="E457" s="140"/>
      <c r="F457" s="140"/>
      <c r="G457" s="140"/>
      <c r="H457" s="140"/>
      <c r="I457" s="140"/>
      <c r="J457" s="194"/>
      <c r="K457" s="197"/>
      <c r="L457" s="111"/>
      <c r="M457" s="191"/>
    </row>
    <row r="458" spans="1:13" ht="16.5" thickBot="1" x14ac:dyDescent="0.3">
      <c r="A458" s="113"/>
      <c r="B458" s="114"/>
      <c r="C458" s="167"/>
      <c r="D458" s="167"/>
      <c r="E458" s="116"/>
      <c r="F458" s="116"/>
      <c r="G458" s="164"/>
      <c r="H458" s="120"/>
      <c r="I458" s="140"/>
      <c r="J458" s="119"/>
      <c r="K458" s="119"/>
      <c r="L458" s="210"/>
      <c r="M458" s="191"/>
    </row>
    <row r="459" spans="1:13" ht="5.0999999999999996" customHeight="1" thickBot="1" x14ac:dyDescent="0.3">
      <c r="A459" s="217"/>
      <c r="B459" s="212"/>
      <c r="C459" s="227"/>
      <c r="D459" s="227"/>
      <c r="E459" s="214"/>
      <c r="F459" s="214"/>
      <c r="G459" s="215"/>
      <c r="H459" s="218"/>
      <c r="I459" s="140"/>
      <c r="J459" s="210"/>
      <c r="K459" s="210"/>
      <c r="L459" s="210"/>
      <c r="M459" s="191"/>
    </row>
    <row r="460" spans="1:13" ht="15" customHeight="1" thickBot="1" x14ac:dyDescent="0.3">
      <c r="A460" s="125"/>
      <c r="B460" s="148"/>
      <c r="C460" s="123"/>
      <c r="D460" s="149"/>
      <c r="E460" s="150"/>
      <c r="F460" s="150"/>
      <c r="G460" s="127"/>
      <c r="H460" s="189"/>
      <c r="I460" s="140"/>
      <c r="J460" s="209"/>
      <c r="K460" s="222"/>
      <c r="L460" s="112"/>
      <c r="M460" s="166"/>
    </row>
    <row r="461" spans="1:13" ht="15" customHeight="1" thickBot="1" x14ac:dyDescent="0.3">
      <c r="A461" s="126"/>
      <c r="B461" s="129"/>
      <c r="C461" s="124"/>
      <c r="D461" s="149"/>
      <c r="E461" s="150"/>
      <c r="F461" s="150"/>
      <c r="G461" s="128"/>
      <c r="H461" s="128"/>
      <c r="I461" s="140"/>
      <c r="J461" s="112"/>
      <c r="K461" s="166"/>
      <c r="L461" s="118"/>
      <c r="M461" s="166"/>
    </row>
    <row r="462" spans="1:13" ht="15" customHeight="1" x14ac:dyDescent="0.25">
      <c r="A462" s="126"/>
      <c r="B462" s="129"/>
      <c r="C462" s="124"/>
      <c r="D462" s="149"/>
      <c r="E462" s="150"/>
      <c r="F462" s="150"/>
      <c r="G462" s="128"/>
      <c r="H462" s="128"/>
      <c r="I462" s="140"/>
      <c r="J462" s="194" t="s">
        <v>39</v>
      </c>
      <c r="K462" s="222"/>
      <c r="L462" s="118"/>
      <c r="M462" s="166"/>
    </row>
    <row r="463" spans="1:13" ht="15" customHeight="1" thickBot="1" x14ac:dyDescent="0.3">
      <c r="A463" s="126"/>
      <c r="B463" s="129"/>
      <c r="C463" s="124"/>
      <c r="D463" s="149"/>
      <c r="E463" s="150"/>
      <c r="F463" s="150"/>
      <c r="G463" s="128"/>
      <c r="H463" s="128"/>
      <c r="I463" s="140"/>
      <c r="J463" s="112"/>
      <c r="K463" s="166"/>
      <c r="L463" s="118"/>
      <c r="M463" s="166"/>
    </row>
    <row r="464" spans="1:13" ht="15" customHeight="1" x14ac:dyDescent="0.25">
      <c r="A464" s="126"/>
      <c r="B464" s="129"/>
      <c r="C464" s="124"/>
      <c r="D464" s="149"/>
      <c r="E464" s="150"/>
      <c r="F464" s="150"/>
      <c r="G464" s="128"/>
      <c r="H464" s="128"/>
      <c r="I464" s="140"/>
      <c r="J464" s="194" t="s">
        <v>40</v>
      </c>
      <c r="K464" s="223"/>
      <c r="L464" s="118"/>
      <c r="M464" s="166"/>
    </row>
    <row r="465" spans="1:13" ht="15" customHeight="1" thickBot="1" x14ac:dyDescent="0.3">
      <c r="A465" s="126"/>
      <c r="B465" s="129"/>
      <c r="C465" s="124"/>
      <c r="D465" s="149"/>
      <c r="E465" s="150"/>
      <c r="F465" s="150"/>
      <c r="G465" s="128"/>
      <c r="H465" s="128"/>
      <c r="I465" s="140"/>
      <c r="J465" s="112"/>
      <c r="K465" s="166"/>
      <c r="L465" s="118"/>
      <c r="M465" s="166"/>
    </row>
    <row r="466" spans="1:13" ht="15" customHeight="1" x14ac:dyDescent="0.25">
      <c r="A466" s="126"/>
      <c r="B466" s="129"/>
      <c r="C466" s="124"/>
      <c r="D466" s="149"/>
      <c r="E466" s="150"/>
      <c r="F466" s="150"/>
      <c r="G466" s="128"/>
      <c r="H466" s="128"/>
      <c r="I466" s="140"/>
      <c r="J466" s="194" t="s">
        <v>41</v>
      </c>
      <c r="K466" s="223"/>
      <c r="L466" s="118"/>
      <c r="M466" s="166"/>
    </row>
    <row r="467" spans="1:13" ht="15" customHeight="1" thickBot="1" x14ac:dyDescent="0.3">
      <c r="A467" s="126"/>
      <c r="B467" s="129"/>
      <c r="C467" s="124"/>
      <c r="D467" s="149"/>
      <c r="E467" s="150"/>
      <c r="F467" s="150"/>
      <c r="G467" s="128"/>
      <c r="H467" s="128"/>
      <c r="I467" s="140"/>
      <c r="J467" s="112"/>
      <c r="K467" s="166"/>
      <c r="L467" s="118"/>
      <c r="M467" s="166"/>
    </row>
    <row r="468" spans="1:13" ht="15" customHeight="1" x14ac:dyDescent="0.25">
      <c r="A468" s="126"/>
      <c r="B468" s="129"/>
      <c r="C468" s="124"/>
      <c r="D468" s="149"/>
      <c r="E468" s="150"/>
      <c r="F468" s="150"/>
      <c r="G468" s="128"/>
      <c r="H468" s="128"/>
      <c r="I468" s="140"/>
      <c r="J468" s="194" t="s">
        <v>42</v>
      </c>
      <c r="K468" s="222"/>
      <c r="L468" s="111"/>
      <c r="M468" s="166"/>
    </row>
    <row r="469" spans="1:13" ht="15" customHeight="1" thickBot="1" x14ac:dyDescent="0.3">
      <c r="A469" s="126"/>
      <c r="B469" s="129"/>
      <c r="C469" s="124"/>
      <c r="D469" s="149"/>
      <c r="E469" s="150"/>
      <c r="F469" s="150"/>
      <c r="G469" s="128"/>
      <c r="H469" s="128"/>
      <c r="I469" s="140"/>
      <c r="J469" s="112"/>
      <c r="K469" s="166"/>
      <c r="L469" s="111"/>
      <c r="M469" s="166"/>
    </row>
    <row r="470" spans="1:13" ht="15" customHeight="1" x14ac:dyDescent="0.25">
      <c r="A470" s="126"/>
      <c r="B470" s="129"/>
      <c r="C470" s="124"/>
      <c r="D470" s="149"/>
      <c r="E470" s="150"/>
      <c r="F470" s="150"/>
      <c r="G470" s="128"/>
      <c r="H470" s="128"/>
      <c r="I470" s="140"/>
      <c r="J470" s="193" t="s">
        <v>43</v>
      </c>
      <c r="K470" s="222"/>
      <c r="L470" s="111"/>
      <c r="M470" s="166"/>
    </row>
    <row r="471" spans="1:13" ht="15" customHeight="1" x14ac:dyDescent="0.25">
      <c r="A471" s="126"/>
      <c r="B471" s="129"/>
      <c r="C471" s="124"/>
      <c r="D471" s="149"/>
      <c r="E471" s="150"/>
      <c r="F471" s="150"/>
      <c r="G471" s="128"/>
      <c r="H471" s="128"/>
      <c r="I471" s="140"/>
      <c r="J471" s="112"/>
      <c r="K471" s="166"/>
      <c r="L471" s="111"/>
      <c r="M471" s="166"/>
    </row>
    <row r="472" spans="1:13" ht="15" customHeight="1" x14ac:dyDescent="0.25">
      <c r="A472" s="126"/>
      <c r="B472" s="129"/>
      <c r="C472" s="124"/>
      <c r="D472" s="149"/>
      <c r="E472" s="150"/>
      <c r="F472" s="150"/>
      <c r="G472" s="128"/>
      <c r="H472" s="128"/>
      <c r="I472" s="140"/>
      <c r="J472" s="194" t="s">
        <v>44</v>
      </c>
      <c r="K472" s="224"/>
      <c r="L472" s="111"/>
      <c r="M472" s="166"/>
    </row>
    <row r="473" spans="1:13" ht="15" customHeight="1" x14ac:dyDescent="0.25">
      <c r="A473" s="126"/>
      <c r="B473" s="129"/>
      <c r="C473" s="124"/>
      <c r="D473" s="149"/>
      <c r="E473" s="150"/>
      <c r="F473" s="150"/>
      <c r="G473" s="128"/>
      <c r="H473" s="128"/>
      <c r="I473" s="140"/>
      <c r="J473" s="112"/>
      <c r="K473" s="166"/>
      <c r="L473" s="111"/>
      <c r="M473" s="166"/>
    </row>
    <row r="474" spans="1:13" ht="15" customHeight="1" x14ac:dyDescent="0.25">
      <c r="A474" s="130"/>
      <c r="B474" s="129"/>
      <c r="C474" s="124"/>
      <c r="D474" s="149"/>
      <c r="E474" s="150"/>
      <c r="F474" s="150"/>
      <c r="G474" s="128"/>
      <c r="H474" s="128"/>
      <c r="I474" s="140"/>
      <c r="J474" s="194" t="s">
        <v>45</v>
      </c>
      <c r="K474" s="224"/>
      <c r="L474" s="111"/>
      <c r="M474" s="166"/>
    </row>
    <row r="475" spans="1:13" ht="5.0999999999999996" customHeight="1" x14ac:dyDescent="0.25">
      <c r="A475" s="140"/>
      <c r="B475" s="140"/>
      <c r="C475" s="140"/>
      <c r="D475" s="140"/>
      <c r="E475" s="140"/>
      <c r="F475" s="140"/>
      <c r="G475" s="140"/>
      <c r="H475" s="140"/>
      <c r="I475" s="140"/>
      <c r="J475" s="194"/>
      <c r="K475" s="166"/>
      <c r="L475" s="111"/>
      <c r="M475" s="191"/>
    </row>
    <row r="476" spans="1:13" ht="16.5" thickBot="1" x14ac:dyDescent="0.3">
      <c r="A476" s="113"/>
      <c r="B476" s="114"/>
      <c r="C476" s="167"/>
      <c r="D476" s="167"/>
      <c r="E476" s="116"/>
      <c r="F476" s="116"/>
      <c r="G476" s="164"/>
      <c r="H476" s="120"/>
      <c r="I476" s="140"/>
      <c r="J476" s="120"/>
      <c r="K476" s="121"/>
      <c r="L476" s="221"/>
      <c r="M476" s="191"/>
    </row>
    <row r="477" spans="1:13" ht="5.0999999999999996" customHeight="1" thickBot="1" x14ac:dyDescent="0.3">
      <c r="A477" s="217"/>
      <c r="B477" s="212"/>
      <c r="C477" s="227"/>
      <c r="D477" s="227"/>
      <c r="E477" s="214"/>
      <c r="F477" s="214"/>
      <c r="G477" s="215"/>
      <c r="H477" s="218"/>
      <c r="I477" s="140"/>
      <c r="J477" s="219"/>
      <c r="K477" s="220"/>
      <c r="L477" s="221"/>
      <c r="M477" s="191"/>
    </row>
    <row r="478" spans="1:13" ht="15" customHeight="1" thickBot="1" x14ac:dyDescent="0.3">
      <c r="A478" s="125"/>
      <c r="B478" s="148"/>
      <c r="C478" s="124"/>
      <c r="D478" s="149"/>
      <c r="E478" s="150"/>
      <c r="F478" s="150"/>
      <c r="G478" s="127"/>
      <c r="H478" s="189"/>
      <c r="I478" s="140"/>
      <c r="J478" s="209"/>
      <c r="K478" s="223"/>
      <c r="L478" s="112"/>
      <c r="M478" s="166"/>
    </row>
    <row r="479" spans="1:13" ht="15" customHeight="1" thickBot="1" x14ac:dyDescent="0.3">
      <c r="A479" s="126"/>
      <c r="B479" s="129"/>
      <c r="C479" s="124"/>
      <c r="D479" s="149"/>
      <c r="E479" s="150"/>
      <c r="F479" s="150"/>
      <c r="G479" s="128"/>
      <c r="H479" s="128"/>
      <c r="I479" s="140"/>
      <c r="J479" s="112"/>
      <c r="K479" s="166"/>
      <c r="L479" s="118"/>
      <c r="M479" s="166"/>
    </row>
    <row r="480" spans="1:13" ht="15" customHeight="1" x14ac:dyDescent="0.25">
      <c r="A480" s="126"/>
      <c r="B480" s="129"/>
      <c r="C480" s="124"/>
      <c r="D480" s="149"/>
      <c r="E480" s="150"/>
      <c r="F480" s="150"/>
      <c r="G480" s="128"/>
      <c r="H480" s="128"/>
      <c r="I480" s="140"/>
      <c r="J480" s="194" t="s">
        <v>39</v>
      </c>
      <c r="K480" s="223"/>
      <c r="L480" s="118"/>
      <c r="M480" s="166"/>
    </row>
    <row r="481" spans="1:13" ht="15" customHeight="1" thickBot="1" x14ac:dyDescent="0.3">
      <c r="A481" s="126"/>
      <c r="B481" s="129"/>
      <c r="C481" s="124"/>
      <c r="D481" s="149"/>
      <c r="E481" s="150"/>
      <c r="F481" s="150"/>
      <c r="G481" s="128"/>
      <c r="H481" s="128"/>
      <c r="I481" s="140"/>
      <c r="J481" s="112"/>
      <c r="K481" s="166"/>
      <c r="L481" s="118"/>
      <c r="M481" s="166"/>
    </row>
    <row r="482" spans="1:13" ht="15" customHeight="1" x14ac:dyDescent="0.25">
      <c r="A482" s="126"/>
      <c r="B482" s="129"/>
      <c r="C482" s="124"/>
      <c r="D482" s="149"/>
      <c r="E482" s="150"/>
      <c r="F482" s="150"/>
      <c r="G482" s="128"/>
      <c r="H482" s="128"/>
      <c r="I482" s="140"/>
      <c r="J482" s="194" t="s">
        <v>40</v>
      </c>
      <c r="K482" s="223"/>
      <c r="L482" s="118"/>
      <c r="M482" s="166"/>
    </row>
    <row r="483" spans="1:13" ht="15" customHeight="1" thickBot="1" x14ac:dyDescent="0.3">
      <c r="A483" s="126"/>
      <c r="B483" s="129"/>
      <c r="C483" s="124"/>
      <c r="D483" s="149"/>
      <c r="E483" s="150"/>
      <c r="F483" s="150"/>
      <c r="G483" s="128"/>
      <c r="H483" s="128"/>
      <c r="I483" s="140"/>
      <c r="J483" s="112"/>
      <c r="K483" s="166"/>
      <c r="L483" s="118"/>
      <c r="M483" s="166"/>
    </row>
    <row r="484" spans="1:13" ht="15" customHeight="1" x14ac:dyDescent="0.25">
      <c r="A484" s="126"/>
      <c r="B484" s="129"/>
      <c r="C484" s="124"/>
      <c r="D484" s="149"/>
      <c r="E484" s="150"/>
      <c r="F484" s="150"/>
      <c r="G484" s="128"/>
      <c r="H484" s="128"/>
      <c r="I484" s="140"/>
      <c r="J484" s="194" t="s">
        <v>41</v>
      </c>
      <c r="K484" s="223"/>
      <c r="L484" s="118"/>
      <c r="M484" s="166"/>
    </row>
    <row r="485" spans="1:13" ht="15" customHeight="1" thickBot="1" x14ac:dyDescent="0.3">
      <c r="A485" s="126"/>
      <c r="B485" s="129"/>
      <c r="C485" s="124"/>
      <c r="D485" s="149"/>
      <c r="E485" s="150"/>
      <c r="F485" s="150"/>
      <c r="G485" s="128"/>
      <c r="H485" s="128"/>
      <c r="I485" s="140"/>
      <c r="J485" s="112"/>
      <c r="K485" s="166"/>
      <c r="L485" s="118"/>
      <c r="M485" s="166"/>
    </row>
    <row r="486" spans="1:13" ht="15" customHeight="1" x14ac:dyDescent="0.25">
      <c r="A486" s="126"/>
      <c r="B486" s="129"/>
      <c r="C486" s="124"/>
      <c r="D486" s="149"/>
      <c r="E486" s="150"/>
      <c r="F486" s="150"/>
      <c r="G486" s="128"/>
      <c r="H486" s="128"/>
      <c r="I486" s="140"/>
      <c r="J486" s="194" t="s">
        <v>42</v>
      </c>
      <c r="K486" s="223"/>
      <c r="L486" s="111"/>
      <c r="M486" s="166"/>
    </row>
    <row r="487" spans="1:13" ht="15" customHeight="1" thickBot="1" x14ac:dyDescent="0.3">
      <c r="A487" s="126"/>
      <c r="B487" s="129"/>
      <c r="C487" s="124"/>
      <c r="D487" s="149"/>
      <c r="E487" s="150"/>
      <c r="F487" s="150"/>
      <c r="G487" s="128"/>
      <c r="H487" s="128"/>
      <c r="I487" s="140"/>
      <c r="J487" s="112"/>
      <c r="K487" s="166"/>
      <c r="L487" s="111"/>
      <c r="M487" s="166"/>
    </row>
    <row r="488" spans="1:13" ht="15" customHeight="1" x14ac:dyDescent="0.25">
      <c r="A488" s="126"/>
      <c r="B488" s="129"/>
      <c r="C488" s="124"/>
      <c r="D488" s="149"/>
      <c r="E488" s="150"/>
      <c r="F488" s="150"/>
      <c r="G488" s="128"/>
      <c r="H488" s="128"/>
      <c r="I488" s="140"/>
      <c r="J488" s="193" t="s">
        <v>43</v>
      </c>
      <c r="K488" s="223"/>
      <c r="L488" s="111"/>
      <c r="M488" s="166"/>
    </row>
    <row r="489" spans="1:13" ht="15" customHeight="1" x14ac:dyDescent="0.25">
      <c r="A489" s="126"/>
      <c r="B489" s="129"/>
      <c r="C489" s="124"/>
      <c r="D489" s="149"/>
      <c r="E489" s="150"/>
      <c r="F489" s="150"/>
      <c r="G489" s="128"/>
      <c r="H489" s="128"/>
      <c r="I489" s="140"/>
      <c r="J489" s="112"/>
      <c r="K489" s="166"/>
      <c r="L489" s="111"/>
      <c r="M489" s="166"/>
    </row>
    <row r="490" spans="1:13" ht="15" customHeight="1" x14ac:dyDescent="0.25">
      <c r="A490" s="126"/>
      <c r="B490" s="129"/>
      <c r="C490" s="124"/>
      <c r="D490" s="149"/>
      <c r="E490" s="150"/>
      <c r="F490" s="150"/>
      <c r="G490" s="128"/>
      <c r="H490" s="128"/>
      <c r="I490" s="140"/>
      <c r="J490" s="194" t="s">
        <v>44</v>
      </c>
      <c r="K490" s="224"/>
      <c r="L490" s="111"/>
      <c r="M490" s="166"/>
    </row>
    <row r="491" spans="1:13" ht="15" customHeight="1" x14ac:dyDescent="0.25">
      <c r="A491" s="126"/>
      <c r="B491" s="129"/>
      <c r="C491" s="124"/>
      <c r="D491" s="149"/>
      <c r="E491" s="150"/>
      <c r="F491" s="150"/>
      <c r="G491" s="128"/>
      <c r="H491" s="128"/>
      <c r="I491" s="140"/>
      <c r="J491" s="112"/>
      <c r="K491" s="166"/>
      <c r="L491" s="111"/>
      <c r="M491" s="166"/>
    </row>
    <row r="492" spans="1:13" ht="15" customHeight="1" x14ac:dyDescent="0.25">
      <c r="A492" s="130"/>
      <c r="B492" s="129"/>
      <c r="C492" s="124"/>
      <c r="D492" s="149"/>
      <c r="E492" s="150"/>
      <c r="F492" s="150"/>
      <c r="G492" s="128"/>
      <c r="H492" s="128"/>
      <c r="I492" s="140"/>
      <c r="J492" s="194" t="s">
        <v>45</v>
      </c>
      <c r="K492" s="224"/>
      <c r="L492" s="111"/>
      <c r="M492" s="166"/>
    </row>
    <row r="493" spans="1:13" ht="5.0999999999999996" customHeight="1" x14ac:dyDescent="0.25">
      <c r="A493" s="140"/>
      <c r="B493" s="140"/>
      <c r="C493" s="140"/>
      <c r="D493" s="140"/>
      <c r="E493" s="140"/>
      <c r="F493" s="140"/>
      <c r="G493" s="140"/>
      <c r="H493" s="140"/>
      <c r="I493" s="140"/>
      <c r="J493" s="194"/>
      <c r="K493" s="166"/>
      <c r="L493" s="111"/>
      <c r="M493" s="191"/>
    </row>
    <row r="494" spans="1:13" ht="16.5" thickBot="1" x14ac:dyDescent="0.3">
      <c r="A494" s="113"/>
      <c r="B494" s="114"/>
      <c r="C494" s="167"/>
      <c r="D494" s="167"/>
      <c r="E494" s="116"/>
      <c r="F494" s="116"/>
      <c r="G494" s="164"/>
      <c r="H494" s="120"/>
      <c r="I494" s="140"/>
      <c r="J494" s="120"/>
      <c r="K494" s="121"/>
      <c r="L494" s="221"/>
      <c r="M494" s="191"/>
    </row>
    <row r="495" spans="1:13" ht="5.0999999999999996" customHeight="1" thickBot="1" x14ac:dyDescent="0.3">
      <c r="A495" s="217"/>
      <c r="B495" s="212"/>
      <c r="C495" s="227"/>
      <c r="D495" s="227"/>
      <c r="E495" s="214"/>
      <c r="F495" s="214"/>
      <c r="G495" s="215"/>
      <c r="H495" s="218"/>
      <c r="I495" s="140"/>
      <c r="J495" s="218"/>
      <c r="K495" s="220"/>
      <c r="L495" s="221"/>
      <c r="M495" s="191"/>
    </row>
    <row r="496" spans="1:13" ht="15" customHeight="1" thickBot="1" x14ac:dyDescent="0.3">
      <c r="A496" s="126"/>
      <c r="B496" s="148"/>
      <c r="C496" s="124"/>
      <c r="D496" s="149"/>
      <c r="E496" s="150"/>
      <c r="F496" s="150"/>
      <c r="G496" s="127"/>
      <c r="H496" s="189"/>
      <c r="I496" s="140"/>
      <c r="J496" s="209"/>
      <c r="K496" s="223"/>
      <c r="L496" s="112"/>
      <c r="M496" s="166"/>
    </row>
    <row r="497" spans="1:13" ht="15" customHeight="1" thickBot="1" x14ac:dyDescent="0.3">
      <c r="A497" s="126"/>
      <c r="B497" s="129"/>
      <c r="C497" s="124"/>
      <c r="D497" s="149"/>
      <c r="E497" s="150"/>
      <c r="F497" s="150"/>
      <c r="G497" s="128"/>
      <c r="H497" s="128"/>
      <c r="I497" s="140"/>
      <c r="J497" s="112"/>
      <c r="K497" s="166"/>
      <c r="L497" s="118"/>
      <c r="M497" s="166"/>
    </row>
    <row r="498" spans="1:13" ht="15" customHeight="1" x14ac:dyDescent="0.25">
      <c r="A498" s="126"/>
      <c r="B498" s="129"/>
      <c r="C498" s="124"/>
      <c r="D498" s="149"/>
      <c r="E498" s="150"/>
      <c r="F498" s="150"/>
      <c r="G498" s="128"/>
      <c r="H498" s="128"/>
      <c r="I498" s="140"/>
      <c r="J498" s="194" t="s">
        <v>39</v>
      </c>
      <c r="K498" s="223"/>
      <c r="L498" s="118"/>
      <c r="M498" s="166"/>
    </row>
    <row r="499" spans="1:13" ht="15" customHeight="1" thickBot="1" x14ac:dyDescent="0.3">
      <c r="A499" s="126"/>
      <c r="B499" s="129"/>
      <c r="C499" s="124"/>
      <c r="D499" s="149"/>
      <c r="E499" s="150"/>
      <c r="F499" s="150"/>
      <c r="G499" s="128"/>
      <c r="H499" s="128"/>
      <c r="I499" s="140"/>
      <c r="J499" s="112"/>
      <c r="K499" s="166"/>
      <c r="L499" s="118"/>
      <c r="M499" s="166"/>
    </row>
    <row r="500" spans="1:13" ht="15" customHeight="1" x14ac:dyDescent="0.25">
      <c r="A500" s="126"/>
      <c r="B500" s="129"/>
      <c r="C500" s="124"/>
      <c r="D500" s="149"/>
      <c r="E500" s="150"/>
      <c r="F500" s="150"/>
      <c r="G500" s="128"/>
      <c r="H500" s="128"/>
      <c r="I500" s="140"/>
      <c r="J500" s="194" t="s">
        <v>40</v>
      </c>
      <c r="K500" s="223"/>
      <c r="L500" s="118"/>
      <c r="M500" s="166"/>
    </row>
    <row r="501" spans="1:13" ht="15" customHeight="1" thickBot="1" x14ac:dyDescent="0.3">
      <c r="A501" s="126"/>
      <c r="B501" s="129"/>
      <c r="C501" s="124"/>
      <c r="D501" s="149"/>
      <c r="E501" s="150"/>
      <c r="F501" s="150"/>
      <c r="G501" s="128"/>
      <c r="H501" s="128"/>
      <c r="I501" s="140"/>
      <c r="J501" s="112"/>
      <c r="K501" s="166"/>
      <c r="L501" s="118"/>
      <c r="M501" s="166"/>
    </row>
    <row r="502" spans="1:13" ht="15" customHeight="1" x14ac:dyDescent="0.25">
      <c r="A502" s="126"/>
      <c r="B502" s="129"/>
      <c r="C502" s="124"/>
      <c r="D502" s="149"/>
      <c r="E502" s="150"/>
      <c r="F502" s="150"/>
      <c r="G502" s="128"/>
      <c r="H502" s="128"/>
      <c r="I502" s="140"/>
      <c r="J502" s="194" t="s">
        <v>41</v>
      </c>
      <c r="K502" s="223"/>
      <c r="L502" s="118"/>
      <c r="M502" s="166"/>
    </row>
    <row r="503" spans="1:13" ht="15" customHeight="1" thickBot="1" x14ac:dyDescent="0.3">
      <c r="A503" s="126"/>
      <c r="B503" s="129"/>
      <c r="C503" s="124"/>
      <c r="D503" s="149"/>
      <c r="E503" s="150"/>
      <c r="F503" s="150"/>
      <c r="G503" s="128"/>
      <c r="H503" s="128"/>
      <c r="I503" s="140"/>
      <c r="J503" s="112"/>
      <c r="K503" s="166"/>
      <c r="L503" s="118"/>
      <c r="M503" s="166"/>
    </row>
    <row r="504" spans="1:13" ht="15" customHeight="1" x14ac:dyDescent="0.25">
      <c r="A504" s="126"/>
      <c r="B504" s="129"/>
      <c r="C504" s="124"/>
      <c r="D504" s="149"/>
      <c r="E504" s="150"/>
      <c r="F504" s="150"/>
      <c r="G504" s="128"/>
      <c r="H504" s="128"/>
      <c r="I504" s="140"/>
      <c r="J504" s="194" t="s">
        <v>42</v>
      </c>
      <c r="K504" s="223"/>
      <c r="L504" s="111"/>
      <c r="M504" s="166"/>
    </row>
    <row r="505" spans="1:13" ht="15" customHeight="1" thickBot="1" x14ac:dyDescent="0.3">
      <c r="A505" s="126"/>
      <c r="B505" s="129"/>
      <c r="C505" s="124"/>
      <c r="D505" s="149"/>
      <c r="E505" s="150"/>
      <c r="F505" s="150"/>
      <c r="G505" s="128"/>
      <c r="H505" s="128"/>
      <c r="I505" s="140"/>
      <c r="J505" s="112"/>
      <c r="K505" s="166"/>
      <c r="L505" s="111"/>
      <c r="M505" s="166"/>
    </row>
    <row r="506" spans="1:13" ht="15" customHeight="1" x14ac:dyDescent="0.25">
      <c r="A506" s="126"/>
      <c r="B506" s="129"/>
      <c r="C506" s="124"/>
      <c r="D506" s="149"/>
      <c r="E506" s="150"/>
      <c r="F506" s="150"/>
      <c r="G506" s="128"/>
      <c r="H506" s="128"/>
      <c r="I506" s="140"/>
      <c r="J506" s="193" t="s">
        <v>43</v>
      </c>
      <c r="K506" s="223"/>
      <c r="L506" s="111"/>
      <c r="M506" s="166"/>
    </row>
    <row r="507" spans="1:13" ht="15" customHeight="1" x14ac:dyDescent="0.25">
      <c r="A507" s="126"/>
      <c r="B507" s="129"/>
      <c r="C507" s="124"/>
      <c r="D507" s="149"/>
      <c r="E507" s="150"/>
      <c r="F507" s="150"/>
      <c r="G507" s="128"/>
      <c r="H507" s="128"/>
      <c r="I507" s="140"/>
      <c r="J507" s="112"/>
      <c r="K507" s="166"/>
      <c r="L507" s="111"/>
      <c r="M507" s="166"/>
    </row>
    <row r="508" spans="1:13" ht="15" customHeight="1" x14ac:dyDescent="0.25">
      <c r="A508" s="126"/>
      <c r="B508" s="129"/>
      <c r="C508" s="124"/>
      <c r="D508" s="149"/>
      <c r="E508" s="150"/>
      <c r="F508" s="150"/>
      <c r="G508" s="128"/>
      <c r="H508" s="128"/>
      <c r="I508" s="140"/>
      <c r="J508" s="194" t="s">
        <v>44</v>
      </c>
      <c r="K508" s="224"/>
      <c r="L508" s="111"/>
      <c r="M508" s="166"/>
    </row>
    <row r="509" spans="1:13" ht="15" customHeight="1" x14ac:dyDescent="0.25">
      <c r="A509" s="126"/>
      <c r="B509" s="129"/>
      <c r="C509" s="124"/>
      <c r="D509" s="149"/>
      <c r="E509" s="150"/>
      <c r="F509" s="150"/>
      <c r="G509" s="128"/>
      <c r="H509" s="128"/>
      <c r="I509" s="140"/>
      <c r="J509" s="112"/>
      <c r="K509" s="166"/>
      <c r="L509" s="111"/>
      <c r="M509" s="166"/>
    </row>
    <row r="510" spans="1:13" ht="15" customHeight="1" x14ac:dyDescent="0.25">
      <c r="A510" s="130"/>
      <c r="B510" s="129"/>
      <c r="C510" s="124"/>
      <c r="D510" s="149"/>
      <c r="E510" s="150"/>
      <c r="F510" s="150"/>
      <c r="G510" s="128"/>
      <c r="H510" s="128"/>
      <c r="I510" s="140"/>
      <c r="J510" s="194" t="s">
        <v>45</v>
      </c>
      <c r="K510" s="224"/>
      <c r="L510" s="111"/>
      <c r="M510" s="166"/>
    </row>
    <row r="511" spans="1:13" ht="5.0999999999999996" customHeight="1" x14ac:dyDescent="0.25">
      <c r="A511" s="140"/>
      <c r="B511" s="140"/>
      <c r="C511" s="140"/>
      <c r="D511" s="140"/>
      <c r="E511" s="140"/>
      <c r="F511" s="140"/>
      <c r="G511" s="140"/>
      <c r="H511" s="140"/>
      <c r="I511" s="140"/>
      <c r="J511" s="112"/>
      <c r="K511" s="166"/>
      <c r="L511" s="111"/>
      <c r="M511" s="191"/>
    </row>
    <row r="512" spans="1:13" ht="16.5" thickBot="1" x14ac:dyDescent="0.3">
      <c r="A512" s="113"/>
      <c r="B512" s="114"/>
      <c r="C512" s="167"/>
      <c r="D512" s="167"/>
      <c r="E512" s="116"/>
      <c r="F512" s="116"/>
      <c r="G512" s="164"/>
      <c r="H512" s="120"/>
      <c r="I512" s="140"/>
      <c r="J512" s="120"/>
      <c r="K512" s="121"/>
      <c r="L512" s="221"/>
      <c r="M512" s="191"/>
    </row>
    <row r="513" spans="1:13" ht="5.0999999999999996" customHeight="1" thickBot="1" x14ac:dyDescent="0.3">
      <c r="A513" s="217"/>
      <c r="B513" s="212"/>
      <c r="C513" s="227"/>
      <c r="D513" s="227"/>
      <c r="E513" s="214"/>
      <c r="F513" s="214"/>
      <c r="G513" s="215"/>
      <c r="H513" s="218"/>
      <c r="I513" s="140"/>
      <c r="J513" s="218"/>
      <c r="K513" s="220"/>
      <c r="L513" s="221"/>
      <c r="M513" s="191"/>
    </row>
    <row r="514" spans="1:13" ht="15" customHeight="1" thickBot="1" x14ac:dyDescent="0.3">
      <c r="A514" s="125"/>
      <c r="B514" s="148"/>
      <c r="C514" s="123"/>
      <c r="D514" s="149"/>
      <c r="E514" s="150"/>
      <c r="F514" s="150"/>
      <c r="G514" s="127"/>
      <c r="H514" s="189"/>
      <c r="I514" s="140"/>
      <c r="J514" s="209"/>
      <c r="K514" s="223"/>
      <c r="L514" s="112"/>
      <c r="M514" s="166"/>
    </row>
    <row r="515" spans="1:13" ht="15" customHeight="1" thickBot="1" x14ac:dyDescent="0.3">
      <c r="A515" s="126"/>
      <c r="B515" s="129"/>
      <c r="C515" s="124"/>
      <c r="D515" s="149"/>
      <c r="E515" s="150"/>
      <c r="F515" s="150"/>
      <c r="G515" s="128"/>
      <c r="H515" s="128"/>
      <c r="I515" s="140"/>
      <c r="J515" s="112"/>
      <c r="K515" s="166"/>
      <c r="L515" s="118"/>
      <c r="M515" s="166"/>
    </row>
    <row r="516" spans="1:13" ht="15" customHeight="1" x14ac:dyDescent="0.25">
      <c r="A516" s="126"/>
      <c r="B516" s="129"/>
      <c r="C516" s="124"/>
      <c r="D516" s="149"/>
      <c r="E516" s="150"/>
      <c r="F516" s="150"/>
      <c r="G516" s="128"/>
      <c r="H516" s="128"/>
      <c r="I516" s="140"/>
      <c r="J516" s="194" t="s">
        <v>39</v>
      </c>
      <c r="K516" s="223"/>
      <c r="L516" s="118"/>
      <c r="M516" s="166"/>
    </row>
    <row r="517" spans="1:13" ht="15" customHeight="1" thickBot="1" x14ac:dyDescent="0.3">
      <c r="A517" s="126"/>
      <c r="B517" s="129"/>
      <c r="C517" s="124"/>
      <c r="D517" s="149"/>
      <c r="E517" s="150"/>
      <c r="F517" s="150"/>
      <c r="G517" s="128"/>
      <c r="H517" s="128"/>
      <c r="I517" s="140"/>
      <c r="J517" s="112"/>
      <c r="K517" s="166"/>
      <c r="L517" s="118"/>
      <c r="M517" s="166"/>
    </row>
    <row r="518" spans="1:13" ht="15" customHeight="1" x14ac:dyDescent="0.25">
      <c r="A518" s="126"/>
      <c r="B518" s="129"/>
      <c r="C518" s="124"/>
      <c r="D518" s="149"/>
      <c r="E518" s="150"/>
      <c r="F518" s="150"/>
      <c r="G518" s="128"/>
      <c r="H518" s="128"/>
      <c r="I518" s="140"/>
      <c r="J518" s="194" t="s">
        <v>40</v>
      </c>
      <c r="K518" s="223"/>
      <c r="L518" s="118"/>
      <c r="M518" s="166"/>
    </row>
    <row r="519" spans="1:13" ht="15" customHeight="1" thickBot="1" x14ac:dyDescent="0.3">
      <c r="A519" s="126"/>
      <c r="B519" s="129"/>
      <c r="C519" s="124"/>
      <c r="D519" s="149"/>
      <c r="E519" s="150"/>
      <c r="F519" s="150"/>
      <c r="G519" s="128"/>
      <c r="H519" s="128"/>
      <c r="I519" s="140"/>
      <c r="J519" s="112"/>
      <c r="K519" s="166"/>
      <c r="L519" s="118"/>
      <c r="M519" s="166"/>
    </row>
    <row r="520" spans="1:13" ht="15" customHeight="1" x14ac:dyDescent="0.25">
      <c r="A520" s="126"/>
      <c r="B520" s="129"/>
      <c r="C520" s="124"/>
      <c r="D520" s="149"/>
      <c r="E520" s="150"/>
      <c r="F520" s="150"/>
      <c r="G520" s="128"/>
      <c r="H520" s="128"/>
      <c r="I520" s="140"/>
      <c r="J520" s="194" t="s">
        <v>41</v>
      </c>
      <c r="K520" s="223"/>
      <c r="L520" s="118"/>
      <c r="M520" s="166"/>
    </row>
    <row r="521" spans="1:13" ht="15" customHeight="1" thickBot="1" x14ac:dyDescent="0.3">
      <c r="A521" s="126"/>
      <c r="B521" s="129"/>
      <c r="C521" s="124"/>
      <c r="D521" s="149"/>
      <c r="E521" s="150"/>
      <c r="F521" s="150"/>
      <c r="G521" s="128"/>
      <c r="H521" s="128"/>
      <c r="I521" s="140"/>
      <c r="J521" s="112"/>
      <c r="K521" s="166"/>
      <c r="L521" s="118"/>
      <c r="M521" s="166"/>
    </row>
    <row r="522" spans="1:13" ht="15" customHeight="1" x14ac:dyDescent="0.25">
      <c r="A522" s="126"/>
      <c r="B522" s="129"/>
      <c r="C522" s="124"/>
      <c r="D522" s="149"/>
      <c r="E522" s="150"/>
      <c r="F522" s="150"/>
      <c r="G522" s="128"/>
      <c r="H522" s="128"/>
      <c r="I522" s="140"/>
      <c r="J522" s="194" t="s">
        <v>42</v>
      </c>
      <c r="K522" s="223"/>
      <c r="L522" s="111"/>
      <c r="M522" s="166"/>
    </row>
    <row r="523" spans="1:13" ht="15" customHeight="1" thickBot="1" x14ac:dyDescent="0.3">
      <c r="A523" s="126"/>
      <c r="B523" s="129"/>
      <c r="C523" s="124"/>
      <c r="D523" s="149"/>
      <c r="E523" s="150"/>
      <c r="F523" s="150"/>
      <c r="G523" s="128"/>
      <c r="H523" s="128"/>
      <c r="I523" s="140"/>
      <c r="J523" s="112"/>
      <c r="K523" s="166"/>
      <c r="L523" s="111"/>
      <c r="M523" s="166"/>
    </row>
    <row r="524" spans="1:13" ht="15" customHeight="1" x14ac:dyDescent="0.25">
      <c r="A524" s="126"/>
      <c r="B524" s="129"/>
      <c r="C524" s="124"/>
      <c r="D524" s="149"/>
      <c r="E524" s="150"/>
      <c r="F524" s="150"/>
      <c r="G524" s="128"/>
      <c r="H524" s="128"/>
      <c r="I524" s="140"/>
      <c r="J524" s="193" t="s">
        <v>43</v>
      </c>
      <c r="K524" s="223"/>
      <c r="L524" s="111"/>
      <c r="M524" s="166"/>
    </row>
    <row r="525" spans="1:13" ht="15" customHeight="1" x14ac:dyDescent="0.25">
      <c r="A525" s="126"/>
      <c r="B525" s="129"/>
      <c r="C525" s="124"/>
      <c r="D525" s="149"/>
      <c r="E525" s="150"/>
      <c r="F525" s="150"/>
      <c r="G525" s="128"/>
      <c r="H525" s="128"/>
      <c r="I525" s="140"/>
      <c r="J525" s="112"/>
      <c r="K525" s="166"/>
      <c r="L525" s="111"/>
      <c r="M525" s="166"/>
    </row>
    <row r="526" spans="1:13" ht="15" customHeight="1" x14ac:dyDescent="0.25">
      <c r="A526" s="126"/>
      <c r="B526" s="129"/>
      <c r="C526" s="124"/>
      <c r="D526" s="149"/>
      <c r="E526" s="150"/>
      <c r="F526" s="150"/>
      <c r="G526" s="128"/>
      <c r="H526" s="128"/>
      <c r="I526" s="140"/>
      <c r="J526" s="194" t="s">
        <v>44</v>
      </c>
      <c r="K526" s="224"/>
      <c r="L526" s="111"/>
      <c r="M526" s="166"/>
    </row>
    <row r="527" spans="1:13" ht="15" customHeight="1" x14ac:dyDescent="0.25">
      <c r="A527" s="126"/>
      <c r="B527" s="129"/>
      <c r="C527" s="124"/>
      <c r="D527" s="149"/>
      <c r="E527" s="150"/>
      <c r="F527" s="150"/>
      <c r="G527" s="128"/>
      <c r="H527" s="128"/>
      <c r="I527" s="140"/>
      <c r="J527" s="112"/>
      <c r="K527" s="166"/>
      <c r="L527" s="111"/>
      <c r="M527" s="166"/>
    </row>
    <row r="528" spans="1:13" ht="15" customHeight="1" x14ac:dyDescent="0.25">
      <c r="A528" s="130"/>
      <c r="B528" s="129"/>
      <c r="C528" s="124"/>
      <c r="D528" s="149"/>
      <c r="E528" s="150"/>
      <c r="F528" s="150"/>
      <c r="G528" s="128"/>
      <c r="H528" s="128"/>
      <c r="I528" s="140"/>
      <c r="J528" s="194" t="s">
        <v>45</v>
      </c>
      <c r="K528" s="224"/>
      <c r="L528" s="111"/>
      <c r="M528" s="166"/>
    </row>
    <row r="529" spans="1:13" ht="5.0999999999999996" customHeight="1" x14ac:dyDescent="0.25">
      <c r="A529" s="140"/>
      <c r="B529" s="140"/>
      <c r="C529" s="140"/>
      <c r="D529" s="140"/>
      <c r="E529" s="140"/>
      <c r="F529" s="140"/>
      <c r="G529" s="140"/>
      <c r="H529" s="140"/>
      <c r="I529" s="140"/>
      <c r="J529" s="112"/>
      <c r="K529" s="166"/>
      <c r="L529" s="111"/>
      <c r="M529" s="191"/>
    </row>
    <row r="530" spans="1:13" ht="16.5" thickBot="1" x14ac:dyDescent="0.3">
      <c r="A530" s="113"/>
      <c r="B530" s="114"/>
      <c r="C530" s="167"/>
      <c r="D530" s="167"/>
      <c r="E530" s="116"/>
      <c r="F530" s="116"/>
      <c r="G530" s="164"/>
      <c r="H530" s="120"/>
      <c r="I530" s="140"/>
      <c r="J530" s="120"/>
      <c r="K530" s="121"/>
      <c r="L530" s="221"/>
      <c r="M530" s="191"/>
    </row>
    <row r="531" spans="1:13" ht="5.0999999999999996" customHeight="1" thickBot="1" x14ac:dyDescent="0.3">
      <c r="A531" s="217"/>
      <c r="B531" s="212"/>
      <c r="C531" s="227"/>
      <c r="D531" s="227"/>
      <c r="E531" s="214"/>
      <c r="F531" s="214"/>
      <c r="G531" s="215"/>
      <c r="H531" s="218"/>
      <c r="I531" s="140"/>
      <c r="J531" s="218"/>
      <c r="K531" s="220"/>
      <c r="L531" s="221"/>
      <c r="M531" s="191"/>
    </row>
    <row r="532" spans="1:13" ht="15" customHeight="1" thickBot="1" x14ac:dyDescent="0.3">
      <c r="A532" s="126"/>
      <c r="B532" s="148"/>
      <c r="C532" s="124"/>
      <c r="D532" s="149"/>
      <c r="E532" s="150"/>
      <c r="F532" s="150"/>
      <c r="G532" s="127"/>
      <c r="H532" s="189"/>
      <c r="I532" s="140"/>
      <c r="J532" s="209"/>
      <c r="K532" s="223"/>
      <c r="L532" s="112"/>
      <c r="M532" s="166"/>
    </row>
    <row r="533" spans="1:13" ht="15" customHeight="1" thickBot="1" x14ac:dyDescent="0.3">
      <c r="A533" s="126"/>
      <c r="B533" s="129"/>
      <c r="C533" s="124"/>
      <c r="D533" s="149"/>
      <c r="E533" s="150"/>
      <c r="F533" s="150"/>
      <c r="G533" s="128"/>
      <c r="H533" s="128"/>
      <c r="I533" s="140"/>
      <c r="J533" s="112"/>
      <c r="K533" s="166"/>
      <c r="L533" s="118"/>
      <c r="M533" s="166"/>
    </row>
    <row r="534" spans="1:13" ht="15" customHeight="1" x14ac:dyDescent="0.25">
      <c r="A534" s="126"/>
      <c r="B534" s="129"/>
      <c r="C534" s="124"/>
      <c r="D534" s="149"/>
      <c r="E534" s="150"/>
      <c r="F534" s="150"/>
      <c r="G534" s="128"/>
      <c r="H534" s="128"/>
      <c r="I534" s="140"/>
      <c r="J534" s="194" t="s">
        <v>39</v>
      </c>
      <c r="K534" s="223"/>
      <c r="L534" s="118"/>
      <c r="M534" s="166"/>
    </row>
    <row r="535" spans="1:13" ht="15" customHeight="1" thickBot="1" x14ac:dyDescent="0.3">
      <c r="A535" s="126"/>
      <c r="B535" s="129"/>
      <c r="C535" s="124"/>
      <c r="D535" s="149"/>
      <c r="E535" s="150"/>
      <c r="F535" s="150"/>
      <c r="G535" s="128"/>
      <c r="H535" s="128"/>
      <c r="I535" s="140"/>
      <c r="J535" s="112"/>
      <c r="K535" s="166"/>
      <c r="L535" s="118"/>
      <c r="M535" s="166"/>
    </row>
    <row r="536" spans="1:13" ht="15" customHeight="1" x14ac:dyDescent="0.25">
      <c r="A536" s="126"/>
      <c r="B536" s="129"/>
      <c r="C536" s="124"/>
      <c r="D536" s="149"/>
      <c r="E536" s="150"/>
      <c r="F536" s="150"/>
      <c r="G536" s="128"/>
      <c r="H536" s="128"/>
      <c r="I536" s="140"/>
      <c r="J536" s="194" t="s">
        <v>40</v>
      </c>
      <c r="K536" s="223"/>
      <c r="L536" s="118"/>
      <c r="M536" s="166"/>
    </row>
    <row r="537" spans="1:13" ht="15" customHeight="1" thickBot="1" x14ac:dyDescent="0.3">
      <c r="A537" s="126"/>
      <c r="B537" s="129"/>
      <c r="C537" s="124"/>
      <c r="D537" s="149"/>
      <c r="E537" s="150"/>
      <c r="F537" s="150"/>
      <c r="G537" s="128"/>
      <c r="H537" s="128"/>
      <c r="I537" s="140"/>
      <c r="J537" s="112"/>
      <c r="K537" s="166"/>
      <c r="L537" s="118"/>
      <c r="M537" s="166"/>
    </row>
    <row r="538" spans="1:13" ht="15" customHeight="1" x14ac:dyDescent="0.25">
      <c r="A538" s="126"/>
      <c r="B538" s="129"/>
      <c r="C538" s="124"/>
      <c r="D538" s="149"/>
      <c r="E538" s="150"/>
      <c r="F538" s="150"/>
      <c r="G538" s="128"/>
      <c r="H538" s="128"/>
      <c r="I538" s="140"/>
      <c r="J538" s="194" t="s">
        <v>41</v>
      </c>
      <c r="K538" s="223"/>
      <c r="L538" s="118"/>
      <c r="M538" s="166"/>
    </row>
    <row r="539" spans="1:13" ht="15" customHeight="1" thickBot="1" x14ac:dyDescent="0.3">
      <c r="A539" s="126"/>
      <c r="B539" s="129"/>
      <c r="C539" s="124"/>
      <c r="D539" s="149"/>
      <c r="E539" s="150"/>
      <c r="F539" s="150"/>
      <c r="G539" s="128"/>
      <c r="H539" s="128"/>
      <c r="I539" s="140"/>
      <c r="J539" s="112"/>
      <c r="K539" s="166"/>
      <c r="L539" s="118"/>
      <c r="M539" s="166"/>
    </row>
    <row r="540" spans="1:13" ht="15" customHeight="1" x14ac:dyDescent="0.25">
      <c r="A540" s="126"/>
      <c r="B540" s="129"/>
      <c r="C540" s="124"/>
      <c r="D540" s="149"/>
      <c r="E540" s="150"/>
      <c r="F540" s="150"/>
      <c r="G540" s="128"/>
      <c r="H540" s="128"/>
      <c r="I540" s="140"/>
      <c r="J540" s="194" t="s">
        <v>42</v>
      </c>
      <c r="K540" s="223"/>
      <c r="L540" s="111"/>
      <c r="M540" s="166"/>
    </row>
    <row r="541" spans="1:13" ht="15" customHeight="1" thickBot="1" x14ac:dyDescent="0.3">
      <c r="A541" s="126"/>
      <c r="B541" s="129"/>
      <c r="C541" s="124"/>
      <c r="D541" s="149"/>
      <c r="E541" s="150"/>
      <c r="F541" s="150"/>
      <c r="G541" s="128"/>
      <c r="H541" s="128"/>
      <c r="I541" s="140"/>
      <c r="J541" s="112"/>
      <c r="K541" s="166"/>
      <c r="L541" s="111"/>
      <c r="M541" s="166"/>
    </row>
    <row r="542" spans="1:13" ht="15" customHeight="1" x14ac:dyDescent="0.25">
      <c r="A542" s="126"/>
      <c r="B542" s="129"/>
      <c r="C542" s="124"/>
      <c r="D542" s="149"/>
      <c r="E542" s="150"/>
      <c r="F542" s="150"/>
      <c r="G542" s="128"/>
      <c r="H542" s="128"/>
      <c r="I542" s="140"/>
      <c r="J542" s="193" t="s">
        <v>43</v>
      </c>
      <c r="K542" s="223"/>
      <c r="L542" s="111"/>
      <c r="M542" s="166"/>
    </row>
    <row r="543" spans="1:13" ht="15" customHeight="1" x14ac:dyDescent="0.25">
      <c r="A543" s="126"/>
      <c r="B543" s="129"/>
      <c r="C543" s="124"/>
      <c r="D543" s="149"/>
      <c r="E543" s="150"/>
      <c r="F543" s="150"/>
      <c r="G543" s="128"/>
      <c r="H543" s="128"/>
      <c r="I543" s="140"/>
      <c r="J543" s="112"/>
      <c r="K543" s="166"/>
      <c r="L543" s="111"/>
      <c r="M543" s="166"/>
    </row>
    <row r="544" spans="1:13" ht="15" customHeight="1" x14ac:dyDescent="0.25">
      <c r="A544" s="126"/>
      <c r="B544" s="129"/>
      <c r="C544" s="124"/>
      <c r="D544" s="149"/>
      <c r="E544" s="150"/>
      <c r="F544" s="150"/>
      <c r="G544" s="128"/>
      <c r="H544" s="128"/>
      <c r="I544" s="140"/>
      <c r="J544" s="194" t="s">
        <v>44</v>
      </c>
      <c r="K544" s="224"/>
      <c r="L544" s="111"/>
      <c r="M544" s="166"/>
    </row>
    <row r="545" spans="1:13" ht="15" customHeight="1" x14ac:dyDescent="0.25">
      <c r="A545" s="126"/>
      <c r="B545" s="129"/>
      <c r="C545" s="124"/>
      <c r="D545" s="149"/>
      <c r="E545" s="150"/>
      <c r="F545" s="150"/>
      <c r="G545" s="128"/>
      <c r="H545" s="128"/>
      <c r="I545" s="140"/>
      <c r="J545" s="112"/>
      <c r="K545" s="166"/>
      <c r="L545" s="111"/>
      <c r="M545" s="166"/>
    </row>
    <row r="546" spans="1:13" ht="15" customHeight="1" x14ac:dyDescent="0.25">
      <c r="A546" s="130"/>
      <c r="B546" s="129"/>
      <c r="C546" s="124"/>
      <c r="D546" s="149"/>
      <c r="E546" s="150"/>
      <c r="F546" s="150"/>
      <c r="G546" s="128"/>
      <c r="H546" s="128"/>
      <c r="I546" s="140"/>
      <c r="J546" s="194" t="s">
        <v>45</v>
      </c>
      <c r="K546" s="224"/>
      <c r="L546" s="111"/>
      <c r="M546" s="166"/>
    </row>
    <row r="547" spans="1:13" ht="5.0999999999999996" customHeight="1" x14ac:dyDescent="0.25">
      <c r="A547" s="140"/>
      <c r="B547" s="140"/>
      <c r="C547" s="140"/>
      <c r="D547" s="140"/>
      <c r="E547" s="140"/>
      <c r="F547" s="140"/>
      <c r="G547" s="140"/>
      <c r="H547" s="140"/>
      <c r="I547" s="140"/>
      <c r="J547" s="112"/>
      <c r="K547" s="166"/>
      <c r="L547" s="111"/>
      <c r="M547" s="191"/>
    </row>
    <row r="548" spans="1:13" ht="16.5" thickBot="1" x14ac:dyDescent="0.3">
      <c r="A548" s="113"/>
      <c r="B548" s="114"/>
      <c r="C548" s="167"/>
      <c r="D548" s="167"/>
      <c r="E548" s="116"/>
      <c r="F548" s="116"/>
      <c r="G548" s="164"/>
      <c r="H548" s="120"/>
      <c r="I548" s="140"/>
      <c r="J548" s="120"/>
      <c r="K548" s="121"/>
      <c r="L548" s="221"/>
      <c r="M548" s="191"/>
    </row>
    <row r="549" spans="1:13" ht="5.0999999999999996" customHeight="1" thickBot="1" x14ac:dyDescent="0.3">
      <c r="A549" s="217"/>
      <c r="B549" s="212"/>
      <c r="C549" s="227"/>
      <c r="D549" s="227"/>
      <c r="E549" s="214"/>
      <c r="F549" s="214"/>
      <c r="G549" s="215"/>
      <c r="H549" s="218"/>
      <c r="I549" s="140"/>
      <c r="J549" s="218"/>
      <c r="K549" s="220"/>
      <c r="L549" s="221"/>
      <c r="M549" s="191"/>
    </row>
    <row r="550" spans="1:13" ht="15" customHeight="1" thickBot="1" x14ac:dyDescent="0.3">
      <c r="A550" s="125"/>
      <c r="B550" s="148"/>
      <c r="C550" s="124"/>
      <c r="D550" s="149"/>
      <c r="E550" s="150"/>
      <c r="F550" s="150"/>
      <c r="G550" s="127"/>
      <c r="H550" s="189"/>
      <c r="I550" s="140"/>
      <c r="J550" s="209"/>
      <c r="K550" s="192"/>
      <c r="L550" s="191"/>
      <c r="M550" s="165"/>
    </row>
    <row r="551" spans="1:13" ht="15" customHeight="1" x14ac:dyDescent="0.25">
      <c r="A551" s="126"/>
      <c r="B551" s="129"/>
      <c r="C551" s="124"/>
      <c r="D551" s="149"/>
      <c r="E551" s="150"/>
      <c r="F551" s="150"/>
      <c r="G551" s="128"/>
      <c r="H551" s="128"/>
      <c r="I551" s="140"/>
      <c r="J551" s="112"/>
      <c r="K551" s="165"/>
      <c r="L551" s="111"/>
      <c r="M551" s="165"/>
    </row>
    <row r="552" spans="1:13" ht="15" customHeight="1" x14ac:dyDescent="0.25">
      <c r="A552" s="126"/>
      <c r="B552" s="129"/>
      <c r="C552" s="124"/>
      <c r="D552" s="149"/>
      <c r="E552" s="150"/>
      <c r="F552" s="150"/>
      <c r="G552" s="128"/>
      <c r="H552" s="128"/>
      <c r="I552" s="140"/>
      <c r="J552" s="194" t="s">
        <v>39</v>
      </c>
      <c r="K552" s="192"/>
      <c r="L552" s="111"/>
      <c r="M552" s="165"/>
    </row>
    <row r="553" spans="1:13" ht="15" customHeight="1" x14ac:dyDescent="0.25">
      <c r="A553" s="126"/>
      <c r="B553" s="129"/>
      <c r="C553" s="124"/>
      <c r="D553" s="149"/>
      <c r="E553" s="150"/>
      <c r="F553" s="150"/>
      <c r="G553" s="128"/>
      <c r="H553" s="128"/>
      <c r="I553" s="140"/>
      <c r="J553" s="112"/>
      <c r="K553" s="165"/>
      <c r="L553" s="111"/>
      <c r="M553" s="165"/>
    </row>
    <row r="554" spans="1:13" ht="15" customHeight="1" x14ac:dyDescent="0.25">
      <c r="A554" s="126"/>
      <c r="B554" s="129"/>
      <c r="C554" s="124"/>
      <c r="D554" s="149"/>
      <c r="E554" s="150"/>
      <c r="F554" s="150"/>
      <c r="G554" s="128"/>
      <c r="H554" s="128"/>
      <c r="I554" s="140"/>
      <c r="J554" s="194" t="s">
        <v>40</v>
      </c>
      <c r="K554" s="195"/>
      <c r="L554" s="111"/>
      <c r="M554" s="165"/>
    </row>
    <row r="555" spans="1:13" ht="15" customHeight="1" x14ac:dyDescent="0.25">
      <c r="A555" s="126"/>
      <c r="B555" s="129"/>
      <c r="C555" s="124"/>
      <c r="D555" s="149"/>
      <c r="E555" s="150"/>
      <c r="F555" s="150"/>
      <c r="G555" s="128"/>
      <c r="H555" s="128"/>
      <c r="I555" s="140"/>
      <c r="J555" s="112"/>
      <c r="K555" s="165"/>
      <c r="L555" s="111"/>
      <c r="M555" s="165"/>
    </row>
    <row r="556" spans="1:13" ht="15" customHeight="1" x14ac:dyDescent="0.25">
      <c r="A556" s="126"/>
      <c r="B556" s="129"/>
      <c r="C556" s="124"/>
      <c r="D556" s="149"/>
      <c r="E556" s="150"/>
      <c r="F556" s="150"/>
      <c r="G556" s="128"/>
      <c r="H556" s="128"/>
      <c r="I556" s="140"/>
      <c r="J556" s="194" t="s">
        <v>41</v>
      </c>
      <c r="K556" s="195"/>
      <c r="L556" s="111"/>
      <c r="M556" s="165"/>
    </row>
    <row r="557" spans="1:13" ht="15" customHeight="1" x14ac:dyDescent="0.25">
      <c r="A557" s="126"/>
      <c r="B557" s="129"/>
      <c r="C557" s="124"/>
      <c r="D557" s="149"/>
      <c r="E557" s="150"/>
      <c r="F557" s="150"/>
      <c r="G557" s="128"/>
      <c r="H557" s="128"/>
      <c r="I557" s="140"/>
      <c r="J557" s="112"/>
      <c r="K557" s="165"/>
      <c r="L557" s="111"/>
      <c r="M557" s="165"/>
    </row>
    <row r="558" spans="1:13" ht="15" customHeight="1" x14ac:dyDescent="0.25">
      <c r="A558" s="126"/>
      <c r="B558" s="129"/>
      <c r="C558" s="124"/>
      <c r="D558" s="149"/>
      <c r="E558" s="150"/>
      <c r="F558" s="150"/>
      <c r="G558" s="128"/>
      <c r="H558" s="128"/>
      <c r="I558" s="140"/>
      <c r="J558" s="194" t="s">
        <v>42</v>
      </c>
      <c r="K558" s="192"/>
      <c r="L558" s="111"/>
      <c r="M558" s="165"/>
    </row>
    <row r="559" spans="1:13" ht="15" customHeight="1" x14ac:dyDescent="0.25">
      <c r="A559" s="126"/>
      <c r="B559" s="129"/>
      <c r="C559" s="124"/>
      <c r="D559" s="149"/>
      <c r="E559" s="150"/>
      <c r="F559" s="150"/>
      <c r="G559" s="128"/>
      <c r="H559" s="128"/>
      <c r="I559" s="140"/>
      <c r="J559" s="112"/>
      <c r="K559" s="165"/>
      <c r="L559" s="111"/>
      <c r="M559" s="165"/>
    </row>
    <row r="560" spans="1:13" ht="15" customHeight="1" x14ac:dyDescent="0.25">
      <c r="A560" s="126"/>
      <c r="B560" s="129"/>
      <c r="C560" s="124"/>
      <c r="D560" s="149"/>
      <c r="E560" s="150"/>
      <c r="F560" s="150"/>
      <c r="G560" s="128"/>
      <c r="H560" s="128"/>
      <c r="I560" s="140"/>
      <c r="J560" s="193" t="s">
        <v>43</v>
      </c>
      <c r="K560" s="195"/>
      <c r="L560" s="111"/>
      <c r="M560" s="165"/>
    </row>
    <row r="561" spans="1:13" ht="15" customHeight="1" x14ac:dyDescent="0.25">
      <c r="A561" s="126"/>
      <c r="B561" s="129"/>
      <c r="C561" s="124"/>
      <c r="D561" s="149"/>
      <c r="E561" s="150"/>
      <c r="F561" s="150"/>
      <c r="G561" s="128"/>
      <c r="H561" s="128"/>
      <c r="I561" s="140"/>
      <c r="J561" s="112"/>
      <c r="K561" s="165"/>
      <c r="L561" s="111"/>
      <c r="M561" s="165"/>
    </row>
    <row r="562" spans="1:13" ht="15" customHeight="1" x14ac:dyDescent="0.25">
      <c r="A562" s="126"/>
      <c r="B562" s="129"/>
      <c r="C562" s="124"/>
      <c r="D562" s="149"/>
      <c r="E562" s="150"/>
      <c r="F562" s="150"/>
      <c r="G562" s="128"/>
      <c r="H562" s="128"/>
      <c r="I562" s="140"/>
      <c r="J562" s="194" t="s">
        <v>44</v>
      </c>
      <c r="K562" s="195"/>
      <c r="L562" s="111"/>
      <c r="M562" s="165"/>
    </row>
    <row r="563" spans="1:13" ht="15" customHeight="1" x14ac:dyDescent="0.25">
      <c r="A563" s="126"/>
      <c r="B563" s="129"/>
      <c r="C563" s="124"/>
      <c r="D563" s="149"/>
      <c r="E563" s="150"/>
      <c r="F563" s="150"/>
      <c r="G563" s="128"/>
      <c r="H563" s="128"/>
      <c r="I563" s="140"/>
      <c r="J563" s="112"/>
      <c r="K563" s="165"/>
      <c r="L563" s="111"/>
      <c r="M563" s="165"/>
    </row>
    <row r="564" spans="1:13" ht="15" customHeight="1" x14ac:dyDescent="0.25">
      <c r="A564" s="130"/>
      <c r="B564" s="129"/>
      <c r="C564" s="124"/>
      <c r="D564" s="149"/>
      <c r="E564" s="150"/>
      <c r="F564" s="150"/>
      <c r="G564" s="128"/>
      <c r="H564" s="128"/>
      <c r="I564" s="140"/>
      <c r="J564" s="194" t="s">
        <v>45</v>
      </c>
      <c r="K564" s="196"/>
      <c r="L564" s="111"/>
      <c r="M564" s="165"/>
    </row>
    <row r="565" spans="1:13" ht="5.0999999999999996" customHeight="1" x14ac:dyDescent="0.25">
      <c r="A565" s="140"/>
      <c r="B565" s="140"/>
      <c r="C565" s="140"/>
      <c r="D565" s="140"/>
      <c r="E565" s="140"/>
      <c r="F565" s="140"/>
      <c r="G565" s="140"/>
      <c r="H565" s="140"/>
      <c r="I565" s="140"/>
      <c r="J565" s="194"/>
      <c r="K565" s="197"/>
      <c r="L565" s="111"/>
      <c r="M565" s="191"/>
    </row>
    <row r="566" spans="1:13" ht="16.5" thickBot="1" x14ac:dyDescent="0.3">
      <c r="A566" s="113"/>
      <c r="B566" s="114"/>
      <c r="C566" s="115"/>
      <c r="D566" s="115"/>
      <c r="E566" s="116"/>
      <c r="F566" s="116"/>
      <c r="G566" s="164"/>
      <c r="H566" s="120"/>
      <c r="I566" s="140"/>
      <c r="J566" s="119"/>
      <c r="K566" s="119"/>
      <c r="L566" s="210"/>
      <c r="M566" s="191"/>
    </row>
    <row r="567" spans="1:13" ht="5.0999999999999996" customHeight="1" thickBot="1" x14ac:dyDescent="0.3">
      <c r="A567" s="217"/>
      <c r="B567" s="212"/>
      <c r="C567" s="213"/>
      <c r="D567" s="213"/>
      <c r="E567" s="214"/>
      <c r="F567" s="214"/>
      <c r="G567" s="215"/>
      <c r="H567" s="218"/>
      <c r="I567" s="140"/>
      <c r="J567" s="210"/>
      <c r="K567" s="210"/>
      <c r="L567" s="210"/>
      <c r="M567" s="191"/>
    </row>
    <row r="568" spans="1:13" ht="15" customHeight="1" thickBot="1" x14ac:dyDescent="0.3">
      <c r="A568" s="126"/>
      <c r="B568" s="148"/>
      <c r="C568" s="124"/>
      <c r="D568" s="149"/>
      <c r="E568" s="150"/>
      <c r="F568" s="150"/>
      <c r="G568" s="128"/>
      <c r="H568" s="128"/>
      <c r="I568" s="140"/>
      <c r="J568" s="209"/>
      <c r="K568" s="222"/>
      <c r="L568" s="112"/>
      <c r="M568" s="166"/>
    </row>
    <row r="569" spans="1:13" ht="15" customHeight="1" thickBot="1" x14ac:dyDescent="0.3">
      <c r="A569" s="126"/>
      <c r="B569" s="129"/>
      <c r="C569" s="124"/>
      <c r="D569" s="149"/>
      <c r="E569" s="150"/>
      <c r="F569" s="150"/>
      <c r="G569" s="128"/>
      <c r="H569" s="128"/>
      <c r="I569" s="140"/>
      <c r="J569" s="112"/>
      <c r="K569" s="166"/>
      <c r="L569" s="118"/>
      <c r="M569" s="166"/>
    </row>
    <row r="570" spans="1:13" ht="15" customHeight="1" x14ac:dyDescent="0.25">
      <c r="A570" s="126"/>
      <c r="B570" s="129"/>
      <c r="C570" s="124"/>
      <c r="D570" s="149"/>
      <c r="E570" s="150"/>
      <c r="F570" s="150"/>
      <c r="G570" s="128"/>
      <c r="H570" s="128"/>
      <c r="I570" s="140"/>
      <c r="J570" s="194" t="s">
        <v>39</v>
      </c>
      <c r="K570" s="222"/>
      <c r="L570" s="118"/>
      <c r="M570" s="166"/>
    </row>
    <row r="571" spans="1:13" ht="15" customHeight="1" thickBot="1" x14ac:dyDescent="0.3">
      <c r="A571" s="126"/>
      <c r="B571" s="129"/>
      <c r="C571" s="124"/>
      <c r="D571" s="149"/>
      <c r="E571" s="150"/>
      <c r="F571" s="150"/>
      <c r="G571" s="128"/>
      <c r="H571" s="128"/>
      <c r="I571" s="140"/>
      <c r="J571" s="112"/>
      <c r="K571" s="166"/>
      <c r="L571" s="118"/>
      <c r="M571" s="166"/>
    </row>
    <row r="572" spans="1:13" ht="15" customHeight="1" x14ac:dyDescent="0.25">
      <c r="A572" s="126"/>
      <c r="B572" s="129"/>
      <c r="C572" s="124"/>
      <c r="D572" s="149"/>
      <c r="E572" s="150"/>
      <c r="F572" s="150"/>
      <c r="G572" s="128"/>
      <c r="H572" s="128"/>
      <c r="I572" s="140"/>
      <c r="J572" s="194" t="s">
        <v>40</v>
      </c>
      <c r="K572" s="223"/>
      <c r="L572" s="118"/>
      <c r="M572" s="166"/>
    </row>
    <row r="573" spans="1:13" ht="15" customHeight="1" thickBot="1" x14ac:dyDescent="0.3">
      <c r="A573" s="126"/>
      <c r="B573" s="129"/>
      <c r="C573" s="124"/>
      <c r="D573" s="149"/>
      <c r="E573" s="150"/>
      <c r="F573" s="150"/>
      <c r="G573" s="128"/>
      <c r="H573" s="128"/>
      <c r="I573" s="140"/>
      <c r="J573" s="112"/>
      <c r="K573" s="166"/>
      <c r="L573" s="118"/>
      <c r="M573" s="166"/>
    </row>
    <row r="574" spans="1:13" ht="15" customHeight="1" x14ac:dyDescent="0.25">
      <c r="A574" s="126"/>
      <c r="B574" s="129"/>
      <c r="C574" s="124"/>
      <c r="D574" s="149"/>
      <c r="E574" s="150"/>
      <c r="F574" s="150"/>
      <c r="G574" s="128"/>
      <c r="H574" s="128"/>
      <c r="I574" s="140"/>
      <c r="J574" s="194" t="s">
        <v>41</v>
      </c>
      <c r="K574" s="223"/>
      <c r="L574" s="118"/>
      <c r="M574" s="166"/>
    </row>
    <row r="575" spans="1:13" ht="15" customHeight="1" thickBot="1" x14ac:dyDescent="0.3">
      <c r="A575" s="126"/>
      <c r="B575" s="129"/>
      <c r="C575" s="124"/>
      <c r="D575" s="149"/>
      <c r="E575" s="150"/>
      <c r="F575" s="150"/>
      <c r="G575" s="128"/>
      <c r="H575" s="128"/>
      <c r="I575" s="140"/>
      <c r="J575" s="112"/>
      <c r="K575" s="166"/>
      <c r="L575" s="118"/>
      <c r="M575" s="166"/>
    </row>
    <row r="576" spans="1:13" ht="15" customHeight="1" x14ac:dyDescent="0.25">
      <c r="A576" s="126"/>
      <c r="B576" s="129"/>
      <c r="C576" s="124"/>
      <c r="D576" s="149"/>
      <c r="E576" s="150"/>
      <c r="F576" s="150"/>
      <c r="G576" s="128"/>
      <c r="H576" s="128"/>
      <c r="I576" s="140"/>
      <c r="J576" s="194" t="s">
        <v>42</v>
      </c>
      <c r="K576" s="222"/>
      <c r="L576" s="111"/>
      <c r="M576" s="166"/>
    </row>
    <row r="577" spans="1:13" ht="15" customHeight="1" thickBot="1" x14ac:dyDescent="0.3">
      <c r="A577" s="126"/>
      <c r="B577" s="129"/>
      <c r="C577" s="124"/>
      <c r="D577" s="149"/>
      <c r="E577" s="150"/>
      <c r="F577" s="150"/>
      <c r="G577" s="128"/>
      <c r="H577" s="128"/>
      <c r="I577" s="140"/>
      <c r="J577" s="112"/>
      <c r="K577" s="166"/>
      <c r="L577" s="111"/>
      <c r="M577" s="166"/>
    </row>
    <row r="578" spans="1:13" ht="15" customHeight="1" x14ac:dyDescent="0.25">
      <c r="A578" s="126"/>
      <c r="B578" s="129"/>
      <c r="C578" s="124"/>
      <c r="D578" s="149"/>
      <c r="E578" s="150"/>
      <c r="F578" s="150"/>
      <c r="G578" s="128"/>
      <c r="H578" s="128"/>
      <c r="I578" s="140"/>
      <c r="J578" s="193" t="s">
        <v>43</v>
      </c>
      <c r="K578" s="222"/>
      <c r="L578" s="111"/>
      <c r="M578" s="166"/>
    </row>
    <row r="579" spans="1:13" ht="15" customHeight="1" x14ac:dyDescent="0.25">
      <c r="A579" s="126"/>
      <c r="B579" s="129"/>
      <c r="C579" s="124"/>
      <c r="D579" s="149"/>
      <c r="E579" s="150"/>
      <c r="F579" s="150"/>
      <c r="G579" s="128"/>
      <c r="H579" s="128"/>
      <c r="I579" s="140"/>
      <c r="J579" s="112"/>
      <c r="K579" s="166"/>
      <c r="L579" s="111"/>
      <c r="M579" s="166"/>
    </row>
    <row r="580" spans="1:13" ht="15" customHeight="1" x14ac:dyDescent="0.25">
      <c r="A580" s="126"/>
      <c r="B580" s="129"/>
      <c r="C580" s="124"/>
      <c r="D580" s="149"/>
      <c r="E580" s="150"/>
      <c r="F580" s="150"/>
      <c r="G580" s="128"/>
      <c r="H580" s="128"/>
      <c r="I580" s="140"/>
      <c r="J580" s="194" t="s">
        <v>44</v>
      </c>
      <c r="K580" s="224"/>
      <c r="L580" s="111"/>
      <c r="M580" s="166"/>
    </row>
    <row r="581" spans="1:13" ht="15" customHeight="1" x14ac:dyDescent="0.25">
      <c r="A581" s="126"/>
      <c r="B581" s="129"/>
      <c r="C581" s="124"/>
      <c r="D581" s="149"/>
      <c r="E581" s="150"/>
      <c r="F581" s="150"/>
      <c r="G581" s="128"/>
      <c r="H581" s="128"/>
      <c r="I581" s="140"/>
      <c r="J581" s="112"/>
      <c r="K581" s="166"/>
      <c r="L581" s="111"/>
      <c r="M581" s="166"/>
    </row>
    <row r="582" spans="1:13" ht="15" customHeight="1" x14ac:dyDescent="0.25">
      <c r="A582" s="130"/>
      <c r="B582" s="129"/>
      <c r="C582" s="124"/>
      <c r="D582" s="149"/>
      <c r="E582" s="150"/>
      <c r="F582" s="150"/>
      <c r="G582" s="128"/>
      <c r="H582" s="128"/>
      <c r="I582" s="140"/>
      <c r="J582" s="194" t="s">
        <v>45</v>
      </c>
      <c r="K582" s="224"/>
      <c r="L582" s="111"/>
      <c r="M582" s="166"/>
    </row>
    <row r="583" spans="1:13" ht="5.0999999999999996" customHeight="1" x14ac:dyDescent="0.25">
      <c r="A583" s="140"/>
      <c r="B583" s="140"/>
      <c r="C583" s="140"/>
      <c r="D583" s="140"/>
      <c r="E583" s="140"/>
      <c r="F583" s="140"/>
      <c r="G583" s="140"/>
      <c r="H583" s="140"/>
      <c r="I583" s="140"/>
      <c r="J583" s="194"/>
      <c r="K583" s="166"/>
      <c r="L583" s="111"/>
      <c r="M583" s="191"/>
    </row>
    <row r="584" spans="1:13" ht="16.5" thickBot="1" x14ac:dyDescent="0.3">
      <c r="A584" s="113"/>
      <c r="B584" s="114"/>
      <c r="C584" s="115"/>
      <c r="D584" s="115"/>
      <c r="E584" s="116"/>
      <c r="F584" s="116"/>
      <c r="G584" s="164"/>
      <c r="H584" s="120"/>
      <c r="I584" s="140"/>
      <c r="J584" s="120"/>
      <c r="K584" s="121"/>
      <c r="L584" s="221"/>
      <c r="M584" s="191"/>
    </row>
    <row r="585" spans="1:13" ht="5.0999999999999996" customHeight="1" thickBot="1" x14ac:dyDescent="0.3">
      <c r="A585" s="217"/>
      <c r="B585" s="212"/>
      <c r="C585" s="213"/>
      <c r="D585" s="213"/>
      <c r="E585" s="214"/>
      <c r="F585" s="214"/>
      <c r="G585" s="215"/>
      <c r="H585" s="218"/>
      <c r="I585" s="140"/>
      <c r="J585" s="219"/>
      <c r="K585" s="220"/>
      <c r="L585" s="221"/>
      <c r="M585" s="191"/>
    </row>
    <row r="586" spans="1:13" ht="15" customHeight="1" thickBot="1" x14ac:dyDescent="0.3">
      <c r="A586" s="125"/>
      <c r="B586" s="148"/>
      <c r="C586" s="124"/>
      <c r="D586" s="149"/>
      <c r="E586" s="150"/>
      <c r="F586" s="150"/>
      <c r="G586" s="127"/>
      <c r="H586" s="189"/>
      <c r="I586" s="140"/>
      <c r="J586" s="209"/>
      <c r="K586" s="223"/>
      <c r="L586" s="112"/>
      <c r="M586" s="166"/>
    </row>
    <row r="587" spans="1:13" ht="15" customHeight="1" thickBot="1" x14ac:dyDescent="0.3">
      <c r="A587" s="126"/>
      <c r="B587" s="129"/>
      <c r="C587" s="124"/>
      <c r="D587" s="149"/>
      <c r="E587" s="150"/>
      <c r="F587" s="150"/>
      <c r="G587" s="128"/>
      <c r="H587" s="128"/>
      <c r="I587" s="140"/>
      <c r="J587" s="112"/>
      <c r="K587" s="166"/>
      <c r="L587" s="118"/>
      <c r="M587" s="166"/>
    </row>
    <row r="588" spans="1:13" ht="15" customHeight="1" x14ac:dyDescent="0.25">
      <c r="A588" s="126"/>
      <c r="B588" s="129"/>
      <c r="C588" s="124"/>
      <c r="D588" s="149"/>
      <c r="E588" s="150"/>
      <c r="F588" s="150"/>
      <c r="G588" s="128"/>
      <c r="H588" s="128"/>
      <c r="I588" s="140"/>
      <c r="J588" s="194" t="s">
        <v>39</v>
      </c>
      <c r="K588" s="223"/>
      <c r="L588" s="118"/>
      <c r="M588" s="166"/>
    </row>
    <row r="589" spans="1:13" ht="15" customHeight="1" thickBot="1" x14ac:dyDescent="0.3">
      <c r="A589" s="126"/>
      <c r="B589" s="129"/>
      <c r="C589" s="124"/>
      <c r="D589" s="149"/>
      <c r="E589" s="150"/>
      <c r="F589" s="150"/>
      <c r="G589" s="128"/>
      <c r="H589" s="128"/>
      <c r="I589" s="140"/>
      <c r="J589" s="112"/>
      <c r="K589" s="166"/>
      <c r="L589" s="118"/>
      <c r="M589" s="166"/>
    </row>
    <row r="590" spans="1:13" ht="15" customHeight="1" x14ac:dyDescent="0.25">
      <c r="A590" s="126"/>
      <c r="B590" s="129"/>
      <c r="C590" s="124"/>
      <c r="D590" s="149"/>
      <c r="E590" s="150"/>
      <c r="F590" s="150"/>
      <c r="G590" s="128"/>
      <c r="H590" s="128"/>
      <c r="I590" s="140"/>
      <c r="J590" s="194" t="s">
        <v>40</v>
      </c>
      <c r="K590" s="223"/>
      <c r="L590" s="118"/>
      <c r="M590" s="166"/>
    </row>
    <row r="591" spans="1:13" ht="15" customHeight="1" thickBot="1" x14ac:dyDescent="0.3">
      <c r="A591" s="126"/>
      <c r="B591" s="129"/>
      <c r="C591" s="124"/>
      <c r="D591" s="149"/>
      <c r="E591" s="150"/>
      <c r="F591" s="150"/>
      <c r="G591" s="128"/>
      <c r="H591" s="128"/>
      <c r="I591" s="140"/>
      <c r="J591" s="112"/>
      <c r="K591" s="166"/>
      <c r="L591" s="118"/>
      <c r="M591" s="166"/>
    </row>
    <row r="592" spans="1:13" ht="15" customHeight="1" x14ac:dyDescent="0.25">
      <c r="A592" s="126"/>
      <c r="B592" s="129"/>
      <c r="C592" s="124"/>
      <c r="D592" s="149"/>
      <c r="E592" s="150"/>
      <c r="F592" s="150"/>
      <c r="G592" s="128"/>
      <c r="H592" s="128"/>
      <c r="I592" s="140"/>
      <c r="J592" s="194" t="s">
        <v>41</v>
      </c>
      <c r="K592" s="223"/>
      <c r="L592" s="118"/>
      <c r="M592" s="166"/>
    </row>
    <row r="593" spans="1:13" ht="15" customHeight="1" thickBot="1" x14ac:dyDescent="0.3">
      <c r="A593" s="126"/>
      <c r="B593" s="129"/>
      <c r="C593" s="124"/>
      <c r="D593" s="149"/>
      <c r="E593" s="150"/>
      <c r="F593" s="150"/>
      <c r="G593" s="128"/>
      <c r="H593" s="128"/>
      <c r="I593" s="140"/>
      <c r="J593" s="112"/>
      <c r="K593" s="166"/>
      <c r="L593" s="118"/>
      <c r="M593" s="166"/>
    </row>
    <row r="594" spans="1:13" ht="15" customHeight="1" x14ac:dyDescent="0.25">
      <c r="A594" s="126"/>
      <c r="B594" s="129"/>
      <c r="C594" s="124"/>
      <c r="D594" s="149"/>
      <c r="E594" s="150"/>
      <c r="F594" s="150"/>
      <c r="G594" s="128"/>
      <c r="H594" s="128"/>
      <c r="I594" s="140"/>
      <c r="J594" s="194" t="s">
        <v>42</v>
      </c>
      <c r="K594" s="223"/>
      <c r="L594" s="111"/>
      <c r="M594" s="166"/>
    </row>
    <row r="595" spans="1:13" ht="15" customHeight="1" thickBot="1" x14ac:dyDescent="0.3">
      <c r="A595" s="126"/>
      <c r="B595" s="129"/>
      <c r="C595" s="124"/>
      <c r="D595" s="149"/>
      <c r="E595" s="150"/>
      <c r="F595" s="150"/>
      <c r="G595" s="128"/>
      <c r="H595" s="128"/>
      <c r="I595" s="140"/>
      <c r="J595" s="112"/>
      <c r="K595" s="166"/>
      <c r="L595" s="111"/>
      <c r="M595" s="166"/>
    </row>
    <row r="596" spans="1:13" ht="15" customHeight="1" x14ac:dyDescent="0.25">
      <c r="A596" s="126"/>
      <c r="B596" s="129"/>
      <c r="C596" s="124"/>
      <c r="D596" s="149"/>
      <c r="E596" s="150"/>
      <c r="F596" s="150"/>
      <c r="G596" s="128"/>
      <c r="H596" s="128"/>
      <c r="I596" s="140"/>
      <c r="J596" s="193" t="s">
        <v>43</v>
      </c>
      <c r="K596" s="223"/>
      <c r="L596" s="111"/>
      <c r="M596" s="166"/>
    </row>
    <row r="597" spans="1:13" ht="15" customHeight="1" x14ac:dyDescent="0.25">
      <c r="A597" s="126"/>
      <c r="B597" s="129"/>
      <c r="C597" s="124"/>
      <c r="D597" s="149"/>
      <c r="E597" s="150"/>
      <c r="F597" s="150"/>
      <c r="G597" s="128"/>
      <c r="H597" s="128"/>
      <c r="I597" s="140"/>
      <c r="J597" s="112"/>
      <c r="K597" s="166"/>
      <c r="L597" s="111"/>
      <c r="M597" s="166"/>
    </row>
    <row r="598" spans="1:13" ht="15" customHeight="1" x14ac:dyDescent="0.25">
      <c r="A598" s="126"/>
      <c r="B598" s="129"/>
      <c r="C598" s="124"/>
      <c r="D598" s="149"/>
      <c r="E598" s="150"/>
      <c r="F598" s="150"/>
      <c r="G598" s="128"/>
      <c r="H598" s="128"/>
      <c r="I598" s="140"/>
      <c r="J598" s="194" t="s">
        <v>44</v>
      </c>
      <c r="K598" s="224"/>
      <c r="L598" s="111"/>
      <c r="M598" s="166"/>
    </row>
    <row r="599" spans="1:13" ht="15" customHeight="1" x14ac:dyDescent="0.25">
      <c r="A599" s="126"/>
      <c r="B599" s="129"/>
      <c r="C599" s="124"/>
      <c r="D599" s="149"/>
      <c r="E599" s="150"/>
      <c r="F599" s="150"/>
      <c r="G599" s="128"/>
      <c r="H599" s="128"/>
      <c r="I599" s="140"/>
      <c r="J599" s="112"/>
      <c r="K599" s="166"/>
      <c r="L599" s="111"/>
      <c r="M599" s="166"/>
    </row>
    <row r="600" spans="1:13" ht="15" customHeight="1" x14ac:dyDescent="0.25">
      <c r="A600" s="130"/>
      <c r="B600" s="129"/>
      <c r="C600" s="124"/>
      <c r="D600" s="149"/>
      <c r="E600" s="150"/>
      <c r="F600" s="150"/>
      <c r="G600" s="128"/>
      <c r="H600" s="128"/>
      <c r="I600" s="140"/>
      <c r="J600" s="194" t="s">
        <v>45</v>
      </c>
      <c r="K600" s="224"/>
      <c r="L600" s="111"/>
      <c r="M600" s="166"/>
    </row>
    <row r="601" spans="1:13" ht="5.0999999999999996" customHeight="1" x14ac:dyDescent="0.25">
      <c r="A601" s="140"/>
      <c r="B601" s="140"/>
      <c r="C601" s="140"/>
      <c r="D601" s="140"/>
      <c r="E601" s="140"/>
      <c r="F601" s="140"/>
      <c r="G601" s="140"/>
      <c r="H601" s="140"/>
      <c r="I601" s="140"/>
      <c r="J601" s="194"/>
      <c r="K601" s="166"/>
      <c r="L601" s="111"/>
      <c r="M601" s="191"/>
    </row>
    <row r="602" spans="1:13" ht="16.5" thickBot="1" x14ac:dyDescent="0.3">
      <c r="A602" s="113"/>
      <c r="B602" s="114"/>
      <c r="C602" s="115"/>
      <c r="D602" s="115"/>
      <c r="E602" s="116"/>
      <c r="F602" s="116"/>
      <c r="G602" s="164"/>
      <c r="H602" s="120"/>
      <c r="I602" s="140"/>
      <c r="J602" s="120"/>
      <c r="K602" s="121"/>
      <c r="L602" s="221"/>
      <c r="M602" s="191"/>
    </row>
    <row r="603" spans="1:13" ht="5.0999999999999996" customHeight="1" thickBot="1" x14ac:dyDescent="0.3">
      <c r="A603" s="217"/>
      <c r="B603" s="212"/>
      <c r="C603" s="213"/>
      <c r="D603" s="213"/>
      <c r="E603" s="214"/>
      <c r="F603" s="214"/>
      <c r="G603" s="215"/>
      <c r="H603" s="218"/>
      <c r="I603" s="140"/>
      <c r="J603" s="218"/>
      <c r="K603" s="220"/>
      <c r="L603" s="221"/>
      <c r="M603" s="191"/>
    </row>
    <row r="604" spans="1:13" ht="15" customHeight="1" thickBot="1" x14ac:dyDescent="0.3">
      <c r="A604" s="125"/>
      <c r="B604" s="148"/>
      <c r="C604" s="124"/>
      <c r="D604" s="149"/>
      <c r="E604" s="150"/>
      <c r="F604" s="150"/>
      <c r="G604" s="127"/>
      <c r="H604" s="189"/>
      <c r="I604" s="140"/>
      <c r="J604" s="209"/>
      <c r="K604" s="223"/>
      <c r="L604" s="112"/>
      <c r="M604" s="166"/>
    </row>
    <row r="605" spans="1:13" ht="15" customHeight="1" thickBot="1" x14ac:dyDescent="0.3">
      <c r="A605" s="126"/>
      <c r="B605" s="129"/>
      <c r="C605" s="124"/>
      <c r="D605" s="149"/>
      <c r="E605" s="150"/>
      <c r="F605" s="150"/>
      <c r="G605" s="128"/>
      <c r="H605" s="128"/>
      <c r="I605" s="140"/>
      <c r="J605" s="112"/>
      <c r="K605" s="166"/>
      <c r="L605" s="118"/>
      <c r="M605" s="166"/>
    </row>
    <row r="606" spans="1:13" ht="15" customHeight="1" x14ac:dyDescent="0.25">
      <c r="A606" s="126"/>
      <c r="B606" s="129"/>
      <c r="C606" s="124"/>
      <c r="D606" s="149"/>
      <c r="E606" s="150"/>
      <c r="F606" s="150"/>
      <c r="G606" s="128"/>
      <c r="H606" s="128"/>
      <c r="I606" s="140"/>
      <c r="J606" s="194" t="s">
        <v>39</v>
      </c>
      <c r="K606" s="223"/>
      <c r="L606" s="118"/>
      <c r="M606" s="166"/>
    </row>
    <row r="607" spans="1:13" ht="15" customHeight="1" thickBot="1" x14ac:dyDescent="0.3">
      <c r="A607" s="126"/>
      <c r="B607" s="129"/>
      <c r="C607" s="124"/>
      <c r="D607" s="149"/>
      <c r="E607" s="150"/>
      <c r="F607" s="150"/>
      <c r="G607" s="128"/>
      <c r="H607" s="128"/>
      <c r="I607" s="140"/>
      <c r="J607" s="112"/>
      <c r="K607" s="166"/>
      <c r="L607" s="118"/>
      <c r="M607" s="166"/>
    </row>
    <row r="608" spans="1:13" ht="15" customHeight="1" x14ac:dyDescent="0.25">
      <c r="A608" s="126"/>
      <c r="B608" s="129"/>
      <c r="C608" s="124"/>
      <c r="D608" s="149"/>
      <c r="E608" s="150"/>
      <c r="F608" s="150"/>
      <c r="G608" s="128"/>
      <c r="H608" s="128"/>
      <c r="I608" s="140"/>
      <c r="J608" s="194" t="s">
        <v>40</v>
      </c>
      <c r="K608" s="223"/>
      <c r="L608" s="118"/>
      <c r="M608" s="166"/>
    </row>
    <row r="609" spans="1:13" ht="15" customHeight="1" thickBot="1" x14ac:dyDescent="0.3">
      <c r="A609" s="126"/>
      <c r="B609" s="129"/>
      <c r="C609" s="124"/>
      <c r="D609" s="149"/>
      <c r="E609" s="150"/>
      <c r="F609" s="150"/>
      <c r="G609" s="128"/>
      <c r="H609" s="128"/>
      <c r="I609" s="140"/>
      <c r="J609" s="112"/>
      <c r="K609" s="166"/>
      <c r="L609" s="118"/>
      <c r="M609" s="166"/>
    </row>
    <row r="610" spans="1:13" ht="15" customHeight="1" x14ac:dyDescent="0.25">
      <c r="A610" s="126"/>
      <c r="B610" s="129"/>
      <c r="C610" s="124"/>
      <c r="D610" s="149"/>
      <c r="E610" s="150"/>
      <c r="F610" s="150"/>
      <c r="G610" s="128"/>
      <c r="H610" s="128"/>
      <c r="I610" s="140"/>
      <c r="J610" s="194" t="s">
        <v>41</v>
      </c>
      <c r="K610" s="223"/>
      <c r="L610" s="118"/>
      <c r="M610" s="166"/>
    </row>
    <row r="611" spans="1:13" ht="15" customHeight="1" thickBot="1" x14ac:dyDescent="0.3">
      <c r="A611" s="126"/>
      <c r="B611" s="129"/>
      <c r="C611" s="124"/>
      <c r="D611" s="149"/>
      <c r="E611" s="150"/>
      <c r="F611" s="150"/>
      <c r="G611" s="128"/>
      <c r="H611" s="128"/>
      <c r="I611" s="140"/>
      <c r="J611" s="112"/>
      <c r="K611" s="166"/>
      <c r="L611" s="118"/>
      <c r="M611" s="166"/>
    </row>
    <row r="612" spans="1:13" ht="15" customHeight="1" x14ac:dyDescent="0.25">
      <c r="A612" s="126"/>
      <c r="B612" s="129"/>
      <c r="C612" s="124"/>
      <c r="D612" s="149"/>
      <c r="E612" s="150"/>
      <c r="F612" s="150"/>
      <c r="G612" s="128"/>
      <c r="H612" s="128"/>
      <c r="I612" s="140"/>
      <c r="J612" s="194" t="s">
        <v>42</v>
      </c>
      <c r="K612" s="223"/>
      <c r="L612" s="111"/>
      <c r="M612" s="166"/>
    </row>
    <row r="613" spans="1:13" ht="15" customHeight="1" thickBot="1" x14ac:dyDescent="0.3">
      <c r="A613" s="126"/>
      <c r="B613" s="129"/>
      <c r="C613" s="124"/>
      <c r="D613" s="149"/>
      <c r="E613" s="150"/>
      <c r="F613" s="150"/>
      <c r="G613" s="128"/>
      <c r="H613" s="128"/>
      <c r="I613" s="140"/>
      <c r="J613" s="112"/>
      <c r="K613" s="166"/>
      <c r="L613" s="111"/>
      <c r="M613" s="166"/>
    </row>
    <row r="614" spans="1:13" ht="15" customHeight="1" x14ac:dyDescent="0.25">
      <c r="A614" s="126"/>
      <c r="B614" s="129"/>
      <c r="C614" s="124"/>
      <c r="D614" s="149"/>
      <c r="E614" s="150"/>
      <c r="F614" s="150"/>
      <c r="G614" s="128"/>
      <c r="H614" s="128"/>
      <c r="I614" s="140"/>
      <c r="J614" s="193" t="s">
        <v>43</v>
      </c>
      <c r="K614" s="223"/>
      <c r="L614" s="111"/>
      <c r="M614" s="166"/>
    </row>
    <row r="615" spans="1:13" ht="15" customHeight="1" x14ac:dyDescent="0.25">
      <c r="A615" s="126"/>
      <c r="B615" s="129"/>
      <c r="C615" s="124"/>
      <c r="D615" s="149"/>
      <c r="E615" s="150"/>
      <c r="F615" s="150"/>
      <c r="G615" s="128"/>
      <c r="H615" s="128"/>
      <c r="I615" s="140"/>
      <c r="J615" s="112"/>
      <c r="K615" s="166"/>
      <c r="L615" s="111"/>
      <c r="M615" s="166"/>
    </row>
    <row r="616" spans="1:13" ht="15" customHeight="1" x14ac:dyDescent="0.25">
      <c r="A616" s="126"/>
      <c r="B616" s="129"/>
      <c r="C616" s="124"/>
      <c r="D616" s="149"/>
      <c r="E616" s="150"/>
      <c r="F616" s="150"/>
      <c r="G616" s="128"/>
      <c r="H616" s="128"/>
      <c r="I616" s="140"/>
      <c r="J616" s="194" t="s">
        <v>44</v>
      </c>
      <c r="K616" s="224"/>
      <c r="L616" s="111"/>
      <c r="M616" s="166"/>
    </row>
    <row r="617" spans="1:13" ht="15" customHeight="1" x14ac:dyDescent="0.25">
      <c r="A617" s="126"/>
      <c r="B617" s="129"/>
      <c r="C617" s="124"/>
      <c r="D617" s="149"/>
      <c r="E617" s="150"/>
      <c r="F617" s="150"/>
      <c r="G617" s="128"/>
      <c r="H617" s="128"/>
      <c r="I617" s="140"/>
      <c r="J617" s="112"/>
      <c r="K617" s="166"/>
      <c r="L617" s="111"/>
      <c r="M617" s="166"/>
    </row>
    <row r="618" spans="1:13" ht="15" customHeight="1" x14ac:dyDescent="0.25">
      <c r="A618" s="130"/>
      <c r="B618" s="129"/>
      <c r="C618" s="124"/>
      <c r="D618" s="149"/>
      <c r="E618" s="150"/>
      <c r="F618" s="150"/>
      <c r="G618" s="128"/>
      <c r="H618" s="128"/>
      <c r="I618" s="140"/>
      <c r="J618" s="194" t="s">
        <v>45</v>
      </c>
      <c r="K618" s="224"/>
      <c r="L618" s="111"/>
      <c r="M618" s="166"/>
    </row>
    <row r="619" spans="1:13" ht="5.0999999999999996" customHeight="1" x14ac:dyDescent="0.25">
      <c r="A619" s="140"/>
      <c r="B619" s="140"/>
      <c r="C619" s="140"/>
      <c r="D619" s="140"/>
      <c r="E619" s="140"/>
      <c r="F619" s="140"/>
      <c r="G619" s="140"/>
      <c r="H619" s="140"/>
      <c r="I619" s="140"/>
      <c r="J619" s="112"/>
      <c r="K619" s="166"/>
      <c r="L619" s="111"/>
      <c r="M619" s="191"/>
    </row>
    <row r="620" spans="1:13" ht="16.5" thickBot="1" x14ac:dyDescent="0.3">
      <c r="A620" s="113"/>
      <c r="B620" s="114"/>
      <c r="C620" s="115"/>
      <c r="D620" s="115"/>
      <c r="E620" s="116"/>
      <c r="F620" s="116"/>
      <c r="G620" s="164"/>
      <c r="H620" s="120"/>
      <c r="I620" s="140"/>
      <c r="J620" s="120"/>
      <c r="K620" s="121"/>
      <c r="L620" s="221"/>
      <c r="M620" s="191"/>
    </row>
    <row r="621" spans="1:13" ht="5.0999999999999996" customHeight="1" thickBot="1" x14ac:dyDescent="0.3">
      <c r="A621" s="217"/>
      <c r="B621" s="212"/>
      <c r="C621" s="213"/>
      <c r="D621" s="213"/>
      <c r="E621" s="214"/>
      <c r="F621" s="214"/>
      <c r="G621" s="215"/>
      <c r="H621" s="218"/>
      <c r="I621" s="140"/>
      <c r="J621" s="218"/>
      <c r="K621" s="220"/>
      <c r="L621" s="221"/>
      <c r="M621" s="191"/>
    </row>
    <row r="622" spans="1:13" ht="15" customHeight="1" thickBot="1" x14ac:dyDescent="0.3">
      <c r="A622" s="125"/>
      <c r="B622" s="148"/>
      <c r="C622" s="124"/>
      <c r="D622" s="149"/>
      <c r="E622" s="150"/>
      <c r="F622" s="150"/>
      <c r="G622" s="127"/>
      <c r="H622" s="189"/>
      <c r="I622" s="140"/>
      <c r="J622" s="209"/>
      <c r="K622" s="223"/>
      <c r="L622" s="112"/>
      <c r="M622" s="166"/>
    </row>
    <row r="623" spans="1:13" ht="15" customHeight="1" thickBot="1" x14ac:dyDescent="0.3">
      <c r="A623" s="126"/>
      <c r="B623" s="129"/>
      <c r="C623" s="124"/>
      <c r="D623" s="149"/>
      <c r="E623" s="150"/>
      <c r="F623" s="150"/>
      <c r="G623" s="128"/>
      <c r="H623" s="128"/>
      <c r="I623" s="140"/>
      <c r="J623" s="112"/>
      <c r="K623" s="166"/>
      <c r="L623" s="118"/>
      <c r="M623" s="166"/>
    </row>
    <row r="624" spans="1:13" ht="15" customHeight="1" x14ac:dyDescent="0.25">
      <c r="A624" s="126"/>
      <c r="B624" s="129"/>
      <c r="C624" s="124"/>
      <c r="D624" s="149"/>
      <c r="E624" s="150"/>
      <c r="F624" s="150"/>
      <c r="G624" s="128"/>
      <c r="H624" s="128"/>
      <c r="I624" s="140"/>
      <c r="J624" s="194" t="s">
        <v>39</v>
      </c>
      <c r="K624" s="223"/>
      <c r="L624" s="118"/>
      <c r="M624" s="166"/>
    </row>
    <row r="625" spans="1:13" ht="15" customHeight="1" thickBot="1" x14ac:dyDescent="0.3">
      <c r="A625" s="126"/>
      <c r="B625" s="129"/>
      <c r="C625" s="124"/>
      <c r="D625" s="149"/>
      <c r="E625" s="150"/>
      <c r="F625" s="150"/>
      <c r="G625" s="128"/>
      <c r="H625" s="128"/>
      <c r="I625" s="140"/>
      <c r="J625" s="112"/>
      <c r="K625" s="166"/>
      <c r="L625" s="118"/>
      <c r="M625" s="166"/>
    </row>
    <row r="626" spans="1:13" ht="15" customHeight="1" x14ac:dyDescent="0.25">
      <c r="A626" s="126"/>
      <c r="B626" s="129"/>
      <c r="C626" s="124"/>
      <c r="D626" s="149"/>
      <c r="E626" s="150"/>
      <c r="F626" s="150"/>
      <c r="G626" s="128"/>
      <c r="H626" s="128"/>
      <c r="I626" s="140"/>
      <c r="J626" s="194" t="s">
        <v>40</v>
      </c>
      <c r="K626" s="223"/>
      <c r="L626" s="118"/>
      <c r="M626" s="166"/>
    </row>
    <row r="627" spans="1:13" ht="15" customHeight="1" thickBot="1" x14ac:dyDescent="0.3">
      <c r="A627" s="126"/>
      <c r="B627" s="129"/>
      <c r="C627" s="124"/>
      <c r="D627" s="149"/>
      <c r="E627" s="150"/>
      <c r="F627" s="150"/>
      <c r="G627" s="128"/>
      <c r="H627" s="128"/>
      <c r="I627" s="140"/>
      <c r="J627" s="112"/>
      <c r="K627" s="166"/>
      <c r="L627" s="118"/>
      <c r="M627" s="166"/>
    </row>
    <row r="628" spans="1:13" ht="15" customHeight="1" x14ac:dyDescent="0.25">
      <c r="A628" s="126"/>
      <c r="B628" s="129"/>
      <c r="C628" s="124"/>
      <c r="D628" s="149"/>
      <c r="E628" s="150"/>
      <c r="F628" s="150"/>
      <c r="G628" s="128"/>
      <c r="H628" s="128"/>
      <c r="I628" s="140"/>
      <c r="J628" s="194" t="s">
        <v>41</v>
      </c>
      <c r="K628" s="223"/>
      <c r="L628" s="118"/>
      <c r="M628" s="166"/>
    </row>
    <row r="629" spans="1:13" ht="15" customHeight="1" thickBot="1" x14ac:dyDescent="0.3">
      <c r="A629" s="126"/>
      <c r="B629" s="129"/>
      <c r="C629" s="124"/>
      <c r="D629" s="149"/>
      <c r="E629" s="150"/>
      <c r="F629" s="150"/>
      <c r="G629" s="128"/>
      <c r="H629" s="128"/>
      <c r="I629" s="140"/>
      <c r="J629" s="112"/>
      <c r="K629" s="166"/>
      <c r="L629" s="118"/>
      <c r="M629" s="166"/>
    </row>
    <row r="630" spans="1:13" ht="15" customHeight="1" x14ac:dyDescent="0.25">
      <c r="A630" s="126"/>
      <c r="B630" s="129"/>
      <c r="C630" s="124"/>
      <c r="D630" s="149"/>
      <c r="E630" s="150"/>
      <c r="F630" s="150"/>
      <c r="G630" s="128"/>
      <c r="H630" s="128"/>
      <c r="I630" s="140"/>
      <c r="J630" s="194" t="s">
        <v>42</v>
      </c>
      <c r="K630" s="223"/>
      <c r="L630" s="111"/>
      <c r="M630" s="166"/>
    </row>
    <row r="631" spans="1:13" ht="15" customHeight="1" thickBot="1" x14ac:dyDescent="0.3">
      <c r="A631" s="126"/>
      <c r="B631" s="129"/>
      <c r="C631" s="124"/>
      <c r="D631" s="149"/>
      <c r="E631" s="150"/>
      <c r="F631" s="150"/>
      <c r="G631" s="128"/>
      <c r="H631" s="128"/>
      <c r="I631" s="140"/>
      <c r="J631" s="112"/>
      <c r="K631" s="166"/>
      <c r="L631" s="111"/>
      <c r="M631" s="166"/>
    </row>
    <row r="632" spans="1:13" ht="15" customHeight="1" x14ac:dyDescent="0.25">
      <c r="A632" s="126"/>
      <c r="B632" s="129"/>
      <c r="C632" s="124"/>
      <c r="D632" s="149"/>
      <c r="E632" s="150"/>
      <c r="F632" s="150"/>
      <c r="G632" s="128"/>
      <c r="H632" s="128"/>
      <c r="I632" s="140"/>
      <c r="J632" s="193" t="s">
        <v>43</v>
      </c>
      <c r="K632" s="223"/>
      <c r="L632" s="111"/>
      <c r="M632" s="166"/>
    </row>
    <row r="633" spans="1:13" ht="15" customHeight="1" x14ac:dyDescent="0.25">
      <c r="A633" s="126"/>
      <c r="B633" s="129"/>
      <c r="C633" s="124"/>
      <c r="D633" s="149"/>
      <c r="E633" s="150"/>
      <c r="F633" s="150"/>
      <c r="G633" s="128"/>
      <c r="H633" s="128"/>
      <c r="I633" s="140"/>
      <c r="J633" s="112"/>
      <c r="K633" s="166"/>
      <c r="L633" s="111"/>
      <c r="M633" s="166"/>
    </row>
    <row r="634" spans="1:13" ht="15" customHeight="1" x14ac:dyDescent="0.25">
      <c r="A634" s="126"/>
      <c r="B634" s="129"/>
      <c r="C634" s="124"/>
      <c r="D634" s="149"/>
      <c r="E634" s="150"/>
      <c r="F634" s="150"/>
      <c r="G634" s="128"/>
      <c r="H634" s="128"/>
      <c r="I634" s="140"/>
      <c r="J634" s="194" t="s">
        <v>44</v>
      </c>
      <c r="K634" s="224"/>
      <c r="L634" s="111"/>
      <c r="M634" s="166"/>
    </row>
    <row r="635" spans="1:13" ht="15" customHeight="1" x14ac:dyDescent="0.25">
      <c r="A635" s="126"/>
      <c r="B635" s="129"/>
      <c r="C635" s="124"/>
      <c r="D635" s="149"/>
      <c r="E635" s="150"/>
      <c r="F635" s="150"/>
      <c r="G635" s="128"/>
      <c r="H635" s="128"/>
      <c r="I635" s="140"/>
      <c r="J635" s="112"/>
      <c r="K635" s="166"/>
      <c r="L635" s="111"/>
      <c r="M635" s="166"/>
    </row>
    <row r="636" spans="1:13" ht="15" customHeight="1" x14ac:dyDescent="0.25">
      <c r="A636" s="130"/>
      <c r="B636" s="129"/>
      <c r="C636" s="124"/>
      <c r="D636" s="149"/>
      <c r="E636" s="150"/>
      <c r="F636" s="150"/>
      <c r="G636" s="128"/>
      <c r="H636" s="128"/>
      <c r="I636" s="140"/>
      <c r="J636" s="194" t="s">
        <v>45</v>
      </c>
      <c r="K636" s="224"/>
      <c r="L636" s="111"/>
      <c r="M636" s="166"/>
    </row>
    <row r="637" spans="1:13" ht="5.0999999999999996" customHeight="1" x14ac:dyDescent="0.25">
      <c r="A637" s="140"/>
      <c r="B637" s="140"/>
      <c r="C637" s="140"/>
      <c r="D637" s="140"/>
      <c r="E637" s="140"/>
      <c r="F637" s="140"/>
      <c r="G637" s="140"/>
      <c r="H637" s="140"/>
      <c r="I637" s="140"/>
      <c r="J637" s="112"/>
      <c r="K637" s="166"/>
      <c r="L637" s="111"/>
      <c r="M637" s="191"/>
    </row>
    <row r="638" spans="1:13" ht="16.5" thickBot="1" x14ac:dyDescent="0.3">
      <c r="A638" s="113"/>
      <c r="B638" s="114"/>
      <c r="C638" s="115"/>
      <c r="D638" s="115"/>
      <c r="E638" s="116"/>
      <c r="F638" s="116"/>
      <c r="G638" s="164"/>
      <c r="H638" s="120"/>
      <c r="I638" s="140"/>
      <c r="J638" s="120"/>
      <c r="K638" s="121"/>
      <c r="L638" s="221"/>
      <c r="M638" s="191"/>
    </row>
    <row r="639" spans="1:13" ht="5.0999999999999996" customHeight="1" thickBot="1" x14ac:dyDescent="0.3">
      <c r="A639" s="217"/>
      <c r="B639" s="212"/>
      <c r="C639" s="213"/>
      <c r="D639" s="213"/>
      <c r="E639" s="214"/>
      <c r="F639" s="214"/>
      <c r="G639" s="215"/>
      <c r="H639" s="218"/>
      <c r="I639" s="140"/>
      <c r="J639" s="218"/>
      <c r="K639" s="220"/>
      <c r="L639" s="221"/>
      <c r="M639" s="191"/>
    </row>
    <row r="640" spans="1:13" ht="15" customHeight="1" thickBot="1" x14ac:dyDescent="0.3">
      <c r="A640" s="125"/>
      <c r="B640" s="148"/>
      <c r="C640" s="124"/>
      <c r="D640" s="149"/>
      <c r="E640" s="150"/>
      <c r="F640" s="150"/>
      <c r="G640" s="127"/>
      <c r="H640" s="189"/>
      <c r="I640" s="140"/>
      <c r="J640" s="209"/>
      <c r="K640" s="223"/>
      <c r="L640" s="112"/>
      <c r="M640" s="166"/>
    </row>
    <row r="641" spans="1:13" ht="15" customHeight="1" thickBot="1" x14ac:dyDescent="0.3">
      <c r="A641" s="126"/>
      <c r="B641" s="129"/>
      <c r="C641" s="124"/>
      <c r="D641" s="149"/>
      <c r="E641" s="150"/>
      <c r="F641" s="150"/>
      <c r="G641" s="128"/>
      <c r="H641" s="128"/>
      <c r="I641" s="140"/>
      <c r="J641" s="112"/>
      <c r="K641" s="166"/>
      <c r="L641" s="118"/>
      <c r="M641" s="166"/>
    </row>
    <row r="642" spans="1:13" ht="15" customHeight="1" x14ac:dyDescent="0.25">
      <c r="A642" s="126"/>
      <c r="B642" s="129"/>
      <c r="C642" s="124"/>
      <c r="D642" s="149"/>
      <c r="E642" s="150"/>
      <c r="F642" s="150"/>
      <c r="G642" s="128"/>
      <c r="H642" s="128"/>
      <c r="I642" s="140"/>
      <c r="J642" s="194" t="s">
        <v>39</v>
      </c>
      <c r="K642" s="223"/>
      <c r="L642" s="118"/>
      <c r="M642" s="166"/>
    </row>
    <row r="643" spans="1:13" ht="15" customHeight="1" thickBot="1" x14ac:dyDescent="0.3">
      <c r="A643" s="126"/>
      <c r="B643" s="129"/>
      <c r="C643" s="124"/>
      <c r="D643" s="149"/>
      <c r="E643" s="150"/>
      <c r="F643" s="150"/>
      <c r="G643" s="128"/>
      <c r="H643" s="128"/>
      <c r="I643" s="140"/>
      <c r="J643" s="112"/>
      <c r="K643" s="166"/>
      <c r="L643" s="118"/>
      <c r="M643" s="166"/>
    </row>
    <row r="644" spans="1:13" ht="15" customHeight="1" x14ac:dyDescent="0.25">
      <c r="A644" s="126"/>
      <c r="B644" s="129"/>
      <c r="C644" s="124"/>
      <c r="D644" s="149"/>
      <c r="E644" s="150"/>
      <c r="F644" s="150"/>
      <c r="G644" s="128"/>
      <c r="H644" s="128"/>
      <c r="I644" s="140"/>
      <c r="J644" s="194" t="s">
        <v>40</v>
      </c>
      <c r="K644" s="223"/>
      <c r="L644" s="118"/>
      <c r="M644" s="166"/>
    </row>
    <row r="645" spans="1:13" ht="15" customHeight="1" thickBot="1" x14ac:dyDescent="0.3">
      <c r="A645" s="126"/>
      <c r="B645" s="129"/>
      <c r="C645" s="124"/>
      <c r="D645" s="149"/>
      <c r="E645" s="150"/>
      <c r="F645" s="150"/>
      <c r="G645" s="128"/>
      <c r="H645" s="128"/>
      <c r="I645" s="140"/>
      <c r="J645" s="112"/>
      <c r="K645" s="166"/>
      <c r="L645" s="118"/>
      <c r="M645" s="166"/>
    </row>
    <row r="646" spans="1:13" ht="15" customHeight="1" x14ac:dyDescent="0.25">
      <c r="A646" s="126"/>
      <c r="B646" s="129"/>
      <c r="C646" s="124"/>
      <c r="D646" s="149"/>
      <c r="E646" s="150"/>
      <c r="F646" s="150"/>
      <c r="G646" s="128"/>
      <c r="H646" s="128"/>
      <c r="I646" s="140"/>
      <c r="J646" s="194" t="s">
        <v>41</v>
      </c>
      <c r="K646" s="223"/>
      <c r="L646" s="118"/>
      <c r="M646" s="166"/>
    </row>
    <row r="647" spans="1:13" ht="15" customHeight="1" thickBot="1" x14ac:dyDescent="0.3">
      <c r="A647" s="126"/>
      <c r="B647" s="129"/>
      <c r="C647" s="124"/>
      <c r="D647" s="149"/>
      <c r="E647" s="150"/>
      <c r="F647" s="150"/>
      <c r="G647" s="128"/>
      <c r="H647" s="128"/>
      <c r="I647" s="140"/>
      <c r="J647" s="112"/>
      <c r="K647" s="166"/>
      <c r="L647" s="118"/>
      <c r="M647" s="166"/>
    </row>
    <row r="648" spans="1:13" ht="15" customHeight="1" x14ac:dyDescent="0.25">
      <c r="A648" s="126"/>
      <c r="B648" s="129"/>
      <c r="C648" s="124"/>
      <c r="D648" s="149"/>
      <c r="E648" s="150"/>
      <c r="F648" s="150"/>
      <c r="G648" s="128"/>
      <c r="H648" s="128"/>
      <c r="I648" s="140"/>
      <c r="J648" s="194" t="s">
        <v>42</v>
      </c>
      <c r="K648" s="223"/>
      <c r="L648" s="111"/>
      <c r="M648" s="166"/>
    </row>
    <row r="649" spans="1:13" ht="15" customHeight="1" thickBot="1" x14ac:dyDescent="0.3">
      <c r="A649" s="126"/>
      <c r="B649" s="129"/>
      <c r="C649" s="124"/>
      <c r="D649" s="149"/>
      <c r="E649" s="150"/>
      <c r="F649" s="150"/>
      <c r="G649" s="128"/>
      <c r="H649" s="128"/>
      <c r="I649" s="140"/>
      <c r="J649" s="112"/>
      <c r="K649" s="166"/>
      <c r="L649" s="111"/>
      <c r="M649" s="166"/>
    </row>
    <row r="650" spans="1:13" ht="15" customHeight="1" x14ac:dyDescent="0.25">
      <c r="A650" s="126"/>
      <c r="B650" s="129"/>
      <c r="C650" s="124"/>
      <c r="D650" s="149"/>
      <c r="E650" s="150"/>
      <c r="F650" s="150"/>
      <c r="G650" s="128"/>
      <c r="H650" s="128"/>
      <c r="I650" s="140"/>
      <c r="J650" s="193" t="s">
        <v>43</v>
      </c>
      <c r="K650" s="223"/>
      <c r="L650" s="111"/>
      <c r="M650" s="166"/>
    </row>
    <row r="651" spans="1:13" ht="15" customHeight="1" x14ac:dyDescent="0.25">
      <c r="A651" s="126"/>
      <c r="B651" s="129"/>
      <c r="C651" s="124"/>
      <c r="D651" s="149"/>
      <c r="E651" s="150"/>
      <c r="F651" s="150"/>
      <c r="G651" s="128"/>
      <c r="H651" s="128"/>
      <c r="I651" s="140"/>
      <c r="J651" s="112"/>
      <c r="K651" s="166"/>
      <c r="L651" s="111"/>
      <c r="M651" s="166"/>
    </row>
    <row r="652" spans="1:13" ht="15" customHeight="1" x14ac:dyDescent="0.25">
      <c r="A652" s="126"/>
      <c r="B652" s="129"/>
      <c r="C652" s="124"/>
      <c r="D652" s="149"/>
      <c r="E652" s="150"/>
      <c r="F652" s="150"/>
      <c r="G652" s="128"/>
      <c r="H652" s="128"/>
      <c r="I652" s="140"/>
      <c r="J652" s="194" t="s">
        <v>44</v>
      </c>
      <c r="K652" s="224"/>
      <c r="L652" s="111"/>
      <c r="M652" s="166"/>
    </row>
    <row r="653" spans="1:13" ht="15" customHeight="1" x14ac:dyDescent="0.25">
      <c r="A653" s="126"/>
      <c r="B653" s="129"/>
      <c r="C653" s="124"/>
      <c r="D653" s="149"/>
      <c r="E653" s="150"/>
      <c r="F653" s="150"/>
      <c r="G653" s="128"/>
      <c r="H653" s="128"/>
      <c r="I653" s="140"/>
      <c r="J653" s="112"/>
      <c r="K653" s="166"/>
      <c r="L653" s="111"/>
      <c r="M653" s="166"/>
    </row>
    <row r="654" spans="1:13" ht="15" customHeight="1" x14ac:dyDescent="0.25">
      <c r="A654" s="130"/>
      <c r="B654" s="129"/>
      <c r="C654" s="124"/>
      <c r="D654" s="149"/>
      <c r="E654" s="150"/>
      <c r="F654" s="150"/>
      <c r="G654" s="128"/>
      <c r="H654" s="128"/>
      <c r="I654" s="140"/>
      <c r="J654" s="194" t="s">
        <v>45</v>
      </c>
      <c r="K654" s="224"/>
      <c r="L654" s="111"/>
      <c r="M654" s="166"/>
    </row>
    <row r="655" spans="1:13" ht="5.0999999999999996" customHeight="1" x14ac:dyDescent="0.25">
      <c r="A655" s="140"/>
      <c r="B655" s="140"/>
      <c r="C655" s="140"/>
      <c r="D655" s="140"/>
      <c r="E655" s="140"/>
      <c r="F655" s="140"/>
      <c r="G655" s="140"/>
      <c r="H655" s="140"/>
      <c r="I655" s="140"/>
      <c r="J655" s="112"/>
      <c r="K655" s="166"/>
      <c r="L655" s="111"/>
      <c r="M655" s="191"/>
    </row>
    <row r="656" spans="1:13" ht="16.5" thickBot="1" x14ac:dyDescent="0.3">
      <c r="A656" s="113"/>
      <c r="B656" s="114"/>
      <c r="C656" s="115"/>
      <c r="D656" s="115"/>
      <c r="E656" s="116"/>
      <c r="F656" s="116"/>
      <c r="G656" s="164"/>
      <c r="H656" s="120"/>
      <c r="I656" s="140"/>
      <c r="J656" s="120"/>
      <c r="K656" s="121"/>
      <c r="L656" s="221"/>
      <c r="M656" s="191"/>
    </row>
    <row r="657" spans="1:13" ht="5.0999999999999996" customHeight="1" thickBot="1" x14ac:dyDescent="0.3">
      <c r="A657" s="217"/>
      <c r="B657" s="212"/>
      <c r="C657" s="213"/>
      <c r="D657" s="213"/>
      <c r="E657" s="214"/>
      <c r="F657" s="214"/>
      <c r="G657" s="215"/>
      <c r="H657" s="218"/>
      <c r="I657" s="140"/>
      <c r="J657" s="218"/>
      <c r="K657" s="220"/>
      <c r="L657" s="221"/>
      <c r="M657" s="191"/>
    </row>
    <row r="658" spans="1:13" ht="15" customHeight="1" thickBot="1" x14ac:dyDescent="0.3">
      <c r="A658" s="125"/>
      <c r="B658" s="148"/>
      <c r="C658" s="124"/>
      <c r="D658" s="149"/>
      <c r="E658" s="150"/>
      <c r="F658" s="150"/>
      <c r="G658" s="127"/>
      <c r="H658" s="189"/>
      <c r="I658" s="140"/>
      <c r="J658" s="209"/>
      <c r="K658" s="223"/>
      <c r="L658" s="112"/>
      <c r="M658" s="166"/>
    </row>
    <row r="659" spans="1:13" ht="15" customHeight="1" thickBot="1" x14ac:dyDescent="0.3">
      <c r="A659" s="126"/>
      <c r="B659" s="129"/>
      <c r="C659" s="124"/>
      <c r="D659" s="149"/>
      <c r="E659" s="150"/>
      <c r="F659" s="150"/>
      <c r="G659" s="128"/>
      <c r="H659" s="128"/>
      <c r="I659" s="140"/>
      <c r="J659" s="112"/>
      <c r="K659" s="166"/>
      <c r="L659" s="118"/>
      <c r="M659" s="166"/>
    </row>
    <row r="660" spans="1:13" ht="15" customHeight="1" x14ac:dyDescent="0.25">
      <c r="A660" s="126"/>
      <c r="B660" s="129"/>
      <c r="C660" s="124"/>
      <c r="D660" s="149"/>
      <c r="E660" s="150"/>
      <c r="F660" s="150"/>
      <c r="G660" s="128"/>
      <c r="H660" s="128"/>
      <c r="I660" s="140"/>
      <c r="J660" s="194" t="s">
        <v>39</v>
      </c>
      <c r="K660" s="223"/>
      <c r="L660" s="118"/>
      <c r="M660" s="166"/>
    </row>
    <row r="661" spans="1:13" ht="15" customHeight="1" thickBot="1" x14ac:dyDescent="0.3">
      <c r="A661" s="126"/>
      <c r="B661" s="129"/>
      <c r="C661" s="124"/>
      <c r="D661" s="149"/>
      <c r="E661" s="150"/>
      <c r="F661" s="150"/>
      <c r="G661" s="128"/>
      <c r="H661" s="128"/>
      <c r="I661" s="140"/>
      <c r="J661" s="112"/>
      <c r="K661" s="166"/>
      <c r="L661" s="118"/>
      <c r="M661" s="166"/>
    </row>
    <row r="662" spans="1:13" ht="15" customHeight="1" x14ac:dyDescent="0.25">
      <c r="A662" s="126"/>
      <c r="B662" s="129"/>
      <c r="C662" s="124"/>
      <c r="D662" s="149"/>
      <c r="E662" s="150"/>
      <c r="F662" s="150"/>
      <c r="G662" s="128"/>
      <c r="H662" s="128"/>
      <c r="I662" s="140"/>
      <c r="J662" s="194" t="s">
        <v>40</v>
      </c>
      <c r="K662" s="223"/>
      <c r="L662" s="118"/>
      <c r="M662" s="166"/>
    </row>
    <row r="663" spans="1:13" ht="15" customHeight="1" thickBot="1" x14ac:dyDescent="0.3">
      <c r="A663" s="126"/>
      <c r="B663" s="129"/>
      <c r="C663" s="124"/>
      <c r="D663" s="149"/>
      <c r="E663" s="150"/>
      <c r="F663" s="150"/>
      <c r="G663" s="128"/>
      <c r="H663" s="128"/>
      <c r="I663" s="140"/>
      <c r="J663" s="112"/>
      <c r="K663" s="166"/>
      <c r="L663" s="118"/>
      <c r="M663" s="166"/>
    </row>
    <row r="664" spans="1:13" ht="15" customHeight="1" x14ac:dyDescent="0.25">
      <c r="A664" s="126"/>
      <c r="B664" s="129"/>
      <c r="C664" s="124"/>
      <c r="D664" s="149"/>
      <c r="E664" s="150"/>
      <c r="F664" s="150"/>
      <c r="G664" s="128"/>
      <c r="H664" s="128"/>
      <c r="I664" s="140"/>
      <c r="J664" s="194" t="s">
        <v>41</v>
      </c>
      <c r="K664" s="223"/>
      <c r="L664" s="118"/>
      <c r="M664" s="166"/>
    </row>
    <row r="665" spans="1:13" ht="15" customHeight="1" thickBot="1" x14ac:dyDescent="0.3">
      <c r="A665" s="126"/>
      <c r="B665" s="129"/>
      <c r="C665" s="124"/>
      <c r="D665" s="149"/>
      <c r="E665" s="150"/>
      <c r="F665" s="150"/>
      <c r="G665" s="128"/>
      <c r="H665" s="128"/>
      <c r="I665" s="140"/>
      <c r="J665" s="112"/>
      <c r="K665" s="166"/>
      <c r="L665" s="118"/>
      <c r="M665" s="166"/>
    </row>
    <row r="666" spans="1:13" ht="15" customHeight="1" x14ac:dyDescent="0.25">
      <c r="A666" s="126"/>
      <c r="B666" s="129"/>
      <c r="C666" s="124"/>
      <c r="D666" s="149"/>
      <c r="E666" s="150"/>
      <c r="F666" s="150"/>
      <c r="G666" s="128"/>
      <c r="H666" s="128"/>
      <c r="I666" s="140"/>
      <c r="J666" s="194" t="s">
        <v>42</v>
      </c>
      <c r="K666" s="223"/>
      <c r="L666" s="111"/>
      <c r="M666" s="166"/>
    </row>
    <row r="667" spans="1:13" ht="15" customHeight="1" thickBot="1" x14ac:dyDescent="0.3">
      <c r="A667" s="126"/>
      <c r="B667" s="129"/>
      <c r="C667" s="124"/>
      <c r="D667" s="149"/>
      <c r="E667" s="150"/>
      <c r="F667" s="150"/>
      <c r="G667" s="128"/>
      <c r="H667" s="128"/>
      <c r="I667" s="140"/>
      <c r="J667" s="112"/>
      <c r="K667" s="166"/>
      <c r="L667" s="111"/>
      <c r="M667" s="166"/>
    </row>
    <row r="668" spans="1:13" ht="15" customHeight="1" x14ac:dyDescent="0.25">
      <c r="A668" s="126"/>
      <c r="B668" s="129"/>
      <c r="C668" s="124"/>
      <c r="D668" s="149"/>
      <c r="E668" s="150"/>
      <c r="F668" s="150"/>
      <c r="G668" s="128"/>
      <c r="H668" s="128"/>
      <c r="I668" s="140"/>
      <c r="J668" s="193" t="s">
        <v>43</v>
      </c>
      <c r="K668" s="223"/>
      <c r="L668" s="111"/>
      <c r="M668" s="166"/>
    </row>
    <row r="669" spans="1:13" ht="15" customHeight="1" x14ac:dyDescent="0.25">
      <c r="A669" s="126"/>
      <c r="B669" s="129"/>
      <c r="C669" s="124"/>
      <c r="D669" s="149"/>
      <c r="E669" s="150"/>
      <c r="F669" s="150"/>
      <c r="G669" s="128"/>
      <c r="H669" s="128"/>
      <c r="I669" s="140"/>
      <c r="J669" s="112"/>
      <c r="K669" s="166"/>
      <c r="L669" s="111"/>
      <c r="M669" s="166"/>
    </row>
    <row r="670" spans="1:13" ht="15" customHeight="1" x14ac:dyDescent="0.25">
      <c r="A670" s="126"/>
      <c r="B670" s="129"/>
      <c r="C670" s="124"/>
      <c r="D670" s="149"/>
      <c r="E670" s="150"/>
      <c r="F670" s="150"/>
      <c r="G670" s="128"/>
      <c r="H670" s="128"/>
      <c r="I670" s="140"/>
      <c r="J670" s="194" t="s">
        <v>44</v>
      </c>
      <c r="K670" s="224"/>
      <c r="L670" s="111"/>
      <c r="M670" s="166"/>
    </row>
    <row r="671" spans="1:13" ht="15" customHeight="1" x14ac:dyDescent="0.25">
      <c r="A671" s="126"/>
      <c r="B671" s="129"/>
      <c r="C671" s="124"/>
      <c r="D671" s="149"/>
      <c r="E671" s="150"/>
      <c r="F671" s="150"/>
      <c r="G671" s="128"/>
      <c r="H671" s="128"/>
      <c r="I671" s="140"/>
      <c r="J671" s="112"/>
      <c r="K671" s="166"/>
      <c r="L671" s="111"/>
      <c r="M671" s="166"/>
    </row>
    <row r="672" spans="1:13" ht="15" customHeight="1" x14ac:dyDescent="0.25">
      <c r="A672" s="130"/>
      <c r="B672" s="129"/>
      <c r="C672" s="124"/>
      <c r="D672" s="149"/>
      <c r="E672" s="150"/>
      <c r="F672" s="150"/>
      <c r="G672" s="128"/>
      <c r="H672" s="128"/>
      <c r="I672" s="140"/>
      <c r="J672" s="194" t="s">
        <v>45</v>
      </c>
      <c r="K672" s="224"/>
      <c r="L672" s="111"/>
      <c r="M672" s="166"/>
    </row>
    <row r="673" spans="1:13" ht="5.0999999999999996" customHeight="1" x14ac:dyDescent="0.25">
      <c r="A673" s="140"/>
      <c r="B673" s="140"/>
      <c r="C673" s="140"/>
      <c r="D673" s="140"/>
      <c r="E673" s="140"/>
      <c r="F673" s="140"/>
      <c r="G673" s="140"/>
      <c r="H673" s="140"/>
      <c r="I673" s="140"/>
      <c r="J673" s="112"/>
      <c r="K673" s="166"/>
      <c r="L673" s="111"/>
      <c r="M673" s="191"/>
    </row>
    <row r="674" spans="1:13" ht="16.5" thickBot="1" x14ac:dyDescent="0.3">
      <c r="A674" s="113"/>
      <c r="B674" s="114"/>
      <c r="C674" s="115"/>
      <c r="D674" s="115"/>
      <c r="E674" s="116"/>
      <c r="F674" s="116"/>
      <c r="G674" s="164"/>
      <c r="H674" s="120"/>
      <c r="I674" s="140"/>
      <c r="J674" s="120"/>
      <c r="K674" s="121"/>
      <c r="L674" s="221"/>
      <c r="M674" s="191"/>
    </row>
    <row r="675" spans="1:13" ht="5.0999999999999996" customHeight="1" thickBot="1" x14ac:dyDescent="0.3">
      <c r="A675" s="217"/>
      <c r="B675" s="212"/>
      <c r="C675" s="213"/>
      <c r="D675" s="213"/>
      <c r="E675" s="214"/>
      <c r="F675" s="214"/>
      <c r="G675" s="215"/>
      <c r="H675" s="218"/>
      <c r="I675" s="140"/>
      <c r="J675" s="218"/>
      <c r="K675" s="220"/>
      <c r="L675" s="221"/>
      <c r="M675" s="191"/>
    </row>
    <row r="676" spans="1:13" ht="15" customHeight="1" thickBot="1" x14ac:dyDescent="0.3">
      <c r="A676" s="125"/>
      <c r="B676" s="148"/>
      <c r="C676" s="124"/>
      <c r="D676" s="149"/>
      <c r="E676" s="150"/>
      <c r="F676" s="150"/>
      <c r="G676" s="127"/>
      <c r="H676" s="189"/>
      <c r="I676" s="140"/>
      <c r="J676" s="209"/>
      <c r="K676" s="223"/>
      <c r="L676" s="112"/>
      <c r="M676" s="166"/>
    </row>
    <row r="677" spans="1:13" ht="15" customHeight="1" thickBot="1" x14ac:dyDescent="0.3">
      <c r="A677" s="126"/>
      <c r="B677" s="129"/>
      <c r="C677" s="124"/>
      <c r="D677" s="149"/>
      <c r="E677" s="150"/>
      <c r="F677" s="150"/>
      <c r="G677" s="128"/>
      <c r="H677" s="128"/>
      <c r="I677" s="140"/>
      <c r="J677" s="112"/>
      <c r="K677" s="166"/>
      <c r="L677" s="118"/>
      <c r="M677" s="166"/>
    </row>
    <row r="678" spans="1:13" ht="15" customHeight="1" x14ac:dyDescent="0.25">
      <c r="A678" s="126"/>
      <c r="B678" s="129"/>
      <c r="C678" s="124"/>
      <c r="D678" s="149"/>
      <c r="E678" s="150"/>
      <c r="F678" s="150"/>
      <c r="G678" s="128"/>
      <c r="H678" s="128"/>
      <c r="I678" s="140"/>
      <c r="J678" s="194" t="s">
        <v>39</v>
      </c>
      <c r="K678" s="223"/>
      <c r="L678" s="118"/>
      <c r="M678" s="166"/>
    </row>
    <row r="679" spans="1:13" ht="15" customHeight="1" thickBot="1" x14ac:dyDescent="0.3">
      <c r="A679" s="126"/>
      <c r="B679" s="129"/>
      <c r="C679" s="124"/>
      <c r="D679" s="149"/>
      <c r="E679" s="150"/>
      <c r="F679" s="150"/>
      <c r="G679" s="128"/>
      <c r="H679" s="128"/>
      <c r="I679" s="140"/>
      <c r="J679" s="112"/>
      <c r="K679" s="166"/>
      <c r="L679" s="118"/>
      <c r="M679" s="166"/>
    </row>
    <row r="680" spans="1:13" ht="15" customHeight="1" x14ac:dyDescent="0.25">
      <c r="A680" s="126"/>
      <c r="B680" s="129"/>
      <c r="C680" s="124"/>
      <c r="D680" s="149"/>
      <c r="E680" s="150"/>
      <c r="F680" s="150"/>
      <c r="G680" s="128"/>
      <c r="H680" s="128"/>
      <c r="I680" s="140"/>
      <c r="J680" s="194" t="s">
        <v>40</v>
      </c>
      <c r="K680" s="223"/>
      <c r="L680" s="118"/>
      <c r="M680" s="166"/>
    </row>
    <row r="681" spans="1:13" ht="15" customHeight="1" thickBot="1" x14ac:dyDescent="0.3">
      <c r="A681" s="126"/>
      <c r="B681" s="129"/>
      <c r="C681" s="124"/>
      <c r="D681" s="149"/>
      <c r="E681" s="150"/>
      <c r="F681" s="150"/>
      <c r="G681" s="128"/>
      <c r="H681" s="128"/>
      <c r="I681" s="140"/>
      <c r="J681" s="112"/>
      <c r="K681" s="166"/>
      <c r="L681" s="118"/>
      <c r="M681" s="166"/>
    </row>
    <row r="682" spans="1:13" ht="15" customHeight="1" x14ac:dyDescent="0.25">
      <c r="A682" s="126"/>
      <c r="B682" s="129"/>
      <c r="C682" s="124"/>
      <c r="D682" s="149"/>
      <c r="E682" s="150"/>
      <c r="F682" s="150"/>
      <c r="G682" s="128"/>
      <c r="H682" s="128"/>
      <c r="I682" s="140"/>
      <c r="J682" s="194" t="s">
        <v>41</v>
      </c>
      <c r="K682" s="223"/>
      <c r="L682" s="118"/>
      <c r="M682" s="166"/>
    </row>
    <row r="683" spans="1:13" ht="15" customHeight="1" thickBot="1" x14ac:dyDescent="0.3">
      <c r="A683" s="126"/>
      <c r="B683" s="129"/>
      <c r="C683" s="124"/>
      <c r="D683" s="149"/>
      <c r="E683" s="150"/>
      <c r="F683" s="150"/>
      <c r="G683" s="128"/>
      <c r="H683" s="128"/>
      <c r="I683" s="140"/>
      <c r="J683" s="112"/>
      <c r="K683" s="166"/>
      <c r="L683" s="118"/>
      <c r="M683" s="166"/>
    </row>
    <row r="684" spans="1:13" ht="15" customHeight="1" x14ac:dyDescent="0.25">
      <c r="A684" s="126"/>
      <c r="B684" s="129"/>
      <c r="C684" s="124"/>
      <c r="D684" s="149"/>
      <c r="E684" s="150"/>
      <c r="F684" s="150"/>
      <c r="G684" s="128"/>
      <c r="H684" s="128"/>
      <c r="I684" s="140"/>
      <c r="J684" s="194" t="s">
        <v>42</v>
      </c>
      <c r="K684" s="223"/>
      <c r="L684" s="111"/>
      <c r="M684" s="166"/>
    </row>
    <row r="685" spans="1:13" ht="15" customHeight="1" thickBot="1" x14ac:dyDescent="0.3">
      <c r="A685" s="126"/>
      <c r="B685" s="129"/>
      <c r="C685" s="124"/>
      <c r="D685" s="149"/>
      <c r="E685" s="150"/>
      <c r="F685" s="150"/>
      <c r="G685" s="128"/>
      <c r="H685" s="128"/>
      <c r="I685" s="140"/>
      <c r="J685" s="112"/>
      <c r="K685" s="166"/>
      <c r="L685" s="111"/>
      <c r="M685" s="166"/>
    </row>
    <row r="686" spans="1:13" ht="15" customHeight="1" x14ac:dyDescent="0.25">
      <c r="A686" s="126"/>
      <c r="B686" s="129"/>
      <c r="C686" s="124"/>
      <c r="D686" s="149"/>
      <c r="E686" s="150"/>
      <c r="F686" s="150"/>
      <c r="G686" s="128"/>
      <c r="H686" s="128"/>
      <c r="I686" s="140"/>
      <c r="J686" s="193" t="s">
        <v>43</v>
      </c>
      <c r="K686" s="223"/>
      <c r="L686" s="111"/>
      <c r="M686" s="166"/>
    </row>
    <row r="687" spans="1:13" ht="15" customHeight="1" x14ac:dyDescent="0.25">
      <c r="A687" s="126"/>
      <c r="B687" s="129"/>
      <c r="C687" s="124"/>
      <c r="D687" s="149"/>
      <c r="E687" s="150"/>
      <c r="F687" s="150"/>
      <c r="G687" s="128"/>
      <c r="H687" s="128"/>
      <c r="I687" s="140"/>
      <c r="J687" s="112"/>
      <c r="K687" s="166"/>
      <c r="L687" s="111"/>
      <c r="M687" s="166"/>
    </row>
    <row r="688" spans="1:13" ht="15" customHeight="1" x14ac:dyDescent="0.25">
      <c r="A688" s="126"/>
      <c r="B688" s="129"/>
      <c r="C688" s="124"/>
      <c r="D688" s="149"/>
      <c r="E688" s="150"/>
      <c r="F688" s="150"/>
      <c r="G688" s="128"/>
      <c r="H688" s="128"/>
      <c r="I688" s="140"/>
      <c r="J688" s="194" t="s">
        <v>44</v>
      </c>
      <c r="K688" s="224"/>
      <c r="L688" s="111"/>
      <c r="M688" s="166"/>
    </row>
    <row r="689" spans="1:13" ht="15" customHeight="1" x14ac:dyDescent="0.25">
      <c r="A689" s="126"/>
      <c r="B689" s="129"/>
      <c r="C689" s="124"/>
      <c r="D689" s="149"/>
      <c r="E689" s="150"/>
      <c r="F689" s="150"/>
      <c r="G689" s="128"/>
      <c r="H689" s="128"/>
      <c r="I689" s="140"/>
      <c r="J689" s="112"/>
      <c r="K689" s="166"/>
      <c r="L689" s="111"/>
      <c r="M689" s="166"/>
    </row>
    <row r="690" spans="1:13" ht="15" customHeight="1" x14ac:dyDescent="0.25">
      <c r="A690" s="130"/>
      <c r="B690" s="129"/>
      <c r="C690" s="124"/>
      <c r="D690" s="149"/>
      <c r="E690" s="150"/>
      <c r="F690" s="150"/>
      <c r="G690" s="128"/>
      <c r="H690" s="128"/>
      <c r="I690" s="140"/>
      <c r="J690" s="194" t="s">
        <v>45</v>
      </c>
      <c r="K690" s="224"/>
      <c r="L690" s="111"/>
      <c r="M690" s="166"/>
    </row>
    <row r="691" spans="1:13" ht="5.0999999999999996" customHeight="1" x14ac:dyDescent="0.25">
      <c r="A691" s="140"/>
      <c r="B691" s="140"/>
      <c r="C691" s="140"/>
      <c r="D691" s="140"/>
      <c r="E691" s="140"/>
      <c r="F691" s="140"/>
      <c r="G691" s="140"/>
      <c r="H691" s="140"/>
      <c r="I691" s="140"/>
      <c r="J691" s="112"/>
      <c r="K691" s="166"/>
      <c r="L691" s="111"/>
      <c r="M691" s="191"/>
    </row>
    <row r="692" spans="1:13" ht="16.5" thickBot="1" x14ac:dyDescent="0.3">
      <c r="A692" s="113"/>
      <c r="B692" s="114"/>
      <c r="C692" s="115"/>
      <c r="D692" s="115"/>
      <c r="E692" s="116"/>
      <c r="F692" s="116"/>
      <c r="G692" s="164"/>
      <c r="H692" s="120"/>
      <c r="I692" s="140"/>
      <c r="J692" s="120"/>
      <c r="K692" s="121"/>
      <c r="L692" s="221"/>
      <c r="M692" s="191"/>
    </row>
    <row r="693" spans="1:13" ht="5.0999999999999996" customHeight="1" thickBot="1" x14ac:dyDescent="0.3">
      <c r="A693" s="217"/>
      <c r="B693" s="212"/>
      <c r="C693" s="213"/>
      <c r="D693" s="213"/>
      <c r="E693" s="214"/>
      <c r="F693" s="214"/>
      <c r="G693" s="215"/>
      <c r="H693" s="218"/>
      <c r="I693" s="140"/>
      <c r="J693" s="218"/>
      <c r="K693" s="220"/>
      <c r="L693" s="221"/>
      <c r="M693" s="191"/>
    </row>
    <row r="694" spans="1:13" ht="15" customHeight="1" thickBot="1" x14ac:dyDescent="0.3">
      <c r="A694" s="125"/>
      <c r="B694" s="148"/>
      <c r="C694" s="124"/>
      <c r="D694" s="149"/>
      <c r="E694" s="150"/>
      <c r="F694" s="150"/>
      <c r="G694" s="127"/>
      <c r="H694" s="189"/>
      <c r="I694" s="140"/>
      <c r="J694" s="209"/>
      <c r="K694" s="223"/>
      <c r="L694" s="112"/>
      <c r="M694" s="166"/>
    </row>
    <row r="695" spans="1:13" ht="15" customHeight="1" thickBot="1" x14ac:dyDescent="0.3">
      <c r="A695" s="126"/>
      <c r="B695" s="129"/>
      <c r="C695" s="124"/>
      <c r="D695" s="149"/>
      <c r="E695" s="150"/>
      <c r="F695" s="150"/>
      <c r="G695" s="128"/>
      <c r="H695" s="128"/>
      <c r="I695" s="140"/>
      <c r="J695" s="112"/>
      <c r="K695" s="166"/>
      <c r="L695" s="118"/>
      <c r="M695" s="166"/>
    </row>
    <row r="696" spans="1:13" ht="15" customHeight="1" x14ac:dyDescent="0.25">
      <c r="A696" s="126"/>
      <c r="B696" s="129"/>
      <c r="C696" s="124"/>
      <c r="D696" s="149"/>
      <c r="E696" s="150"/>
      <c r="F696" s="150"/>
      <c r="G696" s="128"/>
      <c r="H696" s="128"/>
      <c r="I696" s="140"/>
      <c r="J696" s="194" t="s">
        <v>39</v>
      </c>
      <c r="K696" s="223"/>
      <c r="L696" s="118"/>
      <c r="M696" s="166"/>
    </row>
    <row r="697" spans="1:13" ht="15" customHeight="1" thickBot="1" x14ac:dyDescent="0.3">
      <c r="A697" s="126"/>
      <c r="B697" s="129"/>
      <c r="C697" s="124"/>
      <c r="D697" s="149"/>
      <c r="E697" s="150"/>
      <c r="F697" s="150"/>
      <c r="G697" s="128"/>
      <c r="H697" s="128"/>
      <c r="I697" s="140"/>
      <c r="J697" s="112"/>
      <c r="K697" s="166"/>
      <c r="L697" s="118"/>
      <c r="M697" s="166"/>
    </row>
    <row r="698" spans="1:13" ht="15" customHeight="1" x14ac:dyDescent="0.25">
      <c r="A698" s="126"/>
      <c r="B698" s="129"/>
      <c r="C698" s="124"/>
      <c r="D698" s="149"/>
      <c r="E698" s="150"/>
      <c r="F698" s="150"/>
      <c r="G698" s="128"/>
      <c r="H698" s="128"/>
      <c r="I698" s="140"/>
      <c r="J698" s="194" t="s">
        <v>40</v>
      </c>
      <c r="K698" s="223"/>
      <c r="L698" s="118"/>
      <c r="M698" s="166"/>
    </row>
    <row r="699" spans="1:13" ht="15" customHeight="1" thickBot="1" x14ac:dyDescent="0.3">
      <c r="A699" s="126"/>
      <c r="B699" s="129"/>
      <c r="C699" s="124"/>
      <c r="D699" s="149"/>
      <c r="E699" s="150"/>
      <c r="F699" s="150"/>
      <c r="G699" s="128"/>
      <c r="H699" s="128"/>
      <c r="I699" s="140"/>
      <c r="J699" s="112"/>
      <c r="K699" s="166"/>
      <c r="L699" s="118"/>
      <c r="M699" s="166"/>
    </row>
    <row r="700" spans="1:13" ht="15" customHeight="1" x14ac:dyDescent="0.25">
      <c r="A700" s="126"/>
      <c r="B700" s="129"/>
      <c r="C700" s="124"/>
      <c r="D700" s="149"/>
      <c r="E700" s="150"/>
      <c r="F700" s="150"/>
      <c r="G700" s="128"/>
      <c r="H700" s="128"/>
      <c r="I700" s="140"/>
      <c r="J700" s="194" t="s">
        <v>41</v>
      </c>
      <c r="K700" s="223"/>
      <c r="L700" s="118"/>
      <c r="M700" s="166"/>
    </row>
    <row r="701" spans="1:13" ht="15" customHeight="1" thickBot="1" x14ac:dyDescent="0.3">
      <c r="A701" s="126"/>
      <c r="B701" s="129"/>
      <c r="C701" s="124"/>
      <c r="D701" s="149"/>
      <c r="E701" s="150"/>
      <c r="F701" s="150"/>
      <c r="G701" s="128"/>
      <c r="H701" s="128"/>
      <c r="I701" s="140"/>
      <c r="J701" s="112"/>
      <c r="K701" s="166"/>
      <c r="L701" s="118"/>
      <c r="M701" s="166"/>
    </row>
    <row r="702" spans="1:13" ht="15" customHeight="1" x14ac:dyDescent="0.25">
      <c r="A702" s="126"/>
      <c r="B702" s="129"/>
      <c r="C702" s="124"/>
      <c r="D702" s="149"/>
      <c r="E702" s="150"/>
      <c r="F702" s="150"/>
      <c r="G702" s="128"/>
      <c r="H702" s="128"/>
      <c r="I702" s="140"/>
      <c r="J702" s="194" t="s">
        <v>42</v>
      </c>
      <c r="K702" s="223"/>
      <c r="L702" s="111"/>
      <c r="M702" s="166"/>
    </row>
    <row r="703" spans="1:13" ht="15" customHeight="1" thickBot="1" x14ac:dyDescent="0.3">
      <c r="A703" s="126"/>
      <c r="B703" s="129"/>
      <c r="C703" s="124"/>
      <c r="D703" s="149"/>
      <c r="E703" s="150"/>
      <c r="F703" s="150"/>
      <c r="G703" s="128"/>
      <c r="H703" s="128"/>
      <c r="I703" s="140"/>
      <c r="J703" s="112"/>
      <c r="K703" s="166"/>
      <c r="L703" s="111"/>
      <c r="M703" s="166"/>
    </row>
    <row r="704" spans="1:13" ht="15" customHeight="1" x14ac:dyDescent="0.25">
      <c r="A704" s="126"/>
      <c r="B704" s="129"/>
      <c r="C704" s="124"/>
      <c r="D704" s="149"/>
      <c r="E704" s="150"/>
      <c r="F704" s="150"/>
      <c r="G704" s="128"/>
      <c r="H704" s="128"/>
      <c r="I704" s="140"/>
      <c r="J704" s="193" t="s">
        <v>43</v>
      </c>
      <c r="K704" s="223"/>
      <c r="L704" s="111"/>
      <c r="M704" s="166"/>
    </row>
    <row r="705" spans="1:13" ht="15" customHeight="1" x14ac:dyDescent="0.25">
      <c r="A705" s="126"/>
      <c r="B705" s="129"/>
      <c r="C705" s="124"/>
      <c r="D705" s="149"/>
      <c r="E705" s="150"/>
      <c r="F705" s="150"/>
      <c r="G705" s="128"/>
      <c r="H705" s="128"/>
      <c r="I705" s="140"/>
      <c r="J705" s="112"/>
      <c r="K705" s="166"/>
      <c r="L705" s="111"/>
      <c r="M705" s="166"/>
    </row>
    <row r="706" spans="1:13" ht="15" customHeight="1" x14ac:dyDescent="0.25">
      <c r="A706" s="126"/>
      <c r="B706" s="129"/>
      <c r="C706" s="124"/>
      <c r="D706" s="149"/>
      <c r="E706" s="150"/>
      <c r="F706" s="150"/>
      <c r="G706" s="128"/>
      <c r="H706" s="128"/>
      <c r="I706" s="140"/>
      <c r="J706" s="194" t="s">
        <v>44</v>
      </c>
      <c r="K706" s="224"/>
      <c r="L706" s="111"/>
      <c r="M706" s="166"/>
    </row>
    <row r="707" spans="1:13" ht="15" customHeight="1" x14ac:dyDescent="0.25">
      <c r="A707" s="126"/>
      <c r="B707" s="129"/>
      <c r="C707" s="124"/>
      <c r="D707" s="149"/>
      <c r="E707" s="150"/>
      <c r="F707" s="150"/>
      <c r="G707" s="128"/>
      <c r="H707" s="128"/>
      <c r="I707" s="140"/>
      <c r="J707" s="112"/>
      <c r="K707" s="166"/>
      <c r="L707" s="111"/>
      <c r="M707" s="166"/>
    </row>
    <row r="708" spans="1:13" ht="15" customHeight="1" x14ac:dyDescent="0.25">
      <c r="A708" s="130"/>
      <c r="B708" s="129"/>
      <c r="C708" s="124"/>
      <c r="D708" s="149"/>
      <c r="E708" s="150"/>
      <c r="F708" s="150"/>
      <c r="G708" s="128"/>
      <c r="H708" s="128"/>
      <c r="I708" s="140"/>
      <c r="J708" s="194" t="s">
        <v>45</v>
      </c>
      <c r="K708" s="224"/>
      <c r="L708" s="111"/>
      <c r="M708" s="166"/>
    </row>
    <row r="709" spans="1:13" ht="5.0999999999999996" customHeight="1" x14ac:dyDescent="0.25">
      <c r="A709" s="140"/>
      <c r="B709" s="140"/>
      <c r="C709" s="140"/>
      <c r="D709" s="140"/>
      <c r="E709" s="140"/>
      <c r="F709" s="140"/>
      <c r="G709" s="140"/>
      <c r="H709" s="140"/>
      <c r="I709" s="140"/>
      <c r="J709" s="112"/>
      <c r="K709" s="166"/>
      <c r="L709" s="111"/>
      <c r="M709" s="191"/>
    </row>
    <row r="710" spans="1:13" ht="16.5" thickBot="1" x14ac:dyDescent="0.3">
      <c r="A710" s="113"/>
      <c r="B710" s="114"/>
      <c r="C710" s="115"/>
      <c r="D710" s="115"/>
      <c r="E710" s="116"/>
      <c r="F710" s="116"/>
      <c r="G710" s="164"/>
      <c r="H710" s="120"/>
      <c r="I710" s="140"/>
      <c r="J710" s="120"/>
      <c r="K710" s="121"/>
      <c r="L710" s="221"/>
      <c r="M710" s="191"/>
    </row>
    <row r="711" spans="1:13" ht="5.0999999999999996" customHeight="1" thickBot="1" x14ac:dyDescent="0.3">
      <c r="A711" s="217"/>
      <c r="B711" s="212"/>
      <c r="C711" s="213"/>
      <c r="D711" s="213"/>
      <c r="E711" s="214"/>
      <c r="F711" s="214"/>
      <c r="G711" s="215"/>
      <c r="H711" s="218"/>
      <c r="I711" s="140"/>
      <c r="J711" s="218"/>
      <c r="K711" s="220"/>
      <c r="L711" s="221"/>
      <c r="M711" s="191"/>
    </row>
    <row r="712" spans="1:13" ht="15" customHeight="1" thickBot="1" x14ac:dyDescent="0.3">
      <c r="A712" s="125"/>
      <c r="B712" s="148"/>
      <c r="C712" s="124"/>
      <c r="D712" s="149"/>
      <c r="E712" s="150"/>
      <c r="F712" s="150"/>
      <c r="G712" s="127"/>
      <c r="H712" s="189"/>
      <c r="I712" s="140"/>
      <c r="J712" s="209"/>
      <c r="K712" s="223"/>
      <c r="L712" s="112"/>
      <c r="M712" s="166"/>
    </row>
    <row r="713" spans="1:13" ht="15" customHeight="1" thickBot="1" x14ac:dyDescent="0.3">
      <c r="A713" s="126"/>
      <c r="B713" s="129"/>
      <c r="C713" s="124"/>
      <c r="D713" s="149"/>
      <c r="E713" s="150"/>
      <c r="F713" s="150"/>
      <c r="G713" s="128"/>
      <c r="H713" s="128"/>
      <c r="I713" s="140"/>
      <c r="J713" s="112"/>
      <c r="K713" s="166"/>
      <c r="L713" s="118"/>
      <c r="M713" s="166"/>
    </row>
    <row r="714" spans="1:13" ht="15" customHeight="1" x14ac:dyDescent="0.25">
      <c r="A714" s="126"/>
      <c r="B714" s="129"/>
      <c r="C714" s="124"/>
      <c r="D714" s="149"/>
      <c r="E714" s="150"/>
      <c r="F714" s="150"/>
      <c r="G714" s="128"/>
      <c r="H714" s="128"/>
      <c r="I714" s="140"/>
      <c r="J714" s="194" t="s">
        <v>39</v>
      </c>
      <c r="K714" s="223"/>
      <c r="L714" s="118"/>
      <c r="M714" s="166"/>
    </row>
    <row r="715" spans="1:13" ht="15" customHeight="1" thickBot="1" x14ac:dyDescent="0.3">
      <c r="A715" s="126"/>
      <c r="B715" s="129"/>
      <c r="C715" s="124"/>
      <c r="D715" s="149"/>
      <c r="E715" s="150"/>
      <c r="F715" s="150"/>
      <c r="G715" s="128"/>
      <c r="H715" s="128"/>
      <c r="I715" s="140"/>
      <c r="J715" s="112"/>
      <c r="K715" s="166"/>
      <c r="L715" s="118"/>
      <c r="M715" s="166"/>
    </row>
    <row r="716" spans="1:13" ht="15" customHeight="1" x14ac:dyDescent="0.25">
      <c r="A716" s="126"/>
      <c r="B716" s="129"/>
      <c r="C716" s="124"/>
      <c r="D716" s="149"/>
      <c r="E716" s="150"/>
      <c r="F716" s="150"/>
      <c r="G716" s="128"/>
      <c r="H716" s="128"/>
      <c r="I716" s="140"/>
      <c r="J716" s="194" t="s">
        <v>40</v>
      </c>
      <c r="K716" s="223"/>
      <c r="L716" s="118"/>
      <c r="M716" s="166"/>
    </row>
    <row r="717" spans="1:13" ht="15" customHeight="1" thickBot="1" x14ac:dyDescent="0.3">
      <c r="A717" s="126"/>
      <c r="B717" s="129"/>
      <c r="C717" s="124"/>
      <c r="D717" s="149"/>
      <c r="E717" s="150"/>
      <c r="F717" s="150"/>
      <c r="G717" s="128"/>
      <c r="H717" s="128"/>
      <c r="I717" s="140"/>
      <c r="J717" s="112"/>
      <c r="K717" s="166"/>
      <c r="L717" s="118"/>
      <c r="M717" s="166"/>
    </row>
    <row r="718" spans="1:13" ht="15" customHeight="1" x14ac:dyDescent="0.25">
      <c r="A718" s="126"/>
      <c r="B718" s="129"/>
      <c r="C718" s="124"/>
      <c r="D718" s="149"/>
      <c r="E718" s="150"/>
      <c r="F718" s="150"/>
      <c r="G718" s="128"/>
      <c r="H718" s="128"/>
      <c r="I718" s="140"/>
      <c r="J718" s="194" t="s">
        <v>41</v>
      </c>
      <c r="K718" s="223"/>
      <c r="L718" s="118"/>
      <c r="M718" s="166"/>
    </row>
    <row r="719" spans="1:13" ht="15" customHeight="1" thickBot="1" x14ac:dyDescent="0.3">
      <c r="A719" s="126"/>
      <c r="B719" s="129"/>
      <c r="C719" s="124"/>
      <c r="D719" s="149"/>
      <c r="E719" s="150"/>
      <c r="F719" s="150"/>
      <c r="G719" s="128"/>
      <c r="H719" s="128"/>
      <c r="I719" s="140"/>
      <c r="J719" s="112"/>
      <c r="K719" s="166"/>
      <c r="L719" s="118"/>
      <c r="M719" s="166"/>
    </row>
    <row r="720" spans="1:13" ht="15" customHeight="1" x14ac:dyDescent="0.25">
      <c r="A720" s="126"/>
      <c r="B720" s="129"/>
      <c r="C720" s="124"/>
      <c r="D720" s="149"/>
      <c r="E720" s="150"/>
      <c r="F720" s="150"/>
      <c r="G720" s="128"/>
      <c r="H720" s="128"/>
      <c r="I720" s="140"/>
      <c r="J720" s="194" t="s">
        <v>42</v>
      </c>
      <c r="K720" s="223"/>
      <c r="L720" s="111"/>
      <c r="M720" s="166"/>
    </row>
    <row r="721" spans="1:13" ht="15" customHeight="1" thickBot="1" x14ac:dyDescent="0.3">
      <c r="A721" s="126"/>
      <c r="B721" s="129"/>
      <c r="C721" s="124"/>
      <c r="D721" s="149"/>
      <c r="E721" s="150"/>
      <c r="F721" s="150"/>
      <c r="G721" s="128"/>
      <c r="H721" s="128"/>
      <c r="I721" s="140"/>
      <c r="J721" s="112"/>
      <c r="K721" s="166"/>
      <c r="L721" s="111"/>
      <c r="M721" s="166"/>
    </row>
    <row r="722" spans="1:13" ht="15" customHeight="1" x14ac:dyDescent="0.25">
      <c r="A722" s="126"/>
      <c r="B722" s="129"/>
      <c r="C722" s="124"/>
      <c r="D722" s="149"/>
      <c r="E722" s="150"/>
      <c r="F722" s="150"/>
      <c r="G722" s="128"/>
      <c r="H722" s="128"/>
      <c r="I722" s="140"/>
      <c r="J722" s="193" t="s">
        <v>43</v>
      </c>
      <c r="K722" s="223"/>
      <c r="L722" s="111"/>
      <c r="M722" s="166"/>
    </row>
    <row r="723" spans="1:13" ht="15" customHeight="1" x14ac:dyDescent="0.25">
      <c r="A723" s="126"/>
      <c r="B723" s="129"/>
      <c r="C723" s="124"/>
      <c r="D723" s="149"/>
      <c r="E723" s="150"/>
      <c r="F723" s="150"/>
      <c r="G723" s="128"/>
      <c r="H723" s="128"/>
      <c r="I723" s="140"/>
      <c r="J723" s="112"/>
      <c r="K723" s="166"/>
      <c r="L723" s="111"/>
      <c r="M723" s="166"/>
    </row>
    <row r="724" spans="1:13" ht="15" customHeight="1" x14ac:dyDescent="0.25">
      <c r="A724" s="126"/>
      <c r="B724" s="129"/>
      <c r="C724" s="124"/>
      <c r="D724" s="149"/>
      <c r="E724" s="150"/>
      <c r="F724" s="150"/>
      <c r="G724" s="128"/>
      <c r="H724" s="128"/>
      <c r="I724" s="140"/>
      <c r="J724" s="194" t="s">
        <v>44</v>
      </c>
      <c r="K724" s="224"/>
      <c r="L724" s="111"/>
      <c r="M724" s="166"/>
    </row>
    <row r="725" spans="1:13" ht="15" customHeight="1" x14ac:dyDescent="0.25">
      <c r="A725" s="126"/>
      <c r="B725" s="129"/>
      <c r="C725" s="124"/>
      <c r="D725" s="149"/>
      <c r="E725" s="150"/>
      <c r="F725" s="150"/>
      <c r="G725" s="128"/>
      <c r="H725" s="128"/>
      <c r="I725" s="140"/>
      <c r="J725" s="112"/>
      <c r="K725" s="166"/>
      <c r="L725" s="111"/>
      <c r="M725" s="166"/>
    </row>
    <row r="726" spans="1:13" ht="15" customHeight="1" x14ac:dyDescent="0.25">
      <c r="A726" s="130"/>
      <c r="B726" s="129"/>
      <c r="C726" s="124"/>
      <c r="D726" s="149"/>
      <c r="E726" s="150"/>
      <c r="F726" s="150"/>
      <c r="G726" s="128"/>
      <c r="H726" s="128"/>
      <c r="I726" s="140"/>
      <c r="J726" s="194" t="s">
        <v>45</v>
      </c>
      <c r="K726" s="224"/>
      <c r="L726" s="111"/>
      <c r="M726" s="166"/>
    </row>
    <row r="727" spans="1:13" ht="5.0999999999999996" customHeight="1" x14ac:dyDescent="0.25">
      <c r="A727" s="140"/>
      <c r="B727" s="140"/>
      <c r="C727" s="140"/>
      <c r="D727" s="140"/>
      <c r="E727" s="140"/>
      <c r="F727" s="140"/>
      <c r="G727" s="140"/>
      <c r="H727" s="140"/>
      <c r="I727" s="140"/>
      <c r="J727" s="112"/>
      <c r="K727" s="166"/>
      <c r="L727" s="111"/>
      <c r="M727" s="191"/>
    </row>
    <row r="728" spans="1:13" ht="16.5" thickBot="1" x14ac:dyDescent="0.3">
      <c r="A728" s="113"/>
      <c r="B728" s="114"/>
      <c r="C728" s="115"/>
      <c r="D728" s="115"/>
      <c r="E728" s="116"/>
      <c r="F728" s="116"/>
      <c r="G728" s="164"/>
      <c r="H728" s="120"/>
      <c r="I728" s="140"/>
      <c r="J728" s="120"/>
      <c r="K728" s="121"/>
      <c r="L728" s="221"/>
      <c r="M728" s="191"/>
    </row>
    <row r="729" spans="1:13" ht="5.0999999999999996" customHeight="1" thickBot="1" x14ac:dyDescent="0.3">
      <c r="A729" s="217"/>
      <c r="B729" s="212"/>
      <c r="C729" s="213"/>
      <c r="D729" s="213"/>
      <c r="E729" s="214"/>
      <c r="F729" s="214"/>
      <c r="G729" s="215"/>
      <c r="H729" s="218"/>
      <c r="I729" s="140"/>
      <c r="J729" s="218"/>
      <c r="K729" s="220"/>
      <c r="L729" s="221"/>
      <c r="M729" s="191"/>
    </row>
    <row r="730" spans="1:13" ht="15" customHeight="1" thickBot="1" x14ac:dyDescent="0.3">
      <c r="A730" s="125"/>
      <c r="B730" s="148"/>
      <c r="C730" s="124"/>
      <c r="D730" s="149"/>
      <c r="E730" s="150"/>
      <c r="F730" s="150"/>
      <c r="G730" s="127"/>
      <c r="H730" s="189"/>
      <c r="I730" s="140"/>
      <c r="J730" s="209"/>
      <c r="K730" s="223"/>
      <c r="L730" s="112"/>
      <c r="M730" s="166"/>
    </row>
    <row r="731" spans="1:13" ht="15" customHeight="1" thickBot="1" x14ac:dyDescent="0.3">
      <c r="A731" s="126"/>
      <c r="B731" s="129"/>
      <c r="C731" s="124"/>
      <c r="D731" s="149"/>
      <c r="E731" s="150"/>
      <c r="F731" s="150"/>
      <c r="G731" s="128"/>
      <c r="H731" s="128"/>
      <c r="I731" s="140"/>
      <c r="J731" s="112"/>
      <c r="K731" s="166"/>
      <c r="L731" s="118"/>
      <c r="M731" s="166"/>
    </row>
    <row r="732" spans="1:13" ht="15" customHeight="1" x14ac:dyDescent="0.25">
      <c r="A732" s="126"/>
      <c r="B732" s="129"/>
      <c r="C732" s="124"/>
      <c r="D732" s="149"/>
      <c r="E732" s="150"/>
      <c r="F732" s="150"/>
      <c r="G732" s="128"/>
      <c r="H732" s="128"/>
      <c r="I732" s="140"/>
      <c r="J732" s="194" t="s">
        <v>39</v>
      </c>
      <c r="K732" s="223"/>
      <c r="L732" s="118"/>
      <c r="M732" s="166"/>
    </row>
    <row r="733" spans="1:13" ht="15" customHeight="1" thickBot="1" x14ac:dyDescent="0.3">
      <c r="A733" s="126"/>
      <c r="B733" s="129"/>
      <c r="C733" s="124"/>
      <c r="D733" s="149"/>
      <c r="E733" s="150"/>
      <c r="F733" s="150"/>
      <c r="G733" s="128"/>
      <c r="H733" s="128"/>
      <c r="I733" s="140"/>
      <c r="J733" s="112"/>
      <c r="K733" s="166"/>
      <c r="L733" s="118"/>
      <c r="M733" s="166"/>
    </row>
    <row r="734" spans="1:13" ht="15" customHeight="1" x14ac:dyDescent="0.25">
      <c r="A734" s="126"/>
      <c r="B734" s="129"/>
      <c r="C734" s="124"/>
      <c r="D734" s="149"/>
      <c r="E734" s="150"/>
      <c r="F734" s="150"/>
      <c r="G734" s="128"/>
      <c r="H734" s="128"/>
      <c r="I734" s="140"/>
      <c r="J734" s="194" t="s">
        <v>40</v>
      </c>
      <c r="K734" s="223"/>
      <c r="L734" s="118"/>
      <c r="M734" s="166"/>
    </row>
    <row r="735" spans="1:13" ht="15" customHeight="1" thickBot="1" x14ac:dyDescent="0.3">
      <c r="A735" s="126"/>
      <c r="B735" s="129"/>
      <c r="C735" s="124"/>
      <c r="D735" s="149"/>
      <c r="E735" s="150"/>
      <c r="F735" s="150"/>
      <c r="G735" s="128"/>
      <c r="H735" s="128"/>
      <c r="I735" s="140"/>
      <c r="J735" s="112"/>
      <c r="K735" s="166"/>
      <c r="L735" s="118"/>
      <c r="M735" s="166"/>
    </row>
    <row r="736" spans="1:13" ht="15" customHeight="1" x14ac:dyDescent="0.25">
      <c r="A736" s="126"/>
      <c r="B736" s="129"/>
      <c r="C736" s="124"/>
      <c r="D736" s="149"/>
      <c r="E736" s="150"/>
      <c r="F736" s="150"/>
      <c r="G736" s="128"/>
      <c r="H736" s="128"/>
      <c r="I736" s="140"/>
      <c r="J736" s="194" t="s">
        <v>41</v>
      </c>
      <c r="K736" s="223"/>
      <c r="L736" s="118"/>
      <c r="M736" s="166"/>
    </row>
    <row r="737" spans="1:13" ht="15" customHeight="1" thickBot="1" x14ac:dyDescent="0.3">
      <c r="A737" s="126"/>
      <c r="B737" s="129"/>
      <c r="C737" s="124"/>
      <c r="D737" s="149"/>
      <c r="E737" s="150"/>
      <c r="F737" s="150"/>
      <c r="G737" s="128"/>
      <c r="H737" s="128"/>
      <c r="I737" s="140"/>
      <c r="J737" s="112"/>
      <c r="K737" s="166"/>
      <c r="L737" s="118"/>
      <c r="M737" s="166"/>
    </row>
    <row r="738" spans="1:13" ht="15" customHeight="1" x14ac:dyDescent="0.25">
      <c r="A738" s="126"/>
      <c r="B738" s="129"/>
      <c r="C738" s="124"/>
      <c r="D738" s="149"/>
      <c r="E738" s="150"/>
      <c r="F738" s="150"/>
      <c r="G738" s="128"/>
      <c r="H738" s="128"/>
      <c r="I738" s="140"/>
      <c r="J738" s="194" t="s">
        <v>42</v>
      </c>
      <c r="K738" s="223"/>
      <c r="L738" s="111"/>
      <c r="M738" s="166"/>
    </row>
    <row r="739" spans="1:13" ht="15" customHeight="1" thickBot="1" x14ac:dyDescent="0.3">
      <c r="A739" s="126"/>
      <c r="B739" s="129"/>
      <c r="C739" s="124"/>
      <c r="D739" s="149"/>
      <c r="E739" s="150"/>
      <c r="F739" s="150"/>
      <c r="G739" s="128"/>
      <c r="H739" s="128"/>
      <c r="I739" s="140"/>
      <c r="J739" s="112"/>
      <c r="K739" s="166"/>
      <c r="L739" s="111"/>
      <c r="M739" s="166"/>
    </row>
    <row r="740" spans="1:13" ht="15" customHeight="1" x14ac:dyDescent="0.25">
      <c r="A740" s="126"/>
      <c r="B740" s="129"/>
      <c r="C740" s="124"/>
      <c r="D740" s="149"/>
      <c r="E740" s="150"/>
      <c r="F740" s="150"/>
      <c r="G740" s="128"/>
      <c r="H740" s="128"/>
      <c r="I740" s="140"/>
      <c r="J740" s="193" t="s">
        <v>43</v>
      </c>
      <c r="K740" s="223"/>
      <c r="L740" s="111"/>
      <c r="M740" s="166"/>
    </row>
    <row r="741" spans="1:13" ht="15" customHeight="1" x14ac:dyDescent="0.25">
      <c r="A741" s="126"/>
      <c r="B741" s="129"/>
      <c r="C741" s="124"/>
      <c r="D741" s="149"/>
      <c r="E741" s="150"/>
      <c r="F741" s="150"/>
      <c r="G741" s="128"/>
      <c r="H741" s="128"/>
      <c r="I741" s="140"/>
      <c r="J741" s="112"/>
      <c r="K741" s="166"/>
      <c r="L741" s="111"/>
      <c r="M741" s="166"/>
    </row>
    <row r="742" spans="1:13" ht="15" customHeight="1" x14ac:dyDescent="0.25">
      <c r="A742" s="126"/>
      <c r="B742" s="129"/>
      <c r="C742" s="124"/>
      <c r="D742" s="149"/>
      <c r="E742" s="150"/>
      <c r="F742" s="150"/>
      <c r="G742" s="128"/>
      <c r="H742" s="128"/>
      <c r="I742" s="140"/>
      <c r="J742" s="194" t="s">
        <v>44</v>
      </c>
      <c r="K742" s="224"/>
      <c r="L742" s="111"/>
      <c r="M742" s="166"/>
    </row>
    <row r="743" spans="1:13" ht="15" customHeight="1" x14ac:dyDescent="0.25">
      <c r="A743" s="126"/>
      <c r="B743" s="129"/>
      <c r="C743" s="124"/>
      <c r="D743" s="149"/>
      <c r="E743" s="150"/>
      <c r="F743" s="150"/>
      <c r="G743" s="128"/>
      <c r="H743" s="128"/>
      <c r="I743" s="140"/>
      <c r="J743" s="112"/>
      <c r="K743" s="166"/>
      <c r="L743" s="111"/>
      <c r="M743" s="166"/>
    </row>
    <row r="744" spans="1:13" ht="15" customHeight="1" x14ac:dyDescent="0.25">
      <c r="A744" s="130"/>
      <c r="B744" s="129"/>
      <c r="C744" s="124"/>
      <c r="D744" s="149"/>
      <c r="E744" s="150"/>
      <c r="F744" s="150"/>
      <c r="G744" s="128"/>
      <c r="H744" s="128"/>
      <c r="I744" s="140"/>
      <c r="J744" s="194" t="s">
        <v>45</v>
      </c>
      <c r="K744" s="224"/>
      <c r="L744" s="111"/>
      <c r="M744" s="166"/>
    </row>
    <row r="745" spans="1:13" ht="5.0999999999999996" customHeight="1" x14ac:dyDescent="0.25">
      <c r="A745" s="140"/>
      <c r="B745" s="140"/>
      <c r="C745" s="140"/>
      <c r="D745" s="140"/>
      <c r="E745" s="140"/>
      <c r="F745" s="140"/>
      <c r="G745" s="140"/>
      <c r="H745" s="140"/>
      <c r="I745" s="140"/>
      <c r="J745" s="112"/>
      <c r="K745" s="166"/>
      <c r="L745" s="111"/>
      <c r="M745" s="191"/>
    </row>
    <row r="746" spans="1:13" ht="16.5" thickBot="1" x14ac:dyDescent="0.3">
      <c r="A746" s="113"/>
      <c r="B746" s="114"/>
      <c r="C746" s="115"/>
      <c r="D746" s="115"/>
      <c r="E746" s="116"/>
      <c r="F746" s="116"/>
      <c r="G746" s="164"/>
      <c r="H746" s="120"/>
      <c r="I746" s="140"/>
      <c r="J746" s="120"/>
      <c r="K746" s="121"/>
      <c r="L746" s="221"/>
      <c r="M746" s="191"/>
    </row>
    <row r="747" spans="1:13" ht="5.0999999999999996" customHeight="1" thickBot="1" x14ac:dyDescent="0.3">
      <c r="A747" s="217"/>
      <c r="B747" s="212"/>
      <c r="C747" s="213"/>
      <c r="D747" s="213"/>
      <c r="E747" s="214"/>
      <c r="F747" s="214"/>
      <c r="G747" s="215"/>
      <c r="H747" s="218"/>
      <c r="I747" s="140"/>
      <c r="J747" s="218"/>
      <c r="K747" s="220"/>
      <c r="L747" s="221"/>
      <c r="M747" s="191"/>
    </row>
    <row r="748" spans="1:13" ht="15" customHeight="1" thickBot="1" x14ac:dyDescent="0.3">
      <c r="A748" s="125"/>
      <c r="B748" s="148"/>
      <c r="C748" s="124"/>
      <c r="D748" s="149"/>
      <c r="E748" s="150"/>
      <c r="F748" s="150"/>
      <c r="G748" s="127"/>
      <c r="H748" s="189"/>
      <c r="I748" s="140"/>
      <c r="J748" s="209"/>
      <c r="K748" s="223"/>
      <c r="L748" s="112"/>
      <c r="M748" s="166"/>
    </row>
    <row r="749" spans="1:13" ht="15" customHeight="1" thickBot="1" x14ac:dyDescent="0.3">
      <c r="A749" s="126"/>
      <c r="B749" s="129"/>
      <c r="C749" s="124"/>
      <c r="D749" s="149"/>
      <c r="E749" s="150"/>
      <c r="F749" s="150"/>
      <c r="G749" s="128"/>
      <c r="H749" s="128"/>
      <c r="I749" s="140"/>
      <c r="J749" s="112"/>
      <c r="K749" s="166"/>
      <c r="L749" s="118"/>
      <c r="M749" s="166"/>
    </row>
    <row r="750" spans="1:13" ht="15" customHeight="1" x14ac:dyDescent="0.25">
      <c r="A750" s="126"/>
      <c r="B750" s="129"/>
      <c r="C750" s="124"/>
      <c r="D750" s="149"/>
      <c r="E750" s="150"/>
      <c r="F750" s="150"/>
      <c r="G750" s="128"/>
      <c r="H750" s="128"/>
      <c r="I750" s="140"/>
      <c r="J750" s="194" t="s">
        <v>39</v>
      </c>
      <c r="K750" s="223"/>
      <c r="L750" s="118"/>
      <c r="M750" s="166"/>
    </row>
    <row r="751" spans="1:13" ht="15" customHeight="1" thickBot="1" x14ac:dyDescent="0.3">
      <c r="A751" s="126"/>
      <c r="B751" s="129"/>
      <c r="C751" s="124"/>
      <c r="D751" s="149"/>
      <c r="E751" s="150"/>
      <c r="F751" s="150"/>
      <c r="G751" s="128"/>
      <c r="H751" s="128"/>
      <c r="I751" s="140"/>
      <c r="J751" s="112"/>
      <c r="K751" s="166"/>
      <c r="L751" s="118"/>
      <c r="M751" s="166"/>
    </row>
    <row r="752" spans="1:13" ht="15" customHeight="1" x14ac:dyDescent="0.25">
      <c r="A752" s="126"/>
      <c r="B752" s="129"/>
      <c r="C752" s="124"/>
      <c r="D752" s="149"/>
      <c r="E752" s="150"/>
      <c r="F752" s="150"/>
      <c r="G752" s="128"/>
      <c r="H752" s="128"/>
      <c r="I752" s="140"/>
      <c r="J752" s="194" t="s">
        <v>40</v>
      </c>
      <c r="K752" s="223"/>
      <c r="L752" s="118"/>
      <c r="M752" s="166"/>
    </row>
    <row r="753" spans="1:13" ht="15" customHeight="1" thickBot="1" x14ac:dyDescent="0.3">
      <c r="A753" s="126"/>
      <c r="B753" s="129"/>
      <c r="C753" s="124"/>
      <c r="D753" s="149"/>
      <c r="E753" s="150"/>
      <c r="F753" s="150"/>
      <c r="G753" s="128"/>
      <c r="H753" s="128"/>
      <c r="I753" s="140"/>
      <c r="J753" s="112"/>
      <c r="K753" s="166"/>
      <c r="L753" s="118"/>
      <c r="M753" s="166"/>
    </row>
    <row r="754" spans="1:13" ht="15" customHeight="1" x14ac:dyDescent="0.25">
      <c r="A754" s="126"/>
      <c r="B754" s="129"/>
      <c r="C754" s="124"/>
      <c r="D754" s="149"/>
      <c r="E754" s="150"/>
      <c r="F754" s="150"/>
      <c r="G754" s="128"/>
      <c r="H754" s="128"/>
      <c r="I754" s="140"/>
      <c r="J754" s="194" t="s">
        <v>41</v>
      </c>
      <c r="K754" s="223"/>
      <c r="L754" s="118"/>
      <c r="M754" s="166"/>
    </row>
    <row r="755" spans="1:13" ht="15" customHeight="1" thickBot="1" x14ac:dyDescent="0.3">
      <c r="A755" s="126"/>
      <c r="B755" s="129"/>
      <c r="C755" s="124"/>
      <c r="D755" s="149"/>
      <c r="E755" s="150"/>
      <c r="F755" s="150"/>
      <c r="G755" s="128"/>
      <c r="H755" s="128"/>
      <c r="I755" s="140"/>
      <c r="J755" s="112"/>
      <c r="K755" s="166"/>
      <c r="L755" s="118"/>
      <c r="M755" s="166"/>
    </row>
    <row r="756" spans="1:13" ht="15" customHeight="1" x14ac:dyDescent="0.25">
      <c r="A756" s="126"/>
      <c r="B756" s="129"/>
      <c r="C756" s="124"/>
      <c r="D756" s="149"/>
      <c r="E756" s="150"/>
      <c r="F756" s="150"/>
      <c r="G756" s="128"/>
      <c r="H756" s="128"/>
      <c r="I756" s="140"/>
      <c r="J756" s="194" t="s">
        <v>42</v>
      </c>
      <c r="K756" s="223"/>
      <c r="L756" s="111"/>
      <c r="M756" s="166"/>
    </row>
    <row r="757" spans="1:13" ht="15" customHeight="1" thickBot="1" x14ac:dyDescent="0.3">
      <c r="A757" s="126"/>
      <c r="B757" s="129"/>
      <c r="C757" s="124"/>
      <c r="D757" s="149"/>
      <c r="E757" s="150"/>
      <c r="F757" s="150"/>
      <c r="G757" s="128"/>
      <c r="H757" s="128"/>
      <c r="I757" s="140"/>
      <c r="J757" s="112"/>
      <c r="K757" s="166"/>
      <c r="L757" s="111"/>
      <c r="M757" s="166"/>
    </row>
    <row r="758" spans="1:13" ht="15" customHeight="1" x14ac:dyDescent="0.25">
      <c r="A758" s="126"/>
      <c r="B758" s="129"/>
      <c r="C758" s="124"/>
      <c r="D758" s="149"/>
      <c r="E758" s="150"/>
      <c r="F758" s="150"/>
      <c r="G758" s="128"/>
      <c r="H758" s="128"/>
      <c r="I758" s="140"/>
      <c r="J758" s="193" t="s">
        <v>43</v>
      </c>
      <c r="K758" s="223"/>
      <c r="L758" s="111"/>
      <c r="M758" s="166"/>
    </row>
    <row r="759" spans="1:13" ht="15" customHeight="1" x14ac:dyDescent="0.25">
      <c r="A759" s="126"/>
      <c r="B759" s="129"/>
      <c r="C759" s="124"/>
      <c r="D759" s="149"/>
      <c r="E759" s="150"/>
      <c r="F759" s="150"/>
      <c r="G759" s="128"/>
      <c r="H759" s="128"/>
      <c r="I759" s="140"/>
      <c r="J759" s="112"/>
      <c r="K759" s="166"/>
      <c r="L759" s="111"/>
      <c r="M759" s="166"/>
    </row>
    <row r="760" spans="1:13" ht="15" customHeight="1" x14ac:dyDescent="0.25">
      <c r="A760" s="126"/>
      <c r="B760" s="129"/>
      <c r="C760" s="124"/>
      <c r="D760" s="149"/>
      <c r="E760" s="150"/>
      <c r="F760" s="150"/>
      <c r="G760" s="128"/>
      <c r="H760" s="128"/>
      <c r="I760" s="140"/>
      <c r="J760" s="194" t="s">
        <v>44</v>
      </c>
      <c r="K760" s="224"/>
      <c r="L760" s="111"/>
      <c r="M760" s="166"/>
    </row>
    <row r="761" spans="1:13" ht="15" customHeight="1" x14ac:dyDescent="0.25">
      <c r="A761" s="126"/>
      <c r="B761" s="129"/>
      <c r="C761" s="124"/>
      <c r="D761" s="149"/>
      <c r="E761" s="150"/>
      <c r="F761" s="150"/>
      <c r="G761" s="128"/>
      <c r="H761" s="128"/>
      <c r="I761" s="140"/>
      <c r="J761" s="112"/>
      <c r="K761" s="166"/>
      <c r="L761" s="111"/>
      <c r="M761" s="166"/>
    </row>
    <row r="762" spans="1:13" ht="15" customHeight="1" x14ac:dyDescent="0.25">
      <c r="A762" s="130"/>
      <c r="B762" s="129"/>
      <c r="C762" s="124"/>
      <c r="D762" s="149"/>
      <c r="E762" s="150"/>
      <c r="F762" s="150"/>
      <c r="G762" s="128"/>
      <c r="H762" s="128"/>
      <c r="I762" s="140"/>
      <c r="J762" s="194" t="s">
        <v>45</v>
      </c>
      <c r="K762" s="224"/>
      <c r="L762" s="111"/>
      <c r="M762" s="166"/>
    </row>
    <row r="763" spans="1:13" ht="5.0999999999999996" customHeight="1" x14ac:dyDescent="0.25">
      <c r="A763" s="140"/>
      <c r="B763" s="140"/>
      <c r="C763" s="140"/>
      <c r="D763" s="140"/>
      <c r="E763" s="140"/>
      <c r="F763" s="140"/>
      <c r="G763" s="140"/>
      <c r="H763" s="140"/>
      <c r="I763" s="140"/>
      <c r="J763" s="112"/>
      <c r="K763" s="166"/>
      <c r="L763" s="111"/>
      <c r="M763" s="191"/>
    </row>
    <row r="764" spans="1:13" ht="16.5" thickBot="1" x14ac:dyDescent="0.3">
      <c r="A764" s="113"/>
      <c r="B764" s="114"/>
      <c r="C764" s="115"/>
      <c r="D764" s="115"/>
      <c r="E764" s="116"/>
      <c r="F764" s="116"/>
      <c r="G764" s="164"/>
      <c r="H764" s="120"/>
      <c r="I764" s="140"/>
      <c r="J764" s="120"/>
      <c r="K764" s="121"/>
      <c r="L764" s="221"/>
      <c r="M764" s="191"/>
    </row>
    <row r="765" spans="1:13" ht="5.0999999999999996" customHeight="1" thickBot="1" x14ac:dyDescent="0.3">
      <c r="A765" s="217"/>
      <c r="B765" s="212"/>
      <c r="C765" s="213"/>
      <c r="D765" s="213"/>
      <c r="E765" s="214"/>
      <c r="F765" s="214"/>
      <c r="G765" s="215"/>
      <c r="H765" s="218"/>
      <c r="I765" s="140"/>
      <c r="J765" s="218"/>
      <c r="K765" s="220"/>
      <c r="L765" s="221"/>
      <c r="M765" s="191"/>
    </row>
    <row r="766" spans="1:13" ht="15" customHeight="1" thickBot="1" x14ac:dyDescent="0.3">
      <c r="A766" s="125"/>
      <c r="B766" s="148"/>
      <c r="C766" s="124"/>
      <c r="D766" s="149"/>
      <c r="E766" s="150"/>
      <c r="F766" s="150"/>
      <c r="G766" s="127"/>
      <c r="H766" s="189"/>
      <c r="I766" s="140"/>
      <c r="J766" s="209"/>
      <c r="K766" s="223"/>
      <c r="L766" s="112"/>
      <c r="M766" s="166"/>
    </row>
    <row r="767" spans="1:13" ht="15" customHeight="1" thickBot="1" x14ac:dyDescent="0.3">
      <c r="A767" s="126"/>
      <c r="B767" s="129"/>
      <c r="C767" s="124"/>
      <c r="D767" s="149"/>
      <c r="E767" s="150"/>
      <c r="F767" s="150"/>
      <c r="G767" s="128"/>
      <c r="H767" s="128"/>
      <c r="I767" s="140"/>
      <c r="J767" s="112"/>
      <c r="K767" s="166"/>
      <c r="L767" s="118"/>
      <c r="M767" s="166"/>
    </row>
    <row r="768" spans="1:13" ht="15" customHeight="1" x14ac:dyDescent="0.25">
      <c r="A768" s="126"/>
      <c r="B768" s="129"/>
      <c r="C768" s="124"/>
      <c r="D768" s="149"/>
      <c r="E768" s="150"/>
      <c r="F768" s="150"/>
      <c r="G768" s="128"/>
      <c r="H768" s="128"/>
      <c r="I768" s="140"/>
      <c r="J768" s="194" t="s">
        <v>39</v>
      </c>
      <c r="K768" s="223"/>
      <c r="L768" s="118"/>
      <c r="M768" s="166"/>
    </row>
    <row r="769" spans="1:13" ht="15" customHeight="1" thickBot="1" x14ac:dyDescent="0.3">
      <c r="A769" s="126"/>
      <c r="B769" s="129"/>
      <c r="C769" s="124"/>
      <c r="D769" s="149"/>
      <c r="E769" s="150"/>
      <c r="F769" s="150"/>
      <c r="G769" s="128"/>
      <c r="H769" s="128"/>
      <c r="I769" s="140"/>
      <c r="J769" s="112"/>
      <c r="K769" s="166"/>
      <c r="L769" s="118"/>
      <c r="M769" s="166"/>
    </row>
    <row r="770" spans="1:13" ht="15" customHeight="1" x14ac:dyDescent="0.25">
      <c r="A770" s="126"/>
      <c r="B770" s="129"/>
      <c r="C770" s="124"/>
      <c r="D770" s="149"/>
      <c r="E770" s="150"/>
      <c r="F770" s="150"/>
      <c r="G770" s="128"/>
      <c r="H770" s="128"/>
      <c r="I770" s="140"/>
      <c r="J770" s="194" t="s">
        <v>40</v>
      </c>
      <c r="K770" s="223"/>
      <c r="L770" s="118"/>
      <c r="M770" s="166"/>
    </row>
    <row r="771" spans="1:13" ht="15" customHeight="1" thickBot="1" x14ac:dyDescent="0.3">
      <c r="A771" s="126"/>
      <c r="B771" s="129"/>
      <c r="C771" s="124"/>
      <c r="D771" s="149"/>
      <c r="E771" s="150"/>
      <c r="F771" s="150"/>
      <c r="G771" s="128"/>
      <c r="H771" s="128"/>
      <c r="I771" s="140"/>
      <c r="J771" s="112"/>
      <c r="K771" s="166"/>
      <c r="L771" s="118"/>
      <c r="M771" s="166"/>
    </row>
    <row r="772" spans="1:13" ht="15" customHeight="1" x14ac:dyDescent="0.25">
      <c r="A772" s="126"/>
      <c r="B772" s="129"/>
      <c r="C772" s="124"/>
      <c r="D772" s="149"/>
      <c r="E772" s="150"/>
      <c r="F772" s="150"/>
      <c r="G772" s="128"/>
      <c r="H772" s="128"/>
      <c r="I772" s="140"/>
      <c r="J772" s="194" t="s">
        <v>41</v>
      </c>
      <c r="K772" s="223"/>
      <c r="L772" s="118"/>
      <c r="M772" s="166"/>
    </row>
    <row r="773" spans="1:13" ht="15" customHeight="1" thickBot="1" x14ac:dyDescent="0.3">
      <c r="A773" s="126"/>
      <c r="B773" s="129"/>
      <c r="C773" s="124"/>
      <c r="D773" s="149"/>
      <c r="E773" s="150"/>
      <c r="F773" s="150"/>
      <c r="G773" s="128"/>
      <c r="H773" s="128"/>
      <c r="I773" s="140"/>
      <c r="J773" s="112"/>
      <c r="K773" s="166"/>
      <c r="L773" s="118"/>
      <c r="M773" s="166"/>
    </row>
    <row r="774" spans="1:13" ht="15" customHeight="1" x14ac:dyDescent="0.25">
      <c r="A774" s="126"/>
      <c r="B774" s="129"/>
      <c r="C774" s="124"/>
      <c r="D774" s="149"/>
      <c r="E774" s="150"/>
      <c r="F774" s="150"/>
      <c r="G774" s="128"/>
      <c r="H774" s="128"/>
      <c r="I774" s="140"/>
      <c r="J774" s="194" t="s">
        <v>42</v>
      </c>
      <c r="K774" s="223"/>
      <c r="L774" s="111"/>
      <c r="M774" s="166"/>
    </row>
    <row r="775" spans="1:13" ht="15" customHeight="1" thickBot="1" x14ac:dyDescent="0.3">
      <c r="A775" s="126"/>
      <c r="B775" s="129"/>
      <c r="C775" s="124"/>
      <c r="D775" s="149"/>
      <c r="E775" s="150"/>
      <c r="F775" s="150"/>
      <c r="G775" s="128"/>
      <c r="H775" s="128"/>
      <c r="I775" s="140"/>
      <c r="J775" s="112"/>
      <c r="K775" s="166"/>
      <c r="L775" s="111"/>
      <c r="M775" s="166"/>
    </row>
    <row r="776" spans="1:13" ht="15" customHeight="1" x14ac:dyDescent="0.25">
      <c r="A776" s="126"/>
      <c r="B776" s="129"/>
      <c r="C776" s="124"/>
      <c r="D776" s="149"/>
      <c r="E776" s="150"/>
      <c r="F776" s="150"/>
      <c r="G776" s="128"/>
      <c r="H776" s="128"/>
      <c r="I776" s="140"/>
      <c r="J776" s="193" t="s">
        <v>43</v>
      </c>
      <c r="K776" s="223"/>
      <c r="L776" s="111"/>
      <c r="M776" s="166"/>
    </row>
    <row r="777" spans="1:13" ht="15" customHeight="1" x14ac:dyDescent="0.25">
      <c r="A777" s="126"/>
      <c r="B777" s="129"/>
      <c r="C777" s="124"/>
      <c r="D777" s="149"/>
      <c r="E777" s="150"/>
      <c r="F777" s="150"/>
      <c r="G777" s="128"/>
      <c r="H777" s="128"/>
      <c r="I777" s="140"/>
      <c r="J777" s="112"/>
      <c r="K777" s="166"/>
      <c r="L777" s="111"/>
      <c r="M777" s="166"/>
    </row>
    <row r="778" spans="1:13" ht="15" customHeight="1" x14ac:dyDescent="0.25">
      <c r="A778" s="126"/>
      <c r="B778" s="129"/>
      <c r="C778" s="124"/>
      <c r="D778" s="149"/>
      <c r="E778" s="150"/>
      <c r="F778" s="150"/>
      <c r="G778" s="128"/>
      <c r="H778" s="128"/>
      <c r="I778" s="140"/>
      <c r="J778" s="194" t="s">
        <v>44</v>
      </c>
      <c r="K778" s="224"/>
      <c r="L778" s="111"/>
      <c r="M778" s="166"/>
    </row>
    <row r="779" spans="1:13" ht="15" customHeight="1" x14ac:dyDescent="0.25">
      <c r="A779" s="126"/>
      <c r="B779" s="129"/>
      <c r="C779" s="124"/>
      <c r="D779" s="149"/>
      <c r="E779" s="150"/>
      <c r="F779" s="150"/>
      <c r="G779" s="128"/>
      <c r="H779" s="128"/>
      <c r="I779" s="140"/>
      <c r="J779" s="112"/>
      <c r="K779" s="166"/>
      <c r="L779" s="111"/>
      <c r="M779" s="166"/>
    </row>
    <row r="780" spans="1:13" ht="15" customHeight="1" x14ac:dyDescent="0.25">
      <c r="A780" s="130"/>
      <c r="B780" s="129"/>
      <c r="C780" s="124"/>
      <c r="D780" s="149"/>
      <c r="E780" s="150"/>
      <c r="F780" s="150"/>
      <c r="G780" s="128"/>
      <c r="H780" s="128"/>
      <c r="I780" s="140"/>
      <c r="J780" s="194" t="s">
        <v>45</v>
      </c>
      <c r="K780" s="224"/>
      <c r="L780" s="111"/>
      <c r="M780" s="166"/>
    </row>
    <row r="781" spans="1:13" ht="5.0999999999999996" customHeight="1" x14ac:dyDescent="0.25">
      <c r="A781" s="140"/>
      <c r="B781" s="140"/>
      <c r="C781" s="140"/>
      <c r="D781" s="140"/>
      <c r="E781" s="140"/>
      <c r="F781" s="140"/>
      <c r="G781" s="140"/>
      <c r="H781" s="140"/>
      <c r="I781" s="140"/>
      <c r="J781" s="112"/>
      <c r="K781" s="166"/>
      <c r="L781" s="111"/>
      <c r="M781" s="191"/>
    </row>
    <row r="782" spans="1:13" ht="16.5" thickBot="1" x14ac:dyDescent="0.3">
      <c r="A782" s="113"/>
      <c r="B782" s="114"/>
      <c r="C782" s="115"/>
      <c r="D782" s="115"/>
      <c r="E782" s="116"/>
      <c r="F782" s="116"/>
      <c r="G782" s="164"/>
      <c r="H782" s="120"/>
      <c r="I782" s="140"/>
      <c r="J782" s="120"/>
      <c r="K782" s="121"/>
      <c r="L782" s="221"/>
      <c r="M782" s="191"/>
    </row>
    <row r="783" spans="1:13" ht="5.0999999999999996" customHeight="1" thickBot="1" x14ac:dyDescent="0.3">
      <c r="A783" s="217"/>
      <c r="B783" s="212"/>
      <c r="C783" s="213"/>
      <c r="D783" s="213"/>
      <c r="E783" s="214"/>
      <c r="F783" s="214"/>
      <c r="G783" s="215"/>
      <c r="H783" s="218"/>
      <c r="I783" s="140"/>
      <c r="J783" s="218"/>
      <c r="K783" s="220"/>
      <c r="L783" s="221"/>
      <c r="M783" s="191"/>
    </row>
    <row r="784" spans="1:13" ht="15" customHeight="1" thickBot="1" x14ac:dyDescent="0.3">
      <c r="A784" s="125"/>
      <c r="B784" s="148"/>
      <c r="C784" s="124"/>
      <c r="D784" s="149"/>
      <c r="E784" s="150"/>
      <c r="F784" s="150"/>
      <c r="G784" s="127"/>
      <c r="H784" s="189"/>
      <c r="I784" s="140"/>
      <c r="J784" s="209"/>
      <c r="K784" s="223"/>
      <c r="L784" s="112"/>
      <c r="M784" s="166"/>
    </row>
    <row r="785" spans="1:13" ht="15" customHeight="1" thickBot="1" x14ac:dyDescent="0.3">
      <c r="A785" s="126"/>
      <c r="B785" s="129"/>
      <c r="C785" s="124"/>
      <c r="D785" s="149"/>
      <c r="E785" s="150"/>
      <c r="F785" s="150"/>
      <c r="G785" s="128"/>
      <c r="H785" s="128"/>
      <c r="I785" s="140"/>
      <c r="J785" s="112"/>
      <c r="K785" s="166"/>
      <c r="L785" s="118"/>
      <c r="M785" s="166"/>
    </row>
    <row r="786" spans="1:13" ht="15" customHeight="1" x14ac:dyDescent="0.25">
      <c r="A786" s="126"/>
      <c r="B786" s="129"/>
      <c r="C786" s="124"/>
      <c r="D786" s="149"/>
      <c r="E786" s="150"/>
      <c r="F786" s="150"/>
      <c r="G786" s="128"/>
      <c r="H786" s="128"/>
      <c r="I786" s="140"/>
      <c r="J786" s="194" t="s">
        <v>39</v>
      </c>
      <c r="K786" s="223"/>
      <c r="L786" s="118"/>
      <c r="M786" s="166"/>
    </row>
    <row r="787" spans="1:13" ht="15" customHeight="1" thickBot="1" x14ac:dyDescent="0.3">
      <c r="A787" s="126"/>
      <c r="B787" s="129"/>
      <c r="C787" s="124"/>
      <c r="D787" s="149"/>
      <c r="E787" s="150"/>
      <c r="F787" s="150"/>
      <c r="G787" s="128"/>
      <c r="H787" s="128"/>
      <c r="I787" s="140"/>
      <c r="J787" s="112"/>
      <c r="K787" s="166"/>
      <c r="L787" s="118"/>
      <c r="M787" s="166"/>
    </row>
    <row r="788" spans="1:13" ht="15" customHeight="1" x14ac:dyDescent="0.25">
      <c r="A788" s="126"/>
      <c r="B788" s="129"/>
      <c r="C788" s="124"/>
      <c r="D788" s="149"/>
      <c r="E788" s="150"/>
      <c r="F788" s="150"/>
      <c r="G788" s="128"/>
      <c r="H788" s="128"/>
      <c r="I788" s="140"/>
      <c r="J788" s="194" t="s">
        <v>40</v>
      </c>
      <c r="K788" s="223"/>
      <c r="L788" s="118"/>
      <c r="M788" s="166"/>
    </row>
    <row r="789" spans="1:13" ht="15" customHeight="1" thickBot="1" x14ac:dyDescent="0.3">
      <c r="A789" s="126"/>
      <c r="B789" s="129"/>
      <c r="C789" s="124"/>
      <c r="D789" s="149"/>
      <c r="E789" s="150"/>
      <c r="F789" s="150"/>
      <c r="G789" s="128"/>
      <c r="H789" s="128"/>
      <c r="I789" s="140"/>
      <c r="J789" s="112"/>
      <c r="K789" s="166"/>
      <c r="L789" s="118"/>
      <c r="M789" s="166"/>
    </row>
    <row r="790" spans="1:13" ht="15" customHeight="1" x14ac:dyDescent="0.25">
      <c r="A790" s="126"/>
      <c r="B790" s="129"/>
      <c r="C790" s="124"/>
      <c r="D790" s="149"/>
      <c r="E790" s="150"/>
      <c r="F790" s="150"/>
      <c r="G790" s="128"/>
      <c r="H790" s="128"/>
      <c r="I790" s="140"/>
      <c r="J790" s="194" t="s">
        <v>41</v>
      </c>
      <c r="K790" s="223"/>
      <c r="L790" s="118"/>
      <c r="M790" s="166"/>
    </row>
    <row r="791" spans="1:13" ht="15" customHeight="1" thickBot="1" x14ac:dyDescent="0.3">
      <c r="A791" s="126"/>
      <c r="B791" s="129"/>
      <c r="C791" s="124"/>
      <c r="D791" s="149"/>
      <c r="E791" s="150"/>
      <c r="F791" s="150"/>
      <c r="G791" s="128"/>
      <c r="H791" s="128"/>
      <c r="I791" s="140"/>
      <c r="J791" s="112"/>
      <c r="K791" s="166"/>
      <c r="L791" s="118"/>
      <c r="M791" s="166"/>
    </row>
    <row r="792" spans="1:13" ht="15" customHeight="1" x14ac:dyDescent="0.25">
      <c r="A792" s="126"/>
      <c r="B792" s="129"/>
      <c r="C792" s="124"/>
      <c r="D792" s="149"/>
      <c r="E792" s="150"/>
      <c r="F792" s="150"/>
      <c r="G792" s="128"/>
      <c r="H792" s="128"/>
      <c r="I792" s="140"/>
      <c r="J792" s="194" t="s">
        <v>42</v>
      </c>
      <c r="K792" s="223"/>
      <c r="L792" s="111"/>
      <c r="M792" s="166"/>
    </row>
    <row r="793" spans="1:13" ht="15" customHeight="1" thickBot="1" x14ac:dyDescent="0.3">
      <c r="A793" s="126"/>
      <c r="B793" s="129"/>
      <c r="C793" s="124"/>
      <c r="D793" s="149"/>
      <c r="E793" s="150"/>
      <c r="F793" s="150"/>
      <c r="G793" s="128"/>
      <c r="H793" s="128"/>
      <c r="I793" s="140"/>
      <c r="J793" s="112"/>
      <c r="K793" s="166"/>
      <c r="L793" s="111"/>
      <c r="M793" s="166"/>
    </row>
    <row r="794" spans="1:13" ht="15" customHeight="1" x14ac:dyDescent="0.25">
      <c r="A794" s="126"/>
      <c r="B794" s="129"/>
      <c r="C794" s="124"/>
      <c r="D794" s="149"/>
      <c r="E794" s="150"/>
      <c r="F794" s="150"/>
      <c r="G794" s="128"/>
      <c r="H794" s="128"/>
      <c r="I794" s="140"/>
      <c r="J794" s="193" t="s">
        <v>43</v>
      </c>
      <c r="K794" s="223"/>
      <c r="L794" s="111"/>
      <c r="M794" s="166"/>
    </row>
    <row r="795" spans="1:13" ht="15" customHeight="1" x14ac:dyDescent="0.25">
      <c r="A795" s="126"/>
      <c r="B795" s="129"/>
      <c r="C795" s="124"/>
      <c r="D795" s="149"/>
      <c r="E795" s="150"/>
      <c r="F795" s="150"/>
      <c r="G795" s="128"/>
      <c r="H795" s="128"/>
      <c r="I795" s="140"/>
      <c r="J795" s="112"/>
      <c r="K795" s="166"/>
      <c r="L795" s="111"/>
      <c r="M795" s="166"/>
    </row>
    <row r="796" spans="1:13" ht="15" customHeight="1" x14ac:dyDescent="0.25">
      <c r="A796" s="126"/>
      <c r="B796" s="129"/>
      <c r="C796" s="124"/>
      <c r="D796" s="149"/>
      <c r="E796" s="150"/>
      <c r="F796" s="150"/>
      <c r="G796" s="128"/>
      <c r="H796" s="128"/>
      <c r="I796" s="140"/>
      <c r="J796" s="194" t="s">
        <v>44</v>
      </c>
      <c r="K796" s="224"/>
      <c r="L796" s="111"/>
      <c r="M796" s="166"/>
    </row>
    <row r="797" spans="1:13" ht="15" customHeight="1" x14ac:dyDescent="0.25">
      <c r="A797" s="126"/>
      <c r="B797" s="129"/>
      <c r="C797" s="124"/>
      <c r="D797" s="149"/>
      <c r="E797" s="150"/>
      <c r="F797" s="150"/>
      <c r="G797" s="128"/>
      <c r="H797" s="128"/>
      <c r="I797" s="140"/>
      <c r="J797" s="112"/>
      <c r="K797" s="166"/>
      <c r="L797" s="111"/>
      <c r="M797" s="166"/>
    </row>
    <row r="798" spans="1:13" ht="15" customHeight="1" x14ac:dyDescent="0.25">
      <c r="A798" s="130"/>
      <c r="B798" s="129"/>
      <c r="C798" s="124"/>
      <c r="D798" s="149"/>
      <c r="E798" s="150"/>
      <c r="F798" s="150"/>
      <c r="G798" s="128"/>
      <c r="H798" s="128"/>
      <c r="I798" s="140"/>
      <c r="J798" s="194" t="s">
        <v>45</v>
      </c>
      <c r="K798" s="224"/>
      <c r="L798" s="111"/>
      <c r="M798" s="166"/>
    </row>
    <row r="799" spans="1:13" ht="5.0999999999999996" customHeight="1" x14ac:dyDescent="0.25">
      <c r="A799" s="140"/>
      <c r="B799" s="140"/>
      <c r="C799" s="140"/>
      <c r="D799" s="140"/>
      <c r="E799" s="140"/>
      <c r="F799" s="140"/>
      <c r="G799" s="140"/>
      <c r="H799" s="140"/>
      <c r="I799" s="140"/>
      <c r="J799" s="112"/>
      <c r="K799" s="166"/>
      <c r="L799" s="111"/>
      <c r="M799" s="191"/>
    </row>
    <row r="800" spans="1:13" ht="16.5" thickBot="1" x14ac:dyDescent="0.3">
      <c r="A800" s="113"/>
      <c r="B800" s="114"/>
      <c r="C800" s="115"/>
      <c r="D800" s="115"/>
      <c r="E800" s="116"/>
      <c r="F800" s="116"/>
      <c r="G800" s="164"/>
      <c r="H800" s="120"/>
      <c r="I800" s="140"/>
      <c r="J800" s="120"/>
      <c r="K800" s="121"/>
      <c r="L800" s="221"/>
      <c r="M800" s="191"/>
    </row>
    <row r="801" spans="1:13" ht="5.0999999999999996" customHeight="1" thickBot="1" x14ac:dyDescent="0.3">
      <c r="A801" s="217"/>
      <c r="B801" s="212"/>
      <c r="C801" s="213"/>
      <c r="D801" s="213"/>
      <c r="E801" s="214"/>
      <c r="F801" s="214"/>
      <c r="G801" s="215"/>
      <c r="H801" s="218"/>
      <c r="I801" s="140"/>
      <c r="J801" s="218"/>
      <c r="K801" s="220"/>
      <c r="L801" s="221"/>
      <c r="M801" s="191"/>
    </row>
    <row r="802" spans="1:13" ht="15" customHeight="1" thickBot="1" x14ac:dyDescent="0.3">
      <c r="A802" s="125"/>
      <c r="B802" s="148"/>
      <c r="C802" s="124"/>
      <c r="D802" s="149"/>
      <c r="E802" s="150"/>
      <c r="F802" s="150"/>
      <c r="G802" s="127"/>
      <c r="H802" s="189"/>
      <c r="I802" s="140"/>
      <c r="J802" s="209"/>
      <c r="K802" s="223"/>
      <c r="L802" s="112"/>
      <c r="M802" s="166"/>
    </row>
    <row r="803" spans="1:13" ht="15" customHeight="1" thickBot="1" x14ac:dyDescent="0.3">
      <c r="A803" s="126"/>
      <c r="B803" s="129"/>
      <c r="C803" s="124"/>
      <c r="D803" s="149"/>
      <c r="E803" s="150"/>
      <c r="F803" s="150"/>
      <c r="G803" s="128"/>
      <c r="H803" s="128"/>
      <c r="I803" s="140"/>
      <c r="J803" s="112"/>
      <c r="K803" s="166"/>
      <c r="L803" s="118"/>
      <c r="M803" s="166"/>
    </row>
    <row r="804" spans="1:13" ht="15" customHeight="1" x14ac:dyDescent="0.25">
      <c r="A804" s="126"/>
      <c r="B804" s="129"/>
      <c r="C804" s="124"/>
      <c r="D804" s="149"/>
      <c r="E804" s="150"/>
      <c r="F804" s="150"/>
      <c r="G804" s="128"/>
      <c r="H804" s="128"/>
      <c r="I804" s="140"/>
      <c r="J804" s="194" t="s">
        <v>39</v>
      </c>
      <c r="K804" s="223"/>
      <c r="L804" s="118"/>
      <c r="M804" s="166"/>
    </row>
    <row r="805" spans="1:13" ht="15" customHeight="1" thickBot="1" x14ac:dyDescent="0.3">
      <c r="A805" s="126"/>
      <c r="B805" s="129"/>
      <c r="C805" s="124"/>
      <c r="D805" s="149"/>
      <c r="E805" s="150"/>
      <c r="F805" s="150"/>
      <c r="G805" s="128"/>
      <c r="H805" s="128"/>
      <c r="I805" s="140"/>
      <c r="J805" s="112"/>
      <c r="K805" s="166"/>
      <c r="L805" s="118"/>
      <c r="M805" s="166"/>
    </row>
    <row r="806" spans="1:13" ht="15" customHeight="1" x14ac:dyDescent="0.25">
      <c r="A806" s="126"/>
      <c r="B806" s="129"/>
      <c r="C806" s="124"/>
      <c r="D806" s="149"/>
      <c r="E806" s="150"/>
      <c r="F806" s="150"/>
      <c r="G806" s="128"/>
      <c r="H806" s="128"/>
      <c r="I806" s="140"/>
      <c r="J806" s="194" t="s">
        <v>40</v>
      </c>
      <c r="K806" s="223"/>
      <c r="L806" s="118"/>
      <c r="M806" s="166"/>
    </row>
    <row r="807" spans="1:13" ht="15" customHeight="1" thickBot="1" x14ac:dyDescent="0.3">
      <c r="A807" s="126"/>
      <c r="B807" s="129"/>
      <c r="C807" s="124"/>
      <c r="D807" s="149"/>
      <c r="E807" s="150"/>
      <c r="F807" s="150"/>
      <c r="G807" s="128"/>
      <c r="H807" s="128"/>
      <c r="I807" s="140"/>
      <c r="J807" s="112"/>
      <c r="K807" s="166"/>
      <c r="L807" s="118"/>
      <c r="M807" s="166"/>
    </row>
    <row r="808" spans="1:13" ht="15" customHeight="1" x14ac:dyDescent="0.25">
      <c r="A808" s="126"/>
      <c r="B808" s="129"/>
      <c r="C808" s="124"/>
      <c r="D808" s="149"/>
      <c r="E808" s="150"/>
      <c r="F808" s="150"/>
      <c r="G808" s="128"/>
      <c r="H808" s="128"/>
      <c r="I808" s="140"/>
      <c r="J808" s="194" t="s">
        <v>41</v>
      </c>
      <c r="K808" s="223"/>
      <c r="L808" s="118"/>
      <c r="M808" s="166"/>
    </row>
    <row r="809" spans="1:13" ht="15" customHeight="1" thickBot="1" x14ac:dyDescent="0.3">
      <c r="A809" s="126"/>
      <c r="B809" s="129"/>
      <c r="C809" s="124"/>
      <c r="D809" s="149"/>
      <c r="E809" s="150"/>
      <c r="F809" s="150"/>
      <c r="G809" s="128"/>
      <c r="H809" s="128"/>
      <c r="I809" s="140"/>
      <c r="J809" s="112"/>
      <c r="K809" s="166"/>
      <c r="L809" s="118"/>
      <c r="M809" s="166"/>
    </row>
    <row r="810" spans="1:13" ht="15" customHeight="1" x14ac:dyDescent="0.25">
      <c r="A810" s="126"/>
      <c r="B810" s="129"/>
      <c r="C810" s="124"/>
      <c r="D810" s="149"/>
      <c r="E810" s="150"/>
      <c r="F810" s="150"/>
      <c r="G810" s="128"/>
      <c r="H810" s="128"/>
      <c r="I810" s="140"/>
      <c r="J810" s="194" t="s">
        <v>42</v>
      </c>
      <c r="K810" s="223"/>
      <c r="L810" s="111"/>
      <c r="M810" s="166"/>
    </row>
    <row r="811" spans="1:13" ht="15" customHeight="1" thickBot="1" x14ac:dyDescent="0.3">
      <c r="A811" s="126"/>
      <c r="B811" s="129"/>
      <c r="C811" s="124"/>
      <c r="D811" s="149"/>
      <c r="E811" s="150"/>
      <c r="F811" s="150"/>
      <c r="G811" s="128"/>
      <c r="H811" s="128"/>
      <c r="I811" s="140"/>
      <c r="J811" s="112"/>
      <c r="K811" s="166"/>
      <c r="L811" s="111"/>
      <c r="M811" s="166"/>
    </row>
    <row r="812" spans="1:13" ht="15" customHeight="1" x14ac:dyDescent="0.25">
      <c r="A812" s="126"/>
      <c r="B812" s="129"/>
      <c r="C812" s="124"/>
      <c r="D812" s="149"/>
      <c r="E812" s="150"/>
      <c r="F812" s="150"/>
      <c r="G812" s="128"/>
      <c r="H812" s="128"/>
      <c r="I812" s="140"/>
      <c r="J812" s="193" t="s">
        <v>43</v>
      </c>
      <c r="K812" s="223"/>
      <c r="L812" s="111"/>
      <c r="M812" s="166"/>
    </row>
    <row r="813" spans="1:13" ht="15" customHeight="1" x14ac:dyDescent="0.25">
      <c r="A813" s="126"/>
      <c r="B813" s="129"/>
      <c r="C813" s="124"/>
      <c r="D813" s="149"/>
      <c r="E813" s="150"/>
      <c r="F813" s="150"/>
      <c r="G813" s="128"/>
      <c r="H813" s="128"/>
      <c r="I813" s="140"/>
      <c r="J813" s="112"/>
      <c r="K813" s="166"/>
      <c r="L813" s="111"/>
      <c r="M813" s="166"/>
    </row>
    <row r="814" spans="1:13" ht="15" customHeight="1" x14ac:dyDescent="0.25">
      <c r="A814" s="126"/>
      <c r="B814" s="129"/>
      <c r="C814" s="124"/>
      <c r="D814" s="149"/>
      <c r="E814" s="150"/>
      <c r="F814" s="150"/>
      <c r="G814" s="128"/>
      <c r="H814" s="128"/>
      <c r="I814" s="140"/>
      <c r="J814" s="194" t="s">
        <v>44</v>
      </c>
      <c r="K814" s="224"/>
      <c r="L814" s="111"/>
      <c r="M814" s="166"/>
    </row>
    <row r="815" spans="1:13" ht="15" customHeight="1" x14ac:dyDescent="0.25">
      <c r="A815" s="126"/>
      <c r="B815" s="129"/>
      <c r="C815" s="124"/>
      <c r="D815" s="149"/>
      <c r="E815" s="150"/>
      <c r="F815" s="150"/>
      <c r="G815" s="128"/>
      <c r="H815" s="128"/>
      <c r="I815" s="140"/>
      <c r="J815" s="112"/>
      <c r="K815" s="166"/>
      <c r="L815" s="111"/>
      <c r="M815" s="166"/>
    </row>
    <row r="816" spans="1:13" ht="15" customHeight="1" x14ac:dyDescent="0.25">
      <c r="A816" s="130"/>
      <c r="B816" s="129"/>
      <c r="C816" s="124"/>
      <c r="D816" s="149"/>
      <c r="E816" s="150"/>
      <c r="F816" s="150"/>
      <c r="G816" s="128"/>
      <c r="H816" s="128"/>
      <c r="I816" s="140"/>
      <c r="J816" s="194" t="s">
        <v>45</v>
      </c>
      <c r="K816" s="224"/>
      <c r="L816" s="111"/>
      <c r="M816" s="166"/>
    </row>
    <row r="817" spans="1:13" ht="5.0999999999999996" customHeight="1" x14ac:dyDescent="0.25">
      <c r="A817" s="140"/>
      <c r="B817" s="140"/>
      <c r="C817" s="140"/>
      <c r="D817" s="140"/>
      <c r="E817" s="140"/>
      <c r="F817" s="140"/>
      <c r="G817" s="140"/>
      <c r="H817" s="140"/>
      <c r="I817" s="140"/>
      <c r="J817" s="112"/>
      <c r="K817" s="166"/>
      <c r="L817" s="111"/>
      <c r="M817" s="191"/>
    </row>
    <row r="818" spans="1:13" ht="16.5" thickBot="1" x14ac:dyDescent="0.3">
      <c r="A818" s="113"/>
      <c r="B818" s="114"/>
      <c r="C818" s="115"/>
      <c r="D818" s="115"/>
      <c r="E818" s="116"/>
      <c r="F818" s="116"/>
      <c r="G818" s="164"/>
      <c r="H818" s="120"/>
      <c r="I818" s="140"/>
      <c r="J818" s="120"/>
      <c r="K818" s="121"/>
      <c r="L818" s="221"/>
      <c r="M818" s="191"/>
    </row>
    <row r="819" spans="1:13" ht="5.0999999999999996" customHeight="1" thickBot="1" x14ac:dyDescent="0.3">
      <c r="A819" s="217"/>
      <c r="B819" s="212"/>
      <c r="C819" s="213"/>
      <c r="D819" s="213"/>
      <c r="E819" s="214"/>
      <c r="F819" s="214"/>
      <c r="G819" s="215"/>
      <c r="H819" s="218"/>
      <c r="I819" s="140"/>
      <c r="J819" s="218"/>
      <c r="K819" s="220"/>
      <c r="L819" s="221"/>
      <c r="M819" s="191"/>
    </row>
    <row r="820" spans="1:13" ht="15" customHeight="1" thickBot="1" x14ac:dyDescent="0.3">
      <c r="A820" s="125"/>
      <c r="B820" s="148"/>
      <c r="C820" s="124"/>
      <c r="D820" s="149"/>
      <c r="E820" s="150"/>
      <c r="F820" s="150"/>
      <c r="G820" s="127"/>
      <c r="H820" s="189"/>
      <c r="I820" s="140"/>
      <c r="J820" s="209"/>
      <c r="K820" s="223"/>
      <c r="L820" s="112"/>
      <c r="M820" s="166"/>
    </row>
    <row r="821" spans="1:13" ht="15" customHeight="1" thickBot="1" x14ac:dyDescent="0.3">
      <c r="A821" s="126"/>
      <c r="B821" s="129"/>
      <c r="C821" s="124"/>
      <c r="D821" s="149"/>
      <c r="E821" s="150"/>
      <c r="F821" s="150"/>
      <c r="G821" s="128"/>
      <c r="H821" s="128"/>
      <c r="I821" s="140"/>
      <c r="J821" s="112"/>
      <c r="K821" s="166"/>
      <c r="L821" s="118"/>
      <c r="M821" s="166"/>
    </row>
    <row r="822" spans="1:13" ht="15" customHeight="1" x14ac:dyDescent="0.25">
      <c r="A822" s="126"/>
      <c r="B822" s="129"/>
      <c r="C822" s="124"/>
      <c r="D822" s="149"/>
      <c r="E822" s="150"/>
      <c r="F822" s="150"/>
      <c r="G822" s="128"/>
      <c r="H822" s="128"/>
      <c r="I822" s="140"/>
      <c r="J822" s="194" t="s">
        <v>39</v>
      </c>
      <c r="K822" s="223"/>
      <c r="L822" s="118"/>
      <c r="M822" s="166"/>
    </row>
    <row r="823" spans="1:13" ht="15" customHeight="1" thickBot="1" x14ac:dyDescent="0.3">
      <c r="A823" s="126"/>
      <c r="B823" s="129"/>
      <c r="C823" s="124"/>
      <c r="D823" s="149"/>
      <c r="E823" s="150"/>
      <c r="F823" s="150"/>
      <c r="G823" s="128"/>
      <c r="H823" s="128"/>
      <c r="I823" s="140"/>
      <c r="J823" s="112"/>
      <c r="K823" s="166"/>
      <c r="L823" s="118"/>
      <c r="M823" s="166"/>
    </row>
    <row r="824" spans="1:13" ht="15" customHeight="1" x14ac:dyDescent="0.25">
      <c r="A824" s="126"/>
      <c r="B824" s="129"/>
      <c r="C824" s="124"/>
      <c r="D824" s="149"/>
      <c r="E824" s="150"/>
      <c r="F824" s="150"/>
      <c r="G824" s="128"/>
      <c r="H824" s="128"/>
      <c r="I824" s="140"/>
      <c r="J824" s="194" t="s">
        <v>40</v>
      </c>
      <c r="K824" s="223"/>
      <c r="L824" s="118"/>
      <c r="M824" s="166"/>
    </row>
    <row r="825" spans="1:13" ht="15" customHeight="1" thickBot="1" x14ac:dyDescent="0.3">
      <c r="A825" s="126"/>
      <c r="B825" s="129"/>
      <c r="C825" s="124"/>
      <c r="D825" s="149"/>
      <c r="E825" s="150"/>
      <c r="F825" s="150"/>
      <c r="G825" s="128"/>
      <c r="H825" s="128"/>
      <c r="I825" s="140"/>
      <c r="J825" s="112"/>
      <c r="K825" s="166"/>
      <c r="L825" s="118"/>
      <c r="M825" s="166"/>
    </row>
    <row r="826" spans="1:13" ht="15" customHeight="1" x14ac:dyDescent="0.25">
      <c r="A826" s="126"/>
      <c r="B826" s="129"/>
      <c r="C826" s="124"/>
      <c r="D826" s="149"/>
      <c r="E826" s="150"/>
      <c r="F826" s="150"/>
      <c r="G826" s="128"/>
      <c r="H826" s="128"/>
      <c r="I826" s="140"/>
      <c r="J826" s="194" t="s">
        <v>41</v>
      </c>
      <c r="K826" s="223"/>
      <c r="L826" s="118"/>
      <c r="M826" s="166"/>
    </row>
    <row r="827" spans="1:13" ht="15" customHeight="1" thickBot="1" x14ac:dyDescent="0.3">
      <c r="A827" s="126"/>
      <c r="B827" s="129"/>
      <c r="C827" s="124"/>
      <c r="D827" s="149"/>
      <c r="E827" s="150"/>
      <c r="F827" s="150"/>
      <c r="G827" s="128"/>
      <c r="H827" s="128"/>
      <c r="I827" s="140"/>
      <c r="J827" s="112"/>
      <c r="K827" s="166"/>
      <c r="L827" s="118"/>
      <c r="M827" s="166"/>
    </row>
    <row r="828" spans="1:13" ht="15" customHeight="1" x14ac:dyDescent="0.25">
      <c r="A828" s="126"/>
      <c r="B828" s="129"/>
      <c r="C828" s="124"/>
      <c r="D828" s="149"/>
      <c r="E828" s="150"/>
      <c r="F828" s="150"/>
      <c r="G828" s="128"/>
      <c r="H828" s="128"/>
      <c r="I828" s="140"/>
      <c r="J828" s="194" t="s">
        <v>42</v>
      </c>
      <c r="K828" s="223"/>
      <c r="L828" s="111"/>
      <c r="M828" s="166"/>
    </row>
    <row r="829" spans="1:13" ht="15" customHeight="1" thickBot="1" x14ac:dyDescent="0.3">
      <c r="A829" s="126"/>
      <c r="B829" s="129"/>
      <c r="C829" s="124"/>
      <c r="D829" s="149"/>
      <c r="E829" s="150"/>
      <c r="F829" s="150"/>
      <c r="G829" s="128"/>
      <c r="H829" s="128"/>
      <c r="I829" s="140"/>
      <c r="J829" s="112"/>
      <c r="K829" s="166"/>
      <c r="L829" s="111"/>
      <c r="M829" s="166"/>
    </row>
    <row r="830" spans="1:13" ht="15" customHeight="1" x14ac:dyDescent="0.25">
      <c r="A830" s="126"/>
      <c r="B830" s="129"/>
      <c r="C830" s="124"/>
      <c r="D830" s="149"/>
      <c r="E830" s="150"/>
      <c r="F830" s="150"/>
      <c r="G830" s="128"/>
      <c r="H830" s="128"/>
      <c r="I830" s="140"/>
      <c r="J830" s="193" t="s">
        <v>43</v>
      </c>
      <c r="K830" s="223"/>
      <c r="L830" s="111"/>
      <c r="M830" s="166"/>
    </row>
    <row r="831" spans="1:13" ht="15" customHeight="1" x14ac:dyDescent="0.25">
      <c r="A831" s="126"/>
      <c r="B831" s="129"/>
      <c r="C831" s="124"/>
      <c r="D831" s="149"/>
      <c r="E831" s="150"/>
      <c r="F831" s="150"/>
      <c r="G831" s="128"/>
      <c r="H831" s="128"/>
      <c r="I831" s="140"/>
      <c r="J831" s="112"/>
      <c r="K831" s="166"/>
      <c r="L831" s="111"/>
      <c r="M831" s="166"/>
    </row>
    <row r="832" spans="1:13" ht="15" customHeight="1" x14ac:dyDescent="0.25">
      <c r="A832" s="126"/>
      <c r="B832" s="129"/>
      <c r="C832" s="124"/>
      <c r="D832" s="149"/>
      <c r="E832" s="150"/>
      <c r="F832" s="150"/>
      <c r="G832" s="128"/>
      <c r="H832" s="128"/>
      <c r="I832" s="140"/>
      <c r="J832" s="194" t="s">
        <v>44</v>
      </c>
      <c r="K832" s="224"/>
      <c r="L832" s="111"/>
      <c r="M832" s="166"/>
    </row>
    <row r="833" spans="1:13" ht="15" customHeight="1" x14ac:dyDescent="0.25">
      <c r="A833" s="126"/>
      <c r="B833" s="129"/>
      <c r="C833" s="124"/>
      <c r="D833" s="149"/>
      <c r="E833" s="150"/>
      <c r="F833" s="150"/>
      <c r="G833" s="128"/>
      <c r="H833" s="128"/>
      <c r="I833" s="140"/>
      <c r="J833" s="112"/>
      <c r="K833" s="166"/>
      <c r="L833" s="111"/>
      <c r="M833" s="166"/>
    </row>
    <row r="834" spans="1:13" ht="15" customHeight="1" x14ac:dyDescent="0.25">
      <c r="A834" s="130"/>
      <c r="B834" s="129"/>
      <c r="C834" s="124"/>
      <c r="D834" s="149"/>
      <c r="E834" s="150"/>
      <c r="F834" s="150"/>
      <c r="G834" s="128"/>
      <c r="H834" s="128"/>
      <c r="I834" s="140"/>
      <c r="J834" s="194" t="s">
        <v>45</v>
      </c>
      <c r="K834" s="224"/>
      <c r="L834" s="111"/>
      <c r="M834" s="166"/>
    </row>
    <row r="835" spans="1:13" ht="5.0999999999999996" customHeight="1" x14ac:dyDescent="0.25">
      <c r="A835" s="140"/>
      <c r="B835" s="140"/>
      <c r="C835" s="140"/>
      <c r="D835" s="140"/>
      <c r="E835" s="140"/>
      <c r="F835" s="140"/>
      <c r="G835" s="140"/>
      <c r="H835" s="140"/>
      <c r="I835" s="140"/>
      <c r="J835" s="112"/>
      <c r="K835" s="166"/>
      <c r="L835" s="111"/>
      <c r="M835" s="191"/>
    </row>
    <row r="836" spans="1:13" ht="16.5" thickBot="1" x14ac:dyDescent="0.3">
      <c r="A836" s="113"/>
      <c r="B836" s="114"/>
      <c r="C836" s="115"/>
      <c r="D836" s="115"/>
      <c r="E836" s="116"/>
      <c r="F836" s="116"/>
      <c r="G836" s="164"/>
      <c r="H836" s="120"/>
      <c r="I836" s="140"/>
      <c r="J836" s="120"/>
      <c r="K836" s="121"/>
      <c r="L836" s="221"/>
      <c r="M836" s="191"/>
    </row>
    <row r="837" spans="1:13" ht="5.0999999999999996" customHeight="1" thickBot="1" x14ac:dyDescent="0.3">
      <c r="A837" s="217"/>
      <c r="B837" s="212"/>
      <c r="C837" s="213"/>
      <c r="D837" s="213"/>
      <c r="E837" s="214"/>
      <c r="F837" s="214"/>
      <c r="G837" s="215"/>
      <c r="H837" s="218"/>
      <c r="I837" s="140"/>
      <c r="J837" s="218"/>
      <c r="K837" s="220"/>
      <c r="L837" s="221"/>
      <c r="M837" s="191"/>
    </row>
    <row r="838" spans="1:13" ht="15" customHeight="1" thickBot="1" x14ac:dyDescent="0.3">
      <c r="A838" s="125"/>
      <c r="B838" s="148"/>
      <c r="C838" s="124"/>
      <c r="D838" s="149"/>
      <c r="E838" s="150"/>
      <c r="F838" s="150"/>
      <c r="G838" s="127"/>
      <c r="H838" s="189"/>
      <c r="I838" s="140"/>
      <c r="J838" s="209"/>
      <c r="K838" s="223"/>
      <c r="L838" s="112"/>
      <c r="M838" s="166"/>
    </row>
    <row r="839" spans="1:13" ht="15" customHeight="1" thickBot="1" x14ac:dyDescent="0.3">
      <c r="A839" s="126"/>
      <c r="B839" s="129"/>
      <c r="C839" s="124"/>
      <c r="D839" s="149"/>
      <c r="E839" s="150"/>
      <c r="F839" s="150"/>
      <c r="G839" s="128"/>
      <c r="H839" s="128"/>
      <c r="I839" s="140"/>
      <c r="J839" s="112"/>
      <c r="K839" s="166"/>
      <c r="L839" s="118"/>
      <c r="M839" s="166"/>
    </row>
    <row r="840" spans="1:13" ht="15" customHeight="1" x14ac:dyDescent="0.25">
      <c r="A840" s="126"/>
      <c r="B840" s="129"/>
      <c r="C840" s="124"/>
      <c r="D840" s="149"/>
      <c r="E840" s="150"/>
      <c r="F840" s="150"/>
      <c r="G840" s="128"/>
      <c r="H840" s="128"/>
      <c r="I840" s="140"/>
      <c r="J840" s="194" t="s">
        <v>39</v>
      </c>
      <c r="K840" s="223"/>
      <c r="L840" s="118"/>
      <c r="M840" s="166"/>
    </row>
    <row r="841" spans="1:13" ht="15" customHeight="1" thickBot="1" x14ac:dyDescent="0.3">
      <c r="A841" s="126"/>
      <c r="B841" s="129"/>
      <c r="C841" s="124"/>
      <c r="D841" s="149"/>
      <c r="E841" s="150"/>
      <c r="F841" s="150"/>
      <c r="G841" s="128"/>
      <c r="H841" s="128"/>
      <c r="I841" s="140"/>
      <c r="J841" s="112"/>
      <c r="K841" s="166"/>
      <c r="L841" s="118"/>
      <c r="M841" s="166"/>
    </row>
    <row r="842" spans="1:13" ht="15" customHeight="1" x14ac:dyDescent="0.25">
      <c r="A842" s="126"/>
      <c r="B842" s="129"/>
      <c r="C842" s="124"/>
      <c r="D842" s="149"/>
      <c r="E842" s="150"/>
      <c r="F842" s="150"/>
      <c r="G842" s="128"/>
      <c r="H842" s="128"/>
      <c r="I842" s="140"/>
      <c r="J842" s="194" t="s">
        <v>40</v>
      </c>
      <c r="K842" s="223"/>
      <c r="L842" s="118"/>
      <c r="M842" s="166"/>
    </row>
    <row r="843" spans="1:13" ht="15" customHeight="1" thickBot="1" x14ac:dyDescent="0.3">
      <c r="A843" s="126"/>
      <c r="B843" s="129"/>
      <c r="C843" s="124"/>
      <c r="D843" s="149"/>
      <c r="E843" s="150"/>
      <c r="F843" s="150"/>
      <c r="G843" s="128"/>
      <c r="H843" s="128"/>
      <c r="I843" s="140"/>
      <c r="J843" s="112"/>
      <c r="K843" s="166"/>
      <c r="L843" s="118"/>
      <c r="M843" s="166"/>
    </row>
    <row r="844" spans="1:13" ht="15" customHeight="1" x14ac:dyDescent="0.25">
      <c r="A844" s="126"/>
      <c r="B844" s="129"/>
      <c r="C844" s="124"/>
      <c r="D844" s="149"/>
      <c r="E844" s="150"/>
      <c r="F844" s="150"/>
      <c r="G844" s="128"/>
      <c r="H844" s="128"/>
      <c r="I844" s="140"/>
      <c r="J844" s="194" t="s">
        <v>41</v>
      </c>
      <c r="K844" s="223"/>
      <c r="L844" s="118"/>
      <c r="M844" s="166"/>
    </row>
    <row r="845" spans="1:13" ht="15" customHeight="1" thickBot="1" x14ac:dyDescent="0.3">
      <c r="A845" s="126"/>
      <c r="B845" s="129"/>
      <c r="C845" s="124"/>
      <c r="D845" s="149"/>
      <c r="E845" s="150"/>
      <c r="F845" s="150"/>
      <c r="G845" s="128"/>
      <c r="H845" s="128"/>
      <c r="I845" s="140"/>
      <c r="J845" s="112"/>
      <c r="K845" s="166"/>
      <c r="L845" s="118"/>
      <c r="M845" s="166"/>
    </row>
    <row r="846" spans="1:13" ht="15" customHeight="1" x14ac:dyDescent="0.25">
      <c r="A846" s="126"/>
      <c r="B846" s="129"/>
      <c r="C846" s="124"/>
      <c r="D846" s="149"/>
      <c r="E846" s="150"/>
      <c r="F846" s="150"/>
      <c r="G846" s="128"/>
      <c r="H846" s="128"/>
      <c r="I846" s="140"/>
      <c r="J846" s="194" t="s">
        <v>42</v>
      </c>
      <c r="K846" s="223"/>
      <c r="L846" s="111"/>
      <c r="M846" s="166"/>
    </row>
    <row r="847" spans="1:13" ht="15" customHeight="1" thickBot="1" x14ac:dyDescent="0.3">
      <c r="A847" s="126"/>
      <c r="B847" s="129"/>
      <c r="C847" s="124"/>
      <c r="D847" s="149"/>
      <c r="E847" s="150"/>
      <c r="F847" s="150"/>
      <c r="G847" s="128"/>
      <c r="H847" s="128"/>
      <c r="I847" s="140"/>
      <c r="J847" s="112"/>
      <c r="K847" s="166"/>
      <c r="L847" s="111"/>
      <c r="M847" s="166"/>
    </row>
    <row r="848" spans="1:13" ht="15" customHeight="1" x14ac:dyDescent="0.25">
      <c r="A848" s="126"/>
      <c r="B848" s="129"/>
      <c r="C848" s="124"/>
      <c r="D848" s="149"/>
      <c r="E848" s="150"/>
      <c r="F848" s="150"/>
      <c r="G848" s="128"/>
      <c r="H848" s="128"/>
      <c r="I848" s="140"/>
      <c r="J848" s="193" t="s">
        <v>43</v>
      </c>
      <c r="K848" s="223"/>
      <c r="L848" s="111"/>
      <c r="M848" s="166"/>
    </row>
    <row r="849" spans="1:13" ht="15" customHeight="1" x14ac:dyDescent="0.25">
      <c r="A849" s="126"/>
      <c r="B849" s="129"/>
      <c r="C849" s="124"/>
      <c r="D849" s="149"/>
      <c r="E849" s="150"/>
      <c r="F849" s="150"/>
      <c r="G849" s="128"/>
      <c r="H849" s="128"/>
      <c r="I849" s="140"/>
      <c r="J849" s="112"/>
      <c r="K849" s="166"/>
      <c r="L849" s="111"/>
      <c r="M849" s="166"/>
    </row>
    <row r="850" spans="1:13" ht="15" customHeight="1" x14ac:dyDescent="0.25">
      <c r="A850" s="126"/>
      <c r="B850" s="129"/>
      <c r="C850" s="124"/>
      <c r="D850" s="149"/>
      <c r="E850" s="150"/>
      <c r="F850" s="150"/>
      <c r="G850" s="128"/>
      <c r="H850" s="128"/>
      <c r="I850" s="140"/>
      <c r="J850" s="194" t="s">
        <v>44</v>
      </c>
      <c r="K850" s="224"/>
      <c r="L850" s="111"/>
      <c r="M850" s="166"/>
    </row>
    <row r="851" spans="1:13" ht="15" customHeight="1" x14ac:dyDescent="0.25">
      <c r="A851" s="126"/>
      <c r="B851" s="129"/>
      <c r="C851" s="124"/>
      <c r="D851" s="149"/>
      <c r="E851" s="150"/>
      <c r="F851" s="150"/>
      <c r="G851" s="128"/>
      <c r="H851" s="128"/>
      <c r="I851" s="140"/>
      <c r="J851" s="112"/>
      <c r="K851" s="166"/>
      <c r="L851" s="111"/>
      <c r="M851" s="166"/>
    </row>
    <row r="852" spans="1:13" ht="15" customHeight="1" x14ac:dyDescent="0.25">
      <c r="A852" s="130"/>
      <c r="B852" s="129"/>
      <c r="C852" s="124"/>
      <c r="D852" s="149"/>
      <c r="E852" s="150"/>
      <c r="F852" s="150"/>
      <c r="G852" s="128"/>
      <c r="H852" s="128"/>
      <c r="I852" s="140"/>
      <c r="J852" s="194" t="s">
        <v>45</v>
      </c>
      <c r="K852" s="224"/>
      <c r="L852" s="111"/>
      <c r="M852" s="166"/>
    </row>
    <row r="853" spans="1:13" ht="5.0999999999999996" customHeight="1" x14ac:dyDescent="0.25">
      <c r="A853" s="140"/>
      <c r="B853" s="140"/>
      <c r="C853" s="140"/>
      <c r="D853" s="140"/>
      <c r="E853" s="140"/>
      <c r="F853" s="140"/>
      <c r="G853" s="140"/>
      <c r="H853" s="140"/>
      <c r="I853" s="140"/>
      <c r="J853" s="112"/>
      <c r="K853" s="166"/>
      <c r="L853" s="111"/>
      <c r="M853" s="191"/>
    </row>
    <row r="854" spans="1:13" ht="16.5" thickBot="1" x14ac:dyDescent="0.3">
      <c r="A854" s="113"/>
      <c r="B854" s="114"/>
      <c r="C854" s="115"/>
      <c r="D854" s="115"/>
      <c r="E854" s="116"/>
      <c r="F854" s="116"/>
      <c r="G854" s="164"/>
      <c r="H854" s="120"/>
      <c r="I854" s="140"/>
      <c r="J854" s="120"/>
      <c r="K854" s="121"/>
      <c r="L854" s="221"/>
      <c r="M854" s="191"/>
    </row>
    <row r="855" spans="1:13" ht="5.0999999999999996" customHeight="1" thickBot="1" x14ac:dyDescent="0.3">
      <c r="A855" s="217"/>
      <c r="B855" s="212"/>
      <c r="C855" s="213"/>
      <c r="D855" s="213"/>
      <c r="E855" s="214"/>
      <c r="F855" s="214"/>
      <c r="G855" s="215"/>
      <c r="H855" s="218"/>
      <c r="I855" s="140"/>
      <c r="J855" s="218"/>
      <c r="K855" s="220"/>
      <c r="L855" s="221"/>
      <c r="M855" s="191"/>
    </row>
    <row r="856" spans="1:13" ht="15" customHeight="1" thickBot="1" x14ac:dyDescent="0.3">
      <c r="A856" s="125"/>
      <c r="B856" s="148"/>
      <c r="C856" s="124"/>
      <c r="D856" s="149"/>
      <c r="E856" s="150"/>
      <c r="F856" s="150"/>
      <c r="G856" s="127"/>
      <c r="H856" s="189"/>
      <c r="I856" s="140"/>
      <c r="J856" s="209"/>
      <c r="K856" s="223"/>
      <c r="L856" s="112"/>
      <c r="M856" s="166"/>
    </row>
    <row r="857" spans="1:13" ht="15" customHeight="1" thickBot="1" x14ac:dyDescent="0.3">
      <c r="A857" s="126"/>
      <c r="B857" s="129"/>
      <c r="C857" s="124"/>
      <c r="D857" s="149"/>
      <c r="E857" s="150"/>
      <c r="F857" s="150"/>
      <c r="G857" s="128"/>
      <c r="H857" s="128"/>
      <c r="I857" s="140"/>
      <c r="J857" s="112"/>
      <c r="K857" s="166"/>
      <c r="L857" s="118"/>
      <c r="M857" s="166"/>
    </row>
    <row r="858" spans="1:13" ht="15" customHeight="1" x14ac:dyDescent="0.25">
      <c r="A858" s="126"/>
      <c r="B858" s="129"/>
      <c r="C858" s="124"/>
      <c r="D858" s="149"/>
      <c r="E858" s="150"/>
      <c r="F858" s="150"/>
      <c r="G858" s="128"/>
      <c r="H858" s="128"/>
      <c r="I858" s="140"/>
      <c r="J858" s="194" t="s">
        <v>39</v>
      </c>
      <c r="K858" s="223"/>
      <c r="L858" s="118"/>
      <c r="M858" s="166"/>
    </row>
    <row r="859" spans="1:13" ht="15" customHeight="1" thickBot="1" x14ac:dyDescent="0.3">
      <c r="A859" s="126"/>
      <c r="B859" s="129"/>
      <c r="C859" s="124"/>
      <c r="D859" s="149"/>
      <c r="E859" s="150"/>
      <c r="F859" s="150"/>
      <c r="G859" s="128"/>
      <c r="H859" s="128"/>
      <c r="I859" s="140"/>
      <c r="J859" s="112"/>
      <c r="K859" s="166"/>
      <c r="L859" s="118"/>
      <c r="M859" s="166"/>
    </row>
    <row r="860" spans="1:13" ht="15" customHeight="1" x14ac:dyDescent="0.25">
      <c r="A860" s="126"/>
      <c r="B860" s="129"/>
      <c r="C860" s="124"/>
      <c r="D860" s="149"/>
      <c r="E860" s="150"/>
      <c r="F860" s="150"/>
      <c r="G860" s="128"/>
      <c r="H860" s="128"/>
      <c r="I860" s="140"/>
      <c r="J860" s="194" t="s">
        <v>40</v>
      </c>
      <c r="K860" s="223"/>
      <c r="L860" s="118"/>
      <c r="M860" s="166"/>
    </row>
    <row r="861" spans="1:13" ht="15" customHeight="1" thickBot="1" x14ac:dyDescent="0.3">
      <c r="A861" s="126"/>
      <c r="B861" s="129"/>
      <c r="C861" s="124"/>
      <c r="D861" s="149"/>
      <c r="E861" s="150"/>
      <c r="F861" s="150"/>
      <c r="G861" s="128"/>
      <c r="H861" s="128"/>
      <c r="I861" s="140"/>
      <c r="J861" s="112"/>
      <c r="K861" s="166"/>
      <c r="L861" s="118"/>
      <c r="M861" s="166"/>
    </row>
    <row r="862" spans="1:13" ht="15" customHeight="1" x14ac:dyDescent="0.25">
      <c r="A862" s="126"/>
      <c r="B862" s="129"/>
      <c r="C862" s="124"/>
      <c r="D862" s="149"/>
      <c r="E862" s="150"/>
      <c r="F862" s="150"/>
      <c r="G862" s="128"/>
      <c r="H862" s="128"/>
      <c r="I862" s="140"/>
      <c r="J862" s="194" t="s">
        <v>41</v>
      </c>
      <c r="K862" s="223"/>
      <c r="L862" s="118"/>
      <c r="M862" s="166"/>
    </row>
    <row r="863" spans="1:13" ht="15" customHeight="1" thickBot="1" x14ac:dyDescent="0.3">
      <c r="A863" s="126"/>
      <c r="B863" s="129"/>
      <c r="C863" s="124"/>
      <c r="D863" s="149"/>
      <c r="E863" s="150"/>
      <c r="F863" s="150"/>
      <c r="G863" s="128"/>
      <c r="H863" s="128"/>
      <c r="I863" s="140"/>
      <c r="J863" s="112"/>
      <c r="K863" s="166"/>
      <c r="L863" s="118"/>
      <c r="M863" s="166"/>
    </row>
    <row r="864" spans="1:13" ht="15" customHeight="1" x14ac:dyDescent="0.25">
      <c r="A864" s="126"/>
      <c r="B864" s="129"/>
      <c r="C864" s="124"/>
      <c r="D864" s="149"/>
      <c r="E864" s="150"/>
      <c r="F864" s="150"/>
      <c r="G864" s="128"/>
      <c r="H864" s="128"/>
      <c r="I864" s="140"/>
      <c r="J864" s="194" t="s">
        <v>42</v>
      </c>
      <c r="K864" s="223"/>
      <c r="L864" s="111"/>
      <c r="M864" s="166"/>
    </row>
    <row r="865" spans="1:13" ht="15" customHeight="1" thickBot="1" x14ac:dyDescent="0.3">
      <c r="A865" s="126"/>
      <c r="B865" s="129"/>
      <c r="C865" s="124"/>
      <c r="D865" s="149"/>
      <c r="E865" s="150"/>
      <c r="F865" s="150"/>
      <c r="G865" s="128"/>
      <c r="H865" s="128"/>
      <c r="I865" s="140"/>
      <c r="J865" s="112"/>
      <c r="K865" s="166"/>
      <c r="L865" s="111"/>
      <c r="M865" s="166"/>
    </row>
    <row r="866" spans="1:13" ht="15" customHeight="1" x14ac:dyDescent="0.25">
      <c r="A866" s="126"/>
      <c r="B866" s="129"/>
      <c r="C866" s="124"/>
      <c r="D866" s="149"/>
      <c r="E866" s="150"/>
      <c r="F866" s="150"/>
      <c r="G866" s="128"/>
      <c r="H866" s="128"/>
      <c r="I866" s="140"/>
      <c r="J866" s="193" t="s">
        <v>43</v>
      </c>
      <c r="K866" s="223"/>
      <c r="L866" s="111"/>
      <c r="M866" s="166"/>
    </row>
    <row r="867" spans="1:13" ht="15" customHeight="1" x14ac:dyDescent="0.25">
      <c r="A867" s="126"/>
      <c r="B867" s="129"/>
      <c r="C867" s="124"/>
      <c r="D867" s="149"/>
      <c r="E867" s="150"/>
      <c r="F867" s="150"/>
      <c r="G867" s="128"/>
      <c r="H867" s="128"/>
      <c r="I867" s="140"/>
      <c r="J867" s="112"/>
      <c r="K867" s="166"/>
      <c r="L867" s="111"/>
      <c r="M867" s="166"/>
    </row>
    <row r="868" spans="1:13" ht="15" customHeight="1" x14ac:dyDescent="0.25">
      <c r="A868" s="126"/>
      <c r="B868" s="129"/>
      <c r="C868" s="124"/>
      <c r="D868" s="149"/>
      <c r="E868" s="150"/>
      <c r="F868" s="150"/>
      <c r="G868" s="128"/>
      <c r="H868" s="128"/>
      <c r="I868" s="140"/>
      <c r="J868" s="194" t="s">
        <v>44</v>
      </c>
      <c r="K868" s="224"/>
      <c r="L868" s="111"/>
      <c r="M868" s="166"/>
    </row>
    <row r="869" spans="1:13" ht="15" customHeight="1" x14ac:dyDescent="0.25">
      <c r="A869" s="126"/>
      <c r="B869" s="129"/>
      <c r="C869" s="124"/>
      <c r="D869" s="149"/>
      <c r="E869" s="150"/>
      <c r="F869" s="150"/>
      <c r="G869" s="128"/>
      <c r="H869" s="128"/>
      <c r="I869" s="140"/>
      <c r="J869" s="112"/>
      <c r="K869" s="166"/>
      <c r="L869" s="111"/>
      <c r="M869" s="166"/>
    </row>
    <row r="870" spans="1:13" ht="15" customHeight="1" x14ac:dyDescent="0.25">
      <c r="A870" s="130"/>
      <c r="B870" s="129"/>
      <c r="C870" s="124"/>
      <c r="D870" s="149"/>
      <c r="E870" s="150"/>
      <c r="F870" s="150"/>
      <c r="G870" s="128"/>
      <c r="H870" s="128"/>
      <c r="I870" s="140"/>
      <c r="J870" s="194" t="s">
        <v>45</v>
      </c>
      <c r="K870" s="224"/>
      <c r="L870" s="111"/>
      <c r="M870" s="166"/>
    </row>
    <row r="871" spans="1:13" ht="5.0999999999999996" customHeight="1" x14ac:dyDescent="0.25">
      <c r="A871" s="140"/>
      <c r="B871" s="140"/>
      <c r="C871" s="140"/>
      <c r="D871" s="140"/>
      <c r="E871" s="140"/>
      <c r="F871" s="140"/>
      <c r="G871" s="140"/>
      <c r="H871" s="140"/>
      <c r="I871" s="140"/>
      <c r="J871" s="112"/>
      <c r="K871" s="166"/>
      <c r="L871" s="111"/>
      <c r="M871" s="191"/>
    </row>
    <row r="872" spans="1:13" ht="16.5" thickBot="1" x14ac:dyDescent="0.3">
      <c r="A872" s="113"/>
      <c r="B872" s="114"/>
      <c r="C872" s="115"/>
      <c r="D872" s="115"/>
      <c r="E872" s="116"/>
      <c r="F872" s="116"/>
      <c r="G872" s="164"/>
      <c r="H872" s="120"/>
      <c r="I872" s="140"/>
      <c r="J872" s="120"/>
      <c r="K872" s="121"/>
      <c r="L872" s="221"/>
      <c r="M872" s="191"/>
    </row>
    <row r="873" spans="1:13" ht="5.0999999999999996" customHeight="1" thickBot="1" x14ac:dyDescent="0.3">
      <c r="A873" s="217"/>
      <c r="B873" s="212"/>
      <c r="C873" s="213"/>
      <c r="D873" s="213"/>
      <c r="E873" s="214"/>
      <c r="F873" s="214"/>
      <c r="G873" s="215"/>
      <c r="H873" s="218"/>
      <c r="I873" s="140"/>
      <c r="J873" s="218"/>
      <c r="K873" s="220"/>
      <c r="L873" s="221"/>
      <c r="M873" s="191"/>
    </row>
    <row r="874" spans="1:13" ht="15" customHeight="1" thickBot="1" x14ac:dyDescent="0.3">
      <c r="A874" s="125"/>
      <c r="B874" s="148"/>
      <c r="C874" s="124"/>
      <c r="D874" s="149"/>
      <c r="E874" s="150"/>
      <c r="F874" s="150"/>
      <c r="G874" s="127"/>
      <c r="H874" s="189"/>
      <c r="I874" s="140"/>
      <c r="J874" s="209"/>
      <c r="K874" s="223"/>
      <c r="L874" s="112"/>
      <c r="M874" s="166"/>
    </row>
    <row r="875" spans="1:13" ht="15" customHeight="1" thickBot="1" x14ac:dyDescent="0.3">
      <c r="A875" s="126"/>
      <c r="B875" s="129"/>
      <c r="C875" s="124"/>
      <c r="D875" s="149"/>
      <c r="E875" s="150"/>
      <c r="F875" s="150"/>
      <c r="G875" s="128"/>
      <c r="H875" s="128"/>
      <c r="I875" s="140"/>
      <c r="J875" s="112"/>
      <c r="K875" s="166"/>
      <c r="L875" s="118"/>
      <c r="M875" s="166"/>
    </row>
    <row r="876" spans="1:13" ht="15" customHeight="1" x14ac:dyDescent="0.25">
      <c r="A876" s="126"/>
      <c r="B876" s="129"/>
      <c r="C876" s="124"/>
      <c r="D876" s="149"/>
      <c r="E876" s="150"/>
      <c r="F876" s="150"/>
      <c r="G876" s="128"/>
      <c r="H876" s="128"/>
      <c r="I876" s="140"/>
      <c r="J876" s="194" t="s">
        <v>39</v>
      </c>
      <c r="K876" s="223"/>
      <c r="L876" s="118"/>
      <c r="M876" s="166"/>
    </row>
    <row r="877" spans="1:13" ht="15" customHeight="1" thickBot="1" x14ac:dyDescent="0.3">
      <c r="A877" s="126"/>
      <c r="B877" s="129"/>
      <c r="C877" s="124"/>
      <c r="D877" s="149"/>
      <c r="E877" s="150"/>
      <c r="F877" s="150"/>
      <c r="G877" s="128"/>
      <c r="H877" s="128"/>
      <c r="I877" s="140"/>
      <c r="J877" s="112"/>
      <c r="K877" s="166"/>
      <c r="L877" s="118"/>
      <c r="M877" s="166"/>
    </row>
    <row r="878" spans="1:13" ht="15" customHeight="1" x14ac:dyDescent="0.25">
      <c r="A878" s="126"/>
      <c r="B878" s="129"/>
      <c r="C878" s="124"/>
      <c r="D878" s="149"/>
      <c r="E878" s="150"/>
      <c r="F878" s="150"/>
      <c r="G878" s="128"/>
      <c r="H878" s="128"/>
      <c r="I878" s="140"/>
      <c r="J878" s="194" t="s">
        <v>40</v>
      </c>
      <c r="K878" s="223"/>
      <c r="L878" s="118"/>
      <c r="M878" s="166"/>
    </row>
    <row r="879" spans="1:13" ht="15" customHeight="1" thickBot="1" x14ac:dyDescent="0.3">
      <c r="A879" s="126"/>
      <c r="B879" s="129"/>
      <c r="C879" s="124"/>
      <c r="D879" s="149"/>
      <c r="E879" s="150"/>
      <c r="F879" s="150"/>
      <c r="G879" s="128"/>
      <c r="H879" s="128"/>
      <c r="I879" s="140"/>
      <c r="J879" s="112"/>
      <c r="K879" s="166"/>
      <c r="L879" s="118"/>
      <c r="M879" s="166"/>
    </row>
    <row r="880" spans="1:13" ht="15" customHeight="1" x14ac:dyDescent="0.25">
      <c r="A880" s="126"/>
      <c r="B880" s="129"/>
      <c r="C880" s="124"/>
      <c r="D880" s="149"/>
      <c r="E880" s="150"/>
      <c r="F880" s="150"/>
      <c r="G880" s="128"/>
      <c r="H880" s="128"/>
      <c r="I880" s="140"/>
      <c r="J880" s="194" t="s">
        <v>41</v>
      </c>
      <c r="K880" s="223"/>
      <c r="L880" s="118"/>
      <c r="M880" s="166"/>
    </row>
    <row r="881" spans="1:13" ht="15" customHeight="1" thickBot="1" x14ac:dyDescent="0.3">
      <c r="A881" s="126"/>
      <c r="B881" s="129"/>
      <c r="C881" s="124"/>
      <c r="D881" s="149"/>
      <c r="E881" s="150"/>
      <c r="F881" s="150"/>
      <c r="G881" s="128"/>
      <c r="H881" s="128"/>
      <c r="I881" s="140"/>
      <c r="J881" s="112"/>
      <c r="K881" s="166"/>
      <c r="L881" s="118"/>
      <c r="M881" s="166"/>
    </row>
    <row r="882" spans="1:13" ht="15" customHeight="1" x14ac:dyDescent="0.25">
      <c r="A882" s="126"/>
      <c r="B882" s="129"/>
      <c r="C882" s="124"/>
      <c r="D882" s="149"/>
      <c r="E882" s="150"/>
      <c r="F882" s="150"/>
      <c r="G882" s="128"/>
      <c r="H882" s="128"/>
      <c r="I882" s="140"/>
      <c r="J882" s="194" t="s">
        <v>42</v>
      </c>
      <c r="K882" s="223"/>
      <c r="L882" s="111"/>
      <c r="M882" s="166"/>
    </row>
    <row r="883" spans="1:13" ht="15" customHeight="1" thickBot="1" x14ac:dyDescent="0.3">
      <c r="A883" s="126"/>
      <c r="B883" s="129"/>
      <c r="C883" s="124"/>
      <c r="D883" s="149"/>
      <c r="E883" s="150"/>
      <c r="F883" s="150"/>
      <c r="G883" s="128"/>
      <c r="H883" s="128"/>
      <c r="I883" s="140"/>
      <c r="J883" s="112"/>
      <c r="K883" s="166"/>
      <c r="L883" s="111"/>
      <c r="M883" s="166"/>
    </row>
    <row r="884" spans="1:13" ht="15" customHeight="1" x14ac:dyDescent="0.25">
      <c r="A884" s="126"/>
      <c r="B884" s="129"/>
      <c r="C884" s="124"/>
      <c r="D884" s="149"/>
      <c r="E884" s="150"/>
      <c r="F884" s="150"/>
      <c r="G884" s="128"/>
      <c r="H884" s="128"/>
      <c r="I884" s="140"/>
      <c r="J884" s="193" t="s">
        <v>43</v>
      </c>
      <c r="K884" s="223"/>
      <c r="L884" s="111"/>
      <c r="M884" s="166"/>
    </row>
    <row r="885" spans="1:13" ht="15" customHeight="1" x14ac:dyDescent="0.25">
      <c r="A885" s="126"/>
      <c r="B885" s="129"/>
      <c r="C885" s="124"/>
      <c r="D885" s="149"/>
      <c r="E885" s="150"/>
      <c r="F885" s="150"/>
      <c r="G885" s="128"/>
      <c r="H885" s="128"/>
      <c r="I885" s="140"/>
      <c r="J885" s="112"/>
      <c r="K885" s="166"/>
      <c r="L885" s="111"/>
      <c r="M885" s="166"/>
    </row>
    <row r="886" spans="1:13" ht="15" customHeight="1" x14ac:dyDescent="0.25">
      <c r="A886" s="126"/>
      <c r="B886" s="129"/>
      <c r="C886" s="124"/>
      <c r="D886" s="149"/>
      <c r="E886" s="150"/>
      <c r="F886" s="150"/>
      <c r="G886" s="128"/>
      <c r="H886" s="128"/>
      <c r="I886" s="140"/>
      <c r="J886" s="194" t="s">
        <v>44</v>
      </c>
      <c r="K886" s="224"/>
      <c r="L886" s="111"/>
      <c r="M886" s="166"/>
    </row>
    <row r="887" spans="1:13" ht="15" customHeight="1" x14ac:dyDescent="0.25">
      <c r="A887" s="126"/>
      <c r="B887" s="129"/>
      <c r="C887" s="124"/>
      <c r="D887" s="149"/>
      <c r="E887" s="150"/>
      <c r="F887" s="150"/>
      <c r="G887" s="128"/>
      <c r="H887" s="128"/>
      <c r="I887" s="140"/>
      <c r="J887" s="112"/>
      <c r="K887" s="166"/>
      <c r="L887" s="111"/>
      <c r="M887" s="166"/>
    </row>
    <row r="888" spans="1:13" ht="15" customHeight="1" x14ac:dyDescent="0.25">
      <c r="A888" s="130"/>
      <c r="B888" s="129"/>
      <c r="C888" s="124"/>
      <c r="D888" s="149"/>
      <c r="E888" s="150"/>
      <c r="F888" s="150"/>
      <c r="G888" s="128"/>
      <c r="H888" s="128"/>
      <c r="I888" s="140"/>
      <c r="J888" s="194" t="s">
        <v>45</v>
      </c>
      <c r="K888" s="224"/>
      <c r="L888" s="111"/>
      <c r="M888" s="166"/>
    </row>
    <row r="889" spans="1:13" ht="5.0999999999999996" customHeight="1" x14ac:dyDescent="0.25">
      <c r="A889" s="140"/>
      <c r="B889" s="140"/>
      <c r="C889" s="140"/>
      <c r="D889" s="140"/>
      <c r="E889" s="140"/>
      <c r="F889" s="140"/>
      <c r="G889" s="140"/>
      <c r="H889" s="140"/>
      <c r="I889" s="140"/>
      <c r="J889" s="112"/>
      <c r="K889" s="166"/>
      <c r="L889" s="111"/>
      <c r="M889" s="191"/>
    </row>
    <row r="890" spans="1:13" ht="16.5" thickBot="1" x14ac:dyDescent="0.3">
      <c r="A890" s="113"/>
      <c r="B890" s="114"/>
      <c r="C890" s="115"/>
      <c r="D890" s="115"/>
      <c r="E890" s="116"/>
      <c r="F890" s="116"/>
      <c r="G890" s="164"/>
      <c r="H890" s="120"/>
      <c r="I890" s="140"/>
      <c r="J890" s="120"/>
      <c r="K890" s="121"/>
      <c r="L890" s="221"/>
      <c r="M890" s="191"/>
    </row>
    <row r="891" spans="1:13" ht="5.0999999999999996" customHeight="1" thickBot="1" x14ac:dyDescent="0.3">
      <c r="A891" s="217"/>
      <c r="B891" s="212"/>
      <c r="C891" s="213"/>
      <c r="D891" s="213"/>
      <c r="E891" s="214"/>
      <c r="F891" s="214"/>
      <c r="G891" s="215"/>
      <c r="H891" s="218"/>
      <c r="I891" s="140"/>
      <c r="J891" s="218"/>
      <c r="K891" s="220"/>
      <c r="L891" s="221"/>
      <c r="M891" s="191"/>
    </row>
    <row r="892" spans="1:13" ht="15" customHeight="1" thickBot="1" x14ac:dyDescent="0.3">
      <c r="A892" s="125"/>
      <c r="B892" s="148"/>
      <c r="C892" s="124"/>
      <c r="D892" s="149"/>
      <c r="E892" s="150"/>
      <c r="F892" s="150"/>
      <c r="G892" s="127"/>
      <c r="H892" s="189"/>
      <c r="I892" s="140"/>
      <c r="J892" s="209"/>
      <c r="K892" s="223"/>
      <c r="L892" s="112"/>
      <c r="M892" s="166"/>
    </row>
    <row r="893" spans="1:13" ht="15" customHeight="1" thickBot="1" x14ac:dyDescent="0.3">
      <c r="A893" s="126"/>
      <c r="B893" s="129"/>
      <c r="C893" s="124"/>
      <c r="D893" s="149"/>
      <c r="E893" s="150"/>
      <c r="F893" s="150"/>
      <c r="G893" s="128"/>
      <c r="H893" s="128"/>
      <c r="I893" s="140"/>
      <c r="J893" s="112"/>
      <c r="K893" s="166"/>
      <c r="L893" s="118"/>
      <c r="M893" s="166"/>
    </row>
    <row r="894" spans="1:13" ht="15" customHeight="1" x14ac:dyDescent="0.25">
      <c r="A894" s="126"/>
      <c r="B894" s="129"/>
      <c r="C894" s="124"/>
      <c r="D894" s="149"/>
      <c r="E894" s="150"/>
      <c r="F894" s="150"/>
      <c r="G894" s="128"/>
      <c r="H894" s="128"/>
      <c r="I894" s="140"/>
      <c r="J894" s="194" t="s">
        <v>39</v>
      </c>
      <c r="K894" s="223"/>
      <c r="L894" s="118"/>
      <c r="M894" s="166"/>
    </row>
    <row r="895" spans="1:13" ht="15" customHeight="1" thickBot="1" x14ac:dyDescent="0.3">
      <c r="A895" s="126"/>
      <c r="B895" s="129"/>
      <c r="C895" s="124"/>
      <c r="D895" s="149"/>
      <c r="E895" s="150"/>
      <c r="F895" s="150"/>
      <c r="G895" s="128"/>
      <c r="H895" s="128"/>
      <c r="I895" s="140"/>
      <c r="J895" s="112"/>
      <c r="K895" s="166"/>
      <c r="L895" s="118"/>
      <c r="M895" s="166"/>
    </row>
    <row r="896" spans="1:13" ht="15" customHeight="1" x14ac:dyDescent="0.25">
      <c r="A896" s="126"/>
      <c r="B896" s="129"/>
      <c r="C896" s="124"/>
      <c r="D896" s="149"/>
      <c r="E896" s="150"/>
      <c r="F896" s="150"/>
      <c r="G896" s="128"/>
      <c r="H896" s="128"/>
      <c r="I896" s="140"/>
      <c r="J896" s="194" t="s">
        <v>40</v>
      </c>
      <c r="K896" s="223"/>
      <c r="L896" s="118"/>
      <c r="M896" s="166"/>
    </row>
    <row r="897" spans="1:13" ht="15" customHeight="1" thickBot="1" x14ac:dyDescent="0.3">
      <c r="A897" s="126"/>
      <c r="B897" s="129"/>
      <c r="C897" s="124"/>
      <c r="D897" s="149"/>
      <c r="E897" s="150"/>
      <c r="F897" s="150"/>
      <c r="G897" s="128"/>
      <c r="H897" s="128"/>
      <c r="I897" s="140"/>
      <c r="J897" s="112"/>
      <c r="K897" s="166"/>
      <c r="L897" s="118"/>
      <c r="M897" s="166"/>
    </row>
    <row r="898" spans="1:13" ht="15" customHeight="1" x14ac:dyDescent="0.25">
      <c r="A898" s="126"/>
      <c r="B898" s="129"/>
      <c r="C898" s="124"/>
      <c r="D898" s="149"/>
      <c r="E898" s="150"/>
      <c r="F898" s="150"/>
      <c r="G898" s="128"/>
      <c r="H898" s="128"/>
      <c r="I898" s="140"/>
      <c r="J898" s="194" t="s">
        <v>41</v>
      </c>
      <c r="K898" s="223"/>
      <c r="L898" s="118"/>
      <c r="M898" s="166"/>
    </row>
    <row r="899" spans="1:13" ht="15" customHeight="1" thickBot="1" x14ac:dyDescent="0.3">
      <c r="A899" s="126"/>
      <c r="B899" s="129"/>
      <c r="C899" s="124"/>
      <c r="D899" s="149"/>
      <c r="E899" s="150"/>
      <c r="F899" s="150"/>
      <c r="G899" s="128"/>
      <c r="H899" s="128"/>
      <c r="I899" s="140"/>
      <c r="J899" s="112"/>
      <c r="K899" s="166"/>
      <c r="L899" s="118"/>
      <c r="M899" s="166"/>
    </row>
    <row r="900" spans="1:13" ht="15" customHeight="1" x14ac:dyDescent="0.25">
      <c r="A900" s="126"/>
      <c r="B900" s="129"/>
      <c r="C900" s="124"/>
      <c r="D900" s="149"/>
      <c r="E900" s="150"/>
      <c r="F900" s="150"/>
      <c r="G900" s="128"/>
      <c r="H900" s="128"/>
      <c r="I900" s="140"/>
      <c r="J900" s="194" t="s">
        <v>42</v>
      </c>
      <c r="K900" s="223"/>
      <c r="L900" s="111"/>
      <c r="M900" s="166"/>
    </row>
    <row r="901" spans="1:13" ht="15" customHeight="1" thickBot="1" x14ac:dyDescent="0.3">
      <c r="A901" s="126"/>
      <c r="B901" s="129"/>
      <c r="C901" s="124"/>
      <c r="D901" s="149"/>
      <c r="E901" s="150"/>
      <c r="F901" s="150"/>
      <c r="G901" s="128"/>
      <c r="H901" s="128"/>
      <c r="I901" s="140"/>
      <c r="J901" s="112"/>
      <c r="K901" s="166"/>
      <c r="L901" s="111"/>
      <c r="M901" s="166"/>
    </row>
    <row r="902" spans="1:13" ht="15" customHeight="1" x14ac:dyDescent="0.25">
      <c r="A902" s="126"/>
      <c r="B902" s="129"/>
      <c r="C902" s="124"/>
      <c r="D902" s="149"/>
      <c r="E902" s="150"/>
      <c r="F902" s="150"/>
      <c r="G902" s="128"/>
      <c r="H902" s="128"/>
      <c r="I902" s="140"/>
      <c r="J902" s="193" t="s">
        <v>43</v>
      </c>
      <c r="K902" s="223"/>
      <c r="L902" s="111"/>
      <c r="M902" s="166"/>
    </row>
    <row r="903" spans="1:13" ht="15" customHeight="1" x14ac:dyDescent="0.25">
      <c r="A903" s="126"/>
      <c r="B903" s="129"/>
      <c r="C903" s="124"/>
      <c r="D903" s="149"/>
      <c r="E903" s="150"/>
      <c r="F903" s="150"/>
      <c r="G903" s="128"/>
      <c r="H903" s="128"/>
      <c r="I903" s="140"/>
      <c r="J903" s="112"/>
      <c r="K903" s="166"/>
      <c r="L903" s="111"/>
      <c r="M903" s="166"/>
    </row>
    <row r="904" spans="1:13" ht="15" customHeight="1" x14ac:dyDescent="0.25">
      <c r="A904" s="126"/>
      <c r="B904" s="129"/>
      <c r="C904" s="124"/>
      <c r="D904" s="149"/>
      <c r="E904" s="150"/>
      <c r="F904" s="150"/>
      <c r="G904" s="128"/>
      <c r="H904" s="128"/>
      <c r="I904" s="140"/>
      <c r="J904" s="194" t="s">
        <v>44</v>
      </c>
      <c r="K904" s="224"/>
      <c r="L904" s="111"/>
      <c r="M904" s="166"/>
    </row>
    <row r="905" spans="1:13" ht="15" customHeight="1" x14ac:dyDescent="0.25">
      <c r="A905" s="126"/>
      <c r="B905" s="129"/>
      <c r="C905" s="124"/>
      <c r="D905" s="149"/>
      <c r="E905" s="150"/>
      <c r="F905" s="150"/>
      <c r="G905" s="128"/>
      <c r="H905" s="128"/>
      <c r="I905" s="140"/>
      <c r="J905" s="112"/>
      <c r="K905" s="166"/>
      <c r="L905" s="111"/>
      <c r="M905" s="166"/>
    </row>
    <row r="906" spans="1:13" ht="15" customHeight="1" x14ac:dyDescent="0.25">
      <c r="A906" s="130"/>
      <c r="B906" s="129"/>
      <c r="C906" s="124"/>
      <c r="D906" s="149"/>
      <c r="E906" s="150"/>
      <c r="F906" s="150"/>
      <c r="G906" s="128"/>
      <c r="H906" s="128"/>
      <c r="I906" s="140"/>
      <c r="J906" s="194" t="s">
        <v>45</v>
      </c>
      <c r="K906" s="224"/>
      <c r="L906" s="111"/>
      <c r="M906" s="166"/>
    </row>
    <row r="907" spans="1:13" ht="5.0999999999999996" customHeight="1" x14ac:dyDescent="0.25">
      <c r="A907" s="140"/>
      <c r="B907" s="140"/>
      <c r="C907" s="140"/>
      <c r="D907" s="140"/>
      <c r="E907" s="140"/>
      <c r="F907" s="140"/>
      <c r="G907" s="140"/>
      <c r="H907" s="140"/>
      <c r="I907" s="140"/>
      <c r="J907" s="112"/>
      <c r="K907" s="166"/>
      <c r="L907" s="111"/>
      <c r="M907" s="191"/>
    </row>
    <row r="908" spans="1:13" ht="16.5" thickBot="1" x14ac:dyDescent="0.3">
      <c r="A908" s="113"/>
      <c r="B908" s="114"/>
      <c r="C908" s="115"/>
      <c r="D908" s="115"/>
      <c r="E908" s="116"/>
      <c r="F908" s="116"/>
      <c r="G908" s="164"/>
      <c r="H908" s="120"/>
      <c r="I908" s="140"/>
      <c r="J908" s="120"/>
      <c r="K908" s="121"/>
      <c r="L908" s="221"/>
      <c r="M908" s="191"/>
    </row>
    <row r="909" spans="1:13" ht="5.0999999999999996" customHeight="1" thickBot="1" x14ac:dyDescent="0.3">
      <c r="A909" s="217"/>
      <c r="B909" s="212"/>
      <c r="C909" s="213"/>
      <c r="D909" s="213"/>
      <c r="E909" s="214"/>
      <c r="F909" s="214"/>
      <c r="G909" s="215"/>
      <c r="H909" s="218"/>
      <c r="I909" s="140"/>
      <c r="J909" s="218"/>
      <c r="K909" s="220"/>
      <c r="L909" s="221"/>
      <c r="M909" s="191"/>
    </row>
    <row r="910" spans="1:13" ht="15" customHeight="1" thickBot="1" x14ac:dyDescent="0.3">
      <c r="A910" s="125"/>
      <c r="B910" s="148"/>
      <c r="C910" s="124"/>
      <c r="D910" s="149"/>
      <c r="E910" s="150"/>
      <c r="F910" s="150"/>
      <c r="G910" s="127"/>
      <c r="H910" s="189"/>
      <c r="I910" s="140"/>
      <c r="J910" s="209"/>
      <c r="K910" s="223"/>
      <c r="L910" s="112"/>
      <c r="M910" s="166"/>
    </row>
    <row r="911" spans="1:13" ht="15" customHeight="1" thickBot="1" x14ac:dyDescent="0.3">
      <c r="A911" s="126"/>
      <c r="B911" s="129"/>
      <c r="C911" s="124"/>
      <c r="D911" s="149"/>
      <c r="E911" s="150"/>
      <c r="F911" s="150"/>
      <c r="G911" s="128"/>
      <c r="H911" s="128"/>
      <c r="I911" s="140"/>
      <c r="J911" s="112"/>
      <c r="K911" s="166"/>
      <c r="L911" s="118"/>
      <c r="M911" s="166"/>
    </row>
    <row r="912" spans="1:13" ht="15" customHeight="1" x14ac:dyDescent="0.25">
      <c r="A912" s="126"/>
      <c r="B912" s="129"/>
      <c r="C912" s="124"/>
      <c r="D912" s="149"/>
      <c r="E912" s="150"/>
      <c r="F912" s="150"/>
      <c r="G912" s="128"/>
      <c r="H912" s="128"/>
      <c r="I912" s="140"/>
      <c r="J912" s="194" t="s">
        <v>39</v>
      </c>
      <c r="K912" s="223"/>
      <c r="L912" s="118"/>
      <c r="M912" s="166"/>
    </row>
    <row r="913" spans="1:13" ht="15" customHeight="1" thickBot="1" x14ac:dyDescent="0.3">
      <c r="A913" s="126"/>
      <c r="B913" s="129"/>
      <c r="C913" s="124"/>
      <c r="D913" s="149"/>
      <c r="E913" s="150"/>
      <c r="F913" s="150"/>
      <c r="G913" s="128"/>
      <c r="H913" s="128"/>
      <c r="I913" s="140"/>
      <c r="J913" s="112"/>
      <c r="K913" s="166"/>
      <c r="L913" s="118"/>
      <c r="M913" s="166"/>
    </row>
    <row r="914" spans="1:13" ht="15" customHeight="1" x14ac:dyDescent="0.25">
      <c r="A914" s="126"/>
      <c r="B914" s="129"/>
      <c r="C914" s="124"/>
      <c r="D914" s="149"/>
      <c r="E914" s="150"/>
      <c r="F914" s="150"/>
      <c r="G914" s="128"/>
      <c r="H914" s="128"/>
      <c r="I914" s="140"/>
      <c r="J914" s="194" t="s">
        <v>40</v>
      </c>
      <c r="K914" s="223"/>
      <c r="L914" s="118"/>
      <c r="M914" s="166"/>
    </row>
    <row r="915" spans="1:13" ht="15" customHeight="1" thickBot="1" x14ac:dyDescent="0.3">
      <c r="A915" s="126"/>
      <c r="B915" s="129"/>
      <c r="C915" s="124"/>
      <c r="D915" s="149"/>
      <c r="E915" s="150"/>
      <c r="F915" s="150"/>
      <c r="G915" s="128"/>
      <c r="H915" s="128"/>
      <c r="I915" s="140"/>
      <c r="J915" s="112"/>
      <c r="K915" s="166"/>
      <c r="L915" s="118"/>
      <c r="M915" s="166"/>
    </row>
    <row r="916" spans="1:13" ht="15" customHeight="1" x14ac:dyDescent="0.25">
      <c r="A916" s="126"/>
      <c r="B916" s="129"/>
      <c r="C916" s="124"/>
      <c r="D916" s="149"/>
      <c r="E916" s="150"/>
      <c r="F916" s="150"/>
      <c r="G916" s="128"/>
      <c r="H916" s="128"/>
      <c r="I916" s="140"/>
      <c r="J916" s="194" t="s">
        <v>41</v>
      </c>
      <c r="K916" s="223"/>
      <c r="L916" s="118"/>
      <c r="M916" s="166"/>
    </row>
    <row r="917" spans="1:13" ht="15" customHeight="1" thickBot="1" x14ac:dyDescent="0.3">
      <c r="A917" s="126"/>
      <c r="B917" s="129"/>
      <c r="C917" s="124"/>
      <c r="D917" s="149"/>
      <c r="E917" s="150"/>
      <c r="F917" s="150"/>
      <c r="G917" s="128"/>
      <c r="H917" s="128"/>
      <c r="I917" s="140"/>
      <c r="J917" s="112"/>
      <c r="K917" s="166"/>
      <c r="L917" s="118"/>
      <c r="M917" s="166"/>
    </row>
    <row r="918" spans="1:13" ht="15" customHeight="1" x14ac:dyDescent="0.25">
      <c r="A918" s="126"/>
      <c r="B918" s="129"/>
      <c r="C918" s="124"/>
      <c r="D918" s="149"/>
      <c r="E918" s="150"/>
      <c r="F918" s="150"/>
      <c r="G918" s="128"/>
      <c r="H918" s="128"/>
      <c r="I918" s="140"/>
      <c r="J918" s="194" t="s">
        <v>42</v>
      </c>
      <c r="K918" s="223"/>
      <c r="L918" s="111"/>
      <c r="M918" s="166"/>
    </row>
    <row r="919" spans="1:13" ht="15" customHeight="1" thickBot="1" x14ac:dyDescent="0.3">
      <c r="A919" s="126"/>
      <c r="B919" s="129"/>
      <c r="C919" s="124"/>
      <c r="D919" s="149"/>
      <c r="E919" s="150"/>
      <c r="F919" s="150"/>
      <c r="G919" s="128"/>
      <c r="H919" s="128"/>
      <c r="I919" s="140"/>
      <c r="J919" s="112"/>
      <c r="K919" s="166"/>
      <c r="L919" s="111"/>
      <c r="M919" s="166"/>
    </row>
    <row r="920" spans="1:13" ht="15" customHeight="1" x14ac:dyDescent="0.25">
      <c r="A920" s="126"/>
      <c r="B920" s="129"/>
      <c r="C920" s="124"/>
      <c r="D920" s="149"/>
      <c r="E920" s="150"/>
      <c r="F920" s="150"/>
      <c r="G920" s="128"/>
      <c r="H920" s="128"/>
      <c r="I920" s="140"/>
      <c r="J920" s="193" t="s">
        <v>43</v>
      </c>
      <c r="K920" s="223"/>
      <c r="L920" s="111"/>
      <c r="M920" s="166"/>
    </row>
    <row r="921" spans="1:13" ht="15" customHeight="1" x14ac:dyDescent="0.25">
      <c r="A921" s="126"/>
      <c r="B921" s="129"/>
      <c r="C921" s="124"/>
      <c r="D921" s="149"/>
      <c r="E921" s="150"/>
      <c r="F921" s="150"/>
      <c r="G921" s="128"/>
      <c r="H921" s="128"/>
      <c r="I921" s="140"/>
      <c r="J921" s="112"/>
      <c r="K921" s="166"/>
      <c r="L921" s="111"/>
      <c r="M921" s="166"/>
    </row>
    <row r="922" spans="1:13" ht="15" customHeight="1" x14ac:dyDescent="0.25">
      <c r="A922" s="126"/>
      <c r="B922" s="129"/>
      <c r="C922" s="124"/>
      <c r="D922" s="149"/>
      <c r="E922" s="150"/>
      <c r="F922" s="150"/>
      <c r="G922" s="128"/>
      <c r="H922" s="128"/>
      <c r="I922" s="140"/>
      <c r="J922" s="194" t="s">
        <v>44</v>
      </c>
      <c r="K922" s="224"/>
      <c r="L922" s="111"/>
      <c r="M922" s="166"/>
    </row>
    <row r="923" spans="1:13" ht="15" customHeight="1" x14ac:dyDescent="0.25">
      <c r="A923" s="126"/>
      <c r="B923" s="129"/>
      <c r="C923" s="124"/>
      <c r="D923" s="149"/>
      <c r="E923" s="150"/>
      <c r="F923" s="150"/>
      <c r="G923" s="128"/>
      <c r="H923" s="128"/>
      <c r="I923" s="140"/>
      <c r="J923" s="112"/>
      <c r="K923" s="166"/>
      <c r="L923" s="111"/>
      <c r="M923" s="166"/>
    </row>
    <row r="924" spans="1:13" ht="15" customHeight="1" x14ac:dyDescent="0.25">
      <c r="A924" s="130"/>
      <c r="B924" s="129"/>
      <c r="C924" s="124"/>
      <c r="D924" s="149"/>
      <c r="E924" s="150"/>
      <c r="F924" s="150"/>
      <c r="G924" s="128"/>
      <c r="H924" s="128"/>
      <c r="I924" s="140"/>
      <c r="J924" s="194" t="s">
        <v>45</v>
      </c>
      <c r="K924" s="224"/>
      <c r="L924" s="111"/>
      <c r="M924" s="166"/>
    </row>
    <row r="925" spans="1:13" ht="5.0999999999999996" customHeight="1" x14ac:dyDescent="0.25">
      <c r="A925" s="140"/>
      <c r="B925" s="140"/>
      <c r="C925" s="140"/>
      <c r="D925" s="140"/>
      <c r="E925" s="140"/>
      <c r="F925" s="140"/>
      <c r="G925" s="140"/>
      <c r="H925" s="140"/>
      <c r="I925" s="140"/>
      <c r="J925" s="112"/>
      <c r="K925" s="166"/>
      <c r="L925" s="111"/>
      <c r="M925" s="191"/>
    </row>
    <row r="926" spans="1:13" ht="16.5" thickBot="1" x14ac:dyDescent="0.3">
      <c r="A926" s="113"/>
      <c r="B926" s="114"/>
      <c r="C926" s="115"/>
      <c r="D926" s="115"/>
      <c r="E926" s="116"/>
      <c r="F926" s="116"/>
      <c r="G926" s="164"/>
      <c r="H926" s="120"/>
      <c r="I926" s="140"/>
      <c r="J926" s="120"/>
      <c r="K926" s="121"/>
      <c r="L926" s="221"/>
      <c r="M926" s="191"/>
    </row>
    <row r="927" spans="1:13" ht="5.0999999999999996" customHeight="1" thickBot="1" x14ac:dyDescent="0.3">
      <c r="A927" s="217"/>
      <c r="B927" s="212"/>
      <c r="C927" s="213"/>
      <c r="D927" s="213"/>
      <c r="E927" s="214"/>
      <c r="F927" s="214"/>
      <c r="G927" s="215"/>
      <c r="H927" s="218"/>
      <c r="I927" s="140"/>
      <c r="J927" s="218"/>
      <c r="K927" s="220"/>
      <c r="L927" s="221"/>
      <c r="M927" s="191"/>
    </row>
    <row r="928" spans="1:13" ht="15" customHeight="1" thickBot="1" x14ac:dyDescent="0.3">
      <c r="A928" s="125"/>
      <c r="B928" s="148"/>
      <c r="C928" s="124"/>
      <c r="D928" s="149"/>
      <c r="E928" s="150"/>
      <c r="F928" s="150"/>
      <c r="G928" s="127"/>
      <c r="H928" s="189"/>
      <c r="I928" s="140"/>
      <c r="J928" s="209"/>
      <c r="K928" s="223"/>
      <c r="L928" s="112"/>
      <c r="M928" s="166"/>
    </row>
    <row r="929" spans="1:13" ht="15" customHeight="1" thickBot="1" x14ac:dyDescent="0.3">
      <c r="A929" s="126"/>
      <c r="B929" s="129"/>
      <c r="C929" s="124"/>
      <c r="D929" s="149"/>
      <c r="E929" s="150"/>
      <c r="F929" s="150"/>
      <c r="G929" s="128"/>
      <c r="H929" s="128"/>
      <c r="I929" s="140"/>
      <c r="J929" s="112"/>
      <c r="K929" s="166"/>
      <c r="L929" s="118"/>
      <c r="M929" s="166"/>
    </row>
    <row r="930" spans="1:13" ht="15" customHeight="1" x14ac:dyDescent="0.25">
      <c r="A930" s="126"/>
      <c r="B930" s="129"/>
      <c r="C930" s="124"/>
      <c r="D930" s="149"/>
      <c r="E930" s="150"/>
      <c r="F930" s="150"/>
      <c r="G930" s="128"/>
      <c r="H930" s="128"/>
      <c r="I930" s="140"/>
      <c r="J930" s="194" t="s">
        <v>39</v>
      </c>
      <c r="K930" s="223"/>
      <c r="L930" s="118"/>
      <c r="M930" s="166"/>
    </row>
    <row r="931" spans="1:13" ht="15" customHeight="1" thickBot="1" x14ac:dyDescent="0.3">
      <c r="A931" s="126"/>
      <c r="B931" s="129"/>
      <c r="C931" s="124"/>
      <c r="D931" s="149"/>
      <c r="E931" s="150"/>
      <c r="F931" s="150"/>
      <c r="G931" s="128"/>
      <c r="H931" s="128"/>
      <c r="I931" s="140"/>
      <c r="J931" s="112"/>
      <c r="K931" s="166"/>
      <c r="L931" s="118"/>
      <c r="M931" s="166"/>
    </row>
    <row r="932" spans="1:13" ht="15" customHeight="1" x14ac:dyDescent="0.25">
      <c r="A932" s="126"/>
      <c r="B932" s="129"/>
      <c r="C932" s="124"/>
      <c r="D932" s="149"/>
      <c r="E932" s="150"/>
      <c r="F932" s="150"/>
      <c r="G932" s="128"/>
      <c r="H932" s="128"/>
      <c r="I932" s="140"/>
      <c r="J932" s="194" t="s">
        <v>40</v>
      </c>
      <c r="K932" s="223"/>
      <c r="L932" s="118"/>
      <c r="M932" s="166"/>
    </row>
    <row r="933" spans="1:13" ht="15" customHeight="1" thickBot="1" x14ac:dyDescent="0.3">
      <c r="A933" s="126"/>
      <c r="B933" s="129"/>
      <c r="C933" s="124"/>
      <c r="D933" s="149"/>
      <c r="E933" s="150"/>
      <c r="F933" s="150"/>
      <c r="G933" s="128"/>
      <c r="H933" s="128"/>
      <c r="I933" s="140"/>
      <c r="J933" s="112"/>
      <c r="K933" s="166"/>
      <c r="L933" s="118"/>
      <c r="M933" s="166"/>
    </row>
    <row r="934" spans="1:13" ht="15" customHeight="1" x14ac:dyDescent="0.25">
      <c r="A934" s="126"/>
      <c r="B934" s="129"/>
      <c r="C934" s="124"/>
      <c r="D934" s="149"/>
      <c r="E934" s="150"/>
      <c r="F934" s="150"/>
      <c r="G934" s="128"/>
      <c r="H934" s="128"/>
      <c r="I934" s="140"/>
      <c r="J934" s="194" t="s">
        <v>41</v>
      </c>
      <c r="K934" s="223"/>
      <c r="L934" s="118"/>
      <c r="M934" s="166"/>
    </row>
    <row r="935" spans="1:13" ht="15" customHeight="1" thickBot="1" x14ac:dyDescent="0.3">
      <c r="A935" s="126"/>
      <c r="B935" s="129"/>
      <c r="C935" s="124"/>
      <c r="D935" s="149"/>
      <c r="E935" s="150"/>
      <c r="F935" s="150"/>
      <c r="G935" s="128"/>
      <c r="H935" s="128"/>
      <c r="I935" s="140"/>
      <c r="J935" s="112"/>
      <c r="K935" s="166"/>
      <c r="L935" s="118"/>
      <c r="M935" s="166"/>
    </row>
    <row r="936" spans="1:13" ht="15" customHeight="1" x14ac:dyDescent="0.25">
      <c r="A936" s="126"/>
      <c r="B936" s="129"/>
      <c r="C936" s="124"/>
      <c r="D936" s="149"/>
      <c r="E936" s="150"/>
      <c r="F936" s="150"/>
      <c r="G936" s="128"/>
      <c r="H936" s="128"/>
      <c r="I936" s="140"/>
      <c r="J936" s="194" t="s">
        <v>42</v>
      </c>
      <c r="K936" s="223"/>
      <c r="L936" s="111"/>
      <c r="M936" s="166"/>
    </row>
    <row r="937" spans="1:13" ht="15" customHeight="1" thickBot="1" x14ac:dyDescent="0.3">
      <c r="A937" s="126"/>
      <c r="B937" s="129"/>
      <c r="C937" s="124"/>
      <c r="D937" s="149"/>
      <c r="E937" s="150"/>
      <c r="F937" s="150"/>
      <c r="G937" s="128"/>
      <c r="H937" s="128"/>
      <c r="I937" s="140"/>
      <c r="J937" s="112"/>
      <c r="K937" s="166"/>
      <c r="L937" s="111"/>
      <c r="M937" s="166"/>
    </row>
    <row r="938" spans="1:13" ht="15" customHeight="1" x14ac:dyDescent="0.25">
      <c r="A938" s="126"/>
      <c r="B938" s="129"/>
      <c r="C938" s="124"/>
      <c r="D938" s="149"/>
      <c r="E938" s="150"/>
      <c r="F938" s="150"/>
      <c r="G938" s="128"/>
      <c r="H938" s="128"/>
      <c r="I938" s="140"/>
      <c r="J938" s="193" t="s">
        <v>43</v>
      </c>
      <c r="K938" s="223"/>
      <c r="L938" s="111"/>
      <c r="M938" s="166"/>
    </row>
    <row r="939" spans="1:13" ht="15" customHeight="1" x14ac:dyDescent="0.25">
      <c r="A939" s="126"/>
      <c r="B939" s="129"/>
      <c r="C939" s="124"/>
      <c r="D939" s="149"/>
      <c r="E939" s="150"/>
      <c r="F939" s="150"/>
      <c r="G939" s="128"/>
      <c r="H939" s="128"/>
      <c r="I939" s="140"/>
      <c r="J939" s="112"/>
      <c r="K939" s="166"/>
      <c r="L939" s="111"/>
      <c r="M939" s="166"/>
    </row>
    <row r="940" spans="1:13" ht="15" customHeight="1" x14ac:dyDescent="0.25">
      <c r="A940" s="126"/>
      <c r="B940" s="129"/>
      <c r="C940" s="124"/>
      <c r="D940" s="149"/>
      <c r="E940" s="150"/>
      <c r="F940" s="150"/>
      <c r="G940" s="128"/>
      <c r="H940" s="128"/>
      <c r="I940" s="140"/>
      <c r="J940" s="194" t="s">
        <v>44</v>
      </c>
      <c r="K940" s="224"/>
      <c r="L940" s="111"/>
      <c r="M940" s="166"/>
    </row>
    <row r="941" spans="1:13" ht="15" customHeight="1" x14ac:dyDescent="0.25">
      <c r="A941" s="126"/>
      <c r="B941" s="129"/>
      <c r="C941" s="124"/>
      <c r="D941" s="149"/>
      <c r="E941" s="150"/>
      <c r="F941" s="150"/>
      <c r="G941" s="128"/>
      <c r="H941" s="128"/>
      <c r="I941" s="140"/>
      <c r="J941" s="112"/>
      <c r="K941" s="166"/>
      <c r="L941" s="111"/>
      <c r="M941" s="166"/>
    </row>
    <row r="942" spans="1:13" ht="15" customHeight="1" x14ac:dyDescent="0.25">
      <c r="A942" s="130"/>
      <c r="B942" s="129"/>
      <c r="C942" s="124"/>
      <c r="D942" s="149"/>
      <c r="E942" s="150"/>
      <c r="F942" s="150"/>
      <c r="G942" s="128"/>
      <c r="H942" s="128"/>
      <c r="I942" s="140"/>
      <c r="J942" s="194" t="s">
        <v>45</v>
      </c>
      <c r="K942" s="224"/>
      <c r="L942" s="111"/>
      <c r="M942" s="166"/>
    </row>
    <row r="943" spans="1:13" ht="5.0999999999999996" customHeight="1" x14ac:dyDescent="0.25">
      <c r="A943" s="140"/>
      <c r="B943" s="140"/>
      <c r="C943" s="140"/>
      <c r="D943" s="140"/>
      <c r="E943" s="140"/>
      <c r="F943" s="140"/>
      <c r="G943" s="140"/>
      <c r="H943" s="140"/>
      <c r="I943" s="140"/>
      <c r="J943" s="112"/>
      <c r="K943" s="166"/>
      <c r="L943" s="111"/>
      <c r="M943" s="191"/>
    </row>
    <row r="944" spans="1:13" ht="16.5" thickBot="1" x14ac:dyDescent="0.3">
      <c r="A944" s="113"/>
      <c r="B944" s="114"/>
      <c r="C944" s="115"/>
      <c r="D944" s="115"/>
      <c r="E944" s="116"/>
      <c r="F944" s="116"/>
      <c r="G944" s="164"/>
      <c r="H944" s="120"/>
      <c r="I944" s="140"/>
      <c r="J944" s="120"/>
      <c r="K944" s="121"/>
      <c r="L944" s="221"/>
      <c r="M944" s="191"/>
    </row>
    <row r="945" spans="1:13" ht="5.0999999999999996" customHeight="1" thickBot="1" x14ac:dyDescent="0.3">
      <c r="A945" s="217"/>
      <c r="B945" s="212"/>
      <c r="C945" s="213"/>
      <c r="D945" s="213"/>
      <c r="E945" s="214"/>
      <c r="F945" s="214"/>
      <c r="G945" s="215"/>
      <c r="H945" s="218"/>
      <c r="I945" s="140"/>
      <c r="J945" s="218"/>
      <c r="K945" s="220"/>
      <c r="L945" s="221"/>
      <c r="M945" s="191"/>
    </row>
    <row r="946" spans="1:13" ht="15" customHeight="1" thickBot="1" x14ac:dyDescent="0.3">
      <c r="A946" s="125"/>
      <c r="B946" s="148"/>
      <c r="C946" s="124"/>
      <c r="D946" s="149"/>
      <c r="E946" s="150"/>
      <c r="F946" s="150"/>
      <c r="G946" s="127"/>
      <c r="H946" s="189"/>
      <c r="I946" s="140"/>
      <c r="J946" s="209"/>
      <c r="K946" s="223"/>
      <c r="L946" s="112"/>
      <c r="M946" s="166"/>
    </row>
    <row r="947" spans="1:13" ht="15" customHeight="1" thickBot="1" x14ac:dyDescent="0.3">
      <c r="A947" s="126"/>
      <c r="B947" s="129"/>
      <c r="C947" s="124"/>
      <c r="D947" s="149"/>
      <c r="E947" s="150"/>
      <c r="F947" s="150"/>
      <c r="G947" s="128"/>
      <c r="H947" s="128"/>
      <c r="I947" s="140"/>
      <c r="J947" s="112"/>
      <c r="K947" s="166"/>
      <c r="L947" s="118"/>
      <c r="M947" s="166"/>
    </row>
    <row r="948" spans="1:13" ht="15" customHeight="1" x14ac:dyDescent="0.25">
      <c r="A948" s="126"/>
      <c r="B948" s="129"/>
      <c r="C948" s="124"/>
      <c r="D948" s="149"/>
      <c r="E948" s="150"/>
      <c r="F948" s="150"/>
      <c r="G948" s="128"/>
      <c r="H948" s="128"/>
      <c r="I948" s="140"/>
      <c r="J948" s="194" t="s">
        <v>39</v>
      </c>
      <c r="K948" s="223"/>
      <c r="L948" s="118"/>
      <c r="M948" s="166"/>
    </row>
    <row r="949" spans="1:13" ht="15" customHeight="1" thickBot="1" x14ac:dyDescent="0.3">
      <c r="A949" s="126"/>
      <c r="B949" s="129"/>
      <c r="C949" s="124"/>
      <c r="D949" s="149"/>
      <c r="E949" s="150"/>
      <c r="F949" s="150"/>
      <c r="G949" s="128"/>
      <c r="H949" s="128"/>
      <c r="I949" s="140"/>
      <c r="J949" s="112"/>
      <c r="K949" s="166"/>
      <c r="L949" s="118"/>
      <c r="M949" s="166"/>
    </row>
    <row r="950" spans="1:13" ht="15" customHeight="1" x14ac:dyDescent="0.25">
      <c r="A950" s="126"/>
      <c r="B950" s="129"/>
      <c r="C950" s="124"/>
      <c r="D950" s="149"/>
      <c r="E950" s="150"/>
      <c r="F950" s="150"/>
      <c r="G950" s="128"/>
      <c r="H950" s="128"/>
      <c r="I950" s="140"/>
      <c r="J950" s="194" t="s">
        <v>40</v>
      </c>
      <c r="K950" s="223"/>
      <c r="L950" s="118"/>
      <c r="M950" s="166"/>
    </row>
    <row r="951" spans="1:13" ht="15" customHeight="1" thickBot="1" x14ac:dyDescent="0.3">
      <c r="A951" s="126"/>
      <c r="B951" s="129"/>
      <c r="C951" s="124"/>
      <c r="D951" s="149"/>
      <c r="E951" s="150"/>
      <c r="F951" s="150"/>
      <c r="G951" s="128"/>
      <c r="H951" s="128"/>
      <c r="I951" s="140"/>
      <c r="J951" s="112"/>
      <c r="K951" s="166"/>
      <c r="L951" s="118"/>
      <c r="M951" s="166"/>
    </row>
    <row r="952" spans="1:13" ht="15" customHeight="1" x14ac:dyDescent="0.25">
      <c r="A952" s="126"/>
      <c r="B952" s="129"/>
      <c r="C952" s="124"/>
      <c r="D952" s="149"/>
      <c r="E952" s="150"/>
      <c r="F952" s="150"/>
      <c r="G952" s="128"/>
      <c r="H952" s="128"/>
      <c r="I952" s="140"/>
      <c r="J952" s="194" t="s">
        <v>41</v>
      </c>
      <c r="K952" s="223"/>
      <c r="L952" s="118"/>
      <c r="M952" s="166"/>
    </row>
    <row r="953" spans="1:13" ht="15" customHeight="1" thickBot="1" x14ac:dyDescent="0.3">
      <c r="A953" s="126"/>
      <c r="B953" s="129"/>
      <c r="C953" s="124"/>
      <c r="D953" s="149"/>
      <c r="E953" s="150"/>
      <c r="F953" s="150"/>
      <c r="G953" s="128"/>
      <c r="H953" s="128"/>
      <c r="I953" s="140"/>
      <c r="J953" s="112"/>
      <c r="K953" s="166"/>
      <c r="L953" s="118"/>
      <c r="M953" s="166"/>
    </row>
    <row r="954" spans="1:13" ht="15" customHeight="1" x14ac:dyDescent="0.25">
      <c r="A954" s="126"/>
      <c r="B954" s="129"/>
      <c r="C954" s="124"/>
      <c r="D954" s="149"/>
      <c r="E954" s="150"/>
      <c r="F954" s="150"/>
      <c r="G954" s="128"/>
      <c r="H954" s="128"/>
      <c r="I954" s="140"/>
      <c r="J954" s="194" t="s">
        <v>42</v>
      </c>
      <c r="K954" s="223"/>
      <c r="L954" s="111"/>
      <c r="M954" s="166"/>
    </row>
    <row r="955" spans="1:13" ht="15" customHeight="1" thickBot="1" x14ac:dyDescent="0.3">
      <c r="A955" s="126"/>
      <c r="B955" s="129"/>
      <c r="C955" s="124"/>
      <c r="D955" s="149"/>
      <c r="E955" s="150"/>
      <c r="F955" s="150"/>
      <c r="G955" s="128"/>
      <c r="H955" s="128"/>
      <c r="I955" s="140"/>
      <c r="J955" s="112"/>
      <c r="K955" s="166"/>
      <c r="L955" s="111"/>
      <c r="M955" s="166"/>
    </row>
    <row r="956" spans="1:13" ht="15" customHeight="1" x14ac:dyDescent="0.25">
      <c r="A956" s="126"/>
      <c r="B956" s="129"/>
      <c r="C956" s="124"/>
      <c r="D956" s="149"/>
      <c r="E956" s="150"/>
      <c r="F956" s="150"/>
      <c r="G956" s="128"/>
      <c r="H956" s="128"/>
      <c r="I956" s="140"/>
      <c r="J956" s="193" t="s">
        <v>43</v>
      </c>
      <c r="K956" s="223"/>
      <c r="L956" s="111"/>
      <c r="M956" s="166"/>
    </row>
    <row r="957" spans="1:13" ht="15" customHeight="1" x14ac:dyDescent="0.25">
      <c r="A957" s="126"/>
      <c r="B957" s="129"/>
      <c r="C957" s="124"/>
      <c r="D957" s="149"/>
      <c r="E957" s="150"/>
      <c r="F957" s="150"/>
      <c r="G957" s="128"/>
      <c r="H957" s="128"/>
      <c r="I957" s="140"/>
      <c r="J957" s="112"/>
      <c r="K957" s="166"/>
      <c r="L957" s="111"/>
      <c r="M957" s="166"/>
    </row>
    <row r="958" spans="1:13" ht="15" customHeight="1" x14ac:dyDescent="0.25">
      <c r="A958" s="126"/>
      <c r="B958" s="129"/>
      <c r="C958" s="124"/>
      <c r="D958" s="149"/>
      <c r="E958" s="150"/>
      <c r="F958" s="150"/>
      <c r="G958" s="128"/>
      <c r="H958" s="128"/>
      <c r="I958" s="140"/>
      <c r="J958" s="194" t="s">
        <v>44</v>
      </c>
      <c r="K958" s="224"/>
      <c r="L958" s="111"/>
      <c r="M958" s="166"/>
    </row>
    <row r="959" spans="1:13" ht="15" customHeight="1" x14ac:dyDescent="0.25">
      <c r="A959" s="126"/>
      <c r="B959" s="129"/>
      <c r="C959" s="124"/>
      <c r="D959" s="149"/>
      <c r="E959" s="150"/>
      <c r="F959" s="150"/>
      <c r="G959" s="128"/>
      <c r="H959" s="128"/>
      <c r="I959" s="140"/>
      <c r="J959" s="112"/>
      <c r="K959" s="166"/>
      <c r="L959" s="111"/>
      <c r="M959" s="166"/>
    </row>
    <row r="960" spans="1:13" ht="15" customHeight="1" x14ac:dyDescent="0.25">
      <c r="A960" s="130"/>
      <c r="B960" s="129"/>
      <c r="C960" s="124"/>
      <c r="D960" s="149"/>
      <c r="E960" s="150"/>
      <c r="F960" s="150"/>
      <c r="G960" s="128"/>
      <c r="H960" s="128"/>
      <c r="I960" s="140"/>
      <c r="J960" s="194" t="s">
        <v>45</v>
      </c>
      <c r="K960" s="224"/>
      <c r="L960" s="111"/>
      <c r="M960" s="166"/>
    </row>
    <row r="961" spans="1:13" ht="5.0999999999999996" customHeight="1" x14ac:dyDescent="0.25">
      <c r="A961" s="140"/>
      <c r="B961" s="140"/>
      <c r="C961" s="140"/>
      <c r="D961" s="140"/>
      <c r="E961" s="140"/>
      <c r="F961" s="140"/>
      <c r="G961" s="140"/>
      <c r="H961" s="140"/>
      <c r="I961" s="140"/>
      <c r="J961" s="112"/>
      <c r="K961" s="166"/>
      <c r="L961" s="111"/>
      <c r="M961" s="191"/>
    </row>
    <row r="962" spans="1:13" ht="16.5" thickBot="1" x14ac:dyDescent="0.3">
      <c r="A962" s="113"/>
      <c r="B962" s="114"/>
      <c r="C962" s="115"/>
      <c r="D962" s="115"/>
      <c r="E962" s="116"/>
      <c r="F962" s="116"/>
      <c r="G962" s="164"/>
      <c r="H962" s="120"/>
      <c r="I962" s="140"/>
      <c r="J962" s="120"/>
      <c r="K962" s="121"/>
      <c r="L962" s="221"/>
      <c r="M962" s="191"/>
    </row>
    <row r="963" spans="1:13" ht="5.0999999999999996" customHeight="1" thickBot="1" x14ac:dyDescent="0.3">
      <c r="A963" s="217"/>
      <c r="B963" s="212"/>
      <c r="C963" s="213"/>
      <c r="D963" s="213"/>
      <c r="E963" s="214"/>
      <c r="F963" s="214"/>
      <c r="G963" s="215"/>
      <c r="H963" s="218"/>
      <c r="I963" s="140"/>
      <c r="J963" s="218"/>
      <c r="K963" s="220"/>
      <c r="L963" s="221"/>
      <c r="M963" s="191"/>
    </row>
    <row r="964" spans="1:13" ht="15" customHeight="1" thickBot="1" x14ac:dyDescent="0.3">
      <c r="A964" s="125"/>
      <c r="B964" s="148"/>
      <c r="C964" s="124"/>
      <c r="D964" s="149"/>
      <c r="E964" s="150"/>
      <c r="F964" s="150"/>
      <c r="G964" s="127"/>
      <c r="H964" s="189"/>
      <c r="I964" s="140"/>
      <c r="J964" s="209"/>
      <c r="K964" s="223"/>
      <c r="L964" s="112"/>
      <c r="M964" s="166"/>
    </row>
    <row r="965" spans="1:13" ht="15" customHeight="1" thickBot="1" x14ac:dyDescent="0.3">
      <c r="A965" s="126"/>
      <c r="B965" s="129"/>
      <c r="C965" s="124"/>
      <c r="D965" s="149"/>
      <c r="E965" s="150"/>
      <c r="F965" s="150"/>
      <c r="G965" s="128"/>
      <c r="H965" s="128"/>
      <c r="I965" s="140"/>
      <c r="J965" s="112"/>
      <c r="K965" s="166"/>
      <c r="L965" s="118"/>
      <c r="M965" s="166"/>
    </row>
    <row r="966" spans="1:13" ht="15" customHeight="1" x14ac:dyDescent="0.25">
      <c r="A966" s="126"/>
      <c r="B966" s="129"/>
      <c r="C966" s="124"/>
      <c r="D966" s="149"/>
      <c r="E966" s="150"/>
      <c r="F966" s="150"/>
      <c r="G966" s="128"/>
      <c r="H966" s="128"/>
      <c r="I966" s="140"/>
      <c r="J966" s="194" t="s">
        <v>39</v>
      </c>
      <c r="K966" s="223"/>
      <c r="L966" s="118"/>
      <c r="M966" s="166"/>
    </row>
    <row r="967" spans="1:13" ht="15" customHeight="1" thickBot="1" x14ac:dyDescent="0.3">
      <c r="A967" s="126"/>
      <c r="B967" s="129"/>
      <c r="C967" s="124"/>
      <c r="D967" s="149"/>
      <c r="E967" s="150"/>
      <c r="F967" s="150"/>
      <c r="G967" s="128"/>
      <c r="H967" s="128"/>
      <c r="I967" s="140"/>
      <c r="J967" s="112"/>
      <c r="K967" s="166"/>
      <c r="L967" s="118"/>
      <c r="M967" s="166"/>
    </row>
    <row r="968" spans="1:13" ht="15" customHeight="1" x14ac:dyDescent="0.25">
      <c r="A968" s="126"/>
      <c r="B968" s="129"/>
      <c r="C968" s="124"/>
      <c r="D968" s="149"/>
      <c r="E968" s="150"/>
      <c r="F968" s="150"/>
      <c r="G968" s="128"/>
      <c r="H968" s="128"/>
      <c r="I968" s="140"/>
      <c r="J968" s="194" t="s">
        <v>40</v>
      </c>
      <c r="K968" s="223"/>
      <c r="L968" s="118"/>
      <c r="M968" s="166"/>
    </row>
    <row r="969" spans="1:13" ht="15" customHeight="1" thickBot="1" x14ac:dyDescent="0.3">
      <c r="A969" s="126"/>
      <c r="B969" s="129"/>
      <c r="C969" s="124"/>
      <c r="D969" s="149"/>
      <c r="E969" s="150"/>
      <c r="F969" s="150"/>
      <c r="G969" s="128"/>
      <c r="H969" s="128"/>
      <c r="I969" s="140"/>
      <c r="J969" s="112"/>
      <c r="K969" s="166"/>
      <c r="L969" s="118"/>
      <c r="M969" s="166"/>
    </row>
    <row r="970" spans="1:13" ht="15" customHeight="1" x14ac:dyDescent="0.25">
      <c r="A970" s="126"/>
      <c r="B970" s="129"/>
      <c r="C970" s="124"/>
      <c r="D970" s="149"/>
      <c r="E970" s="150"/>
      <c r="F970" s="150"/>
      <c r="G970" s="128"/>
      <c r="H970" s="128"/>
      <c r="I970" s="140"/>
      <c r="J970" s="194" t="s">
        <v>41</v>
      </c>
      <c r="K970" s="223"/>
      <c r="L970" s="118"/>
      <c r="M970" s="166"/>
    </row>
    <row r="971" spans="1:13" ht="15" customHeight="1" thickBot="1" x14ac:dyDescent="0.3">
      <c r="A971" s="126"/>
      <c r="B971" s="129"/>
      <c r="C971" s="124"/>
      <c r="D971" s="149"/>
      <c r="E971" s="150"/>
      <c r="F971" s="150"/>
      <c r="G971" s="128"/>
      <c r="H971" s="128"/>
      <c r="I971" s="140"/>
      <c r="J971" s="112"/>
      <c r="K971" s="166"/>
      <c r="L971" s="118"/>
      <c r="M971" s="166"/>
    </row>
    <row r="972" spans="1:13" ht="15" customHeight="1" x14ac:dyDescent="0.25">
      <c r="A972" s="126"/>
      <c r="B972" s="129"/>
      <c r="C972" s="124"/>
      <c r="D972" s="149"/>
      <c r="E972" s="150"/>
      <c r="F972" s="150"/>
      <c r="G972" s="128"/>
      <c r="H972" s="128"/>
      <c r="I972" s="140"/>
      <c r="J972" s="194" t="s">
        <v>42</v>
      </c>
      <c r="K972" s="223"/>
      <c r="L972" s="111"/>
      <c r="M972" s="166"/>
    </row>
    <row r="973" spans="1:13" ht="15" customHeight="1" thickBot="1" x14ac:dyDescent="0.3">
      <c r="A973" s="126"/>
      <c r="B973" s="129"/>
      <c r="C973" s="124"/>
      <c r="D973" s="149"/>
      <c r="E973" s="150"/>
      <c r="F973" s="150"/>
      <c r="G973" s="128"/>
      <c r="H973" s="128"/>
      <c r="I973" s="140"/>
      <c r="J973" s="112"/>
      <c r="K973" s="166"/>
      <c r="L973" s="111"/>
      <c r="M973" s="166"/>
    </row>
    <row r="974" spans="1:13" ht="15" customHeight="1" x14ac:dyDescent="0.25">
      <c r="A974" s="126"/>
      <c r="B974" s="129"/>
      <c r="C974" s="124"/>
      <c r="D974" s="149"/>
      <c r="E974" s="150"/>
      <c r="F974" s="150"/>
      <c r="G974" s="128"/>
      <c r="H974" s="128"/>
      <c r="I974" s="140"/>
      <c r="J974" s="193" t="s">
        <v>43</v>
      </c>
      <c r="K974" s="223"/>
      <c r="L974" s="111"/>
      <c r="M974" s="166"/>
    </row>
    <row r="975" spans="1:13" ht="15" customHeight="1" x14ac:dyDescent="0.25">
      <c r="A975" s="126"/>
      <c r="B975" s="129"/>
      <c r="C975" s="124"/>
      <c r="D975" s="149"/>
      <c r="E975" s="150"/>
      <c r="F975" s="150"/>
      <c r="G975" s="128"/>
      <c r="H975" s="128"/>
      <c r="I975" s="140"/>
      <c r="J975" s="112"/>
      <c r="K975" s="166"/>
      <c r="L975" s="111"/>
      <c r="M975" s="166"/>
    </row>
    <row r="976" spans="1:13" ht="15" customHeight="1" x14ac:dyDescent="0.25">
      <c r="A976" s="126"/>
      <c r="B976" s="129"/>
      <c r="C976" s="124"/>
      <c r="D976" s="149"/>
      <c r="E976" s="150"/>
      <c r="F976" s="150"/>
      <c r="G976" s="128"/>
      <c r="H976" s="128"/>
      <c r="I976" s="140"/>
      <c r="J976" s="194" t="s">
        <v>44</v>
      </c>
      <c r="K976" s="224"/>
      <c r="L976" s="111"/>
      <c r="M976" s="166"/>
    </row>
    <row r="977" spans="1:13" ht="15" customHeight="1" x14ac:dyDescent="0.25">
      <c r="A977" s="126"/>
      <c r="B977" s="129"/>
      <c r="C977" s="124"/>
      <c r="D977" s="149"/>
      <c r="E977" s="150"/>
      <c r="F977" s="150"/>
      <c r="G977" s="128"/>
      <c r="H977" s="128"/>
      <c r="I977" s="140"/>
      <c r="J977" s="112"/>
      <c r="K977" s="166"/>
      <c r="L977" s="111"/>
      <c r="M977" s="166"/>
    </row>
    <row r="978" spans="1:13" ht="15" customHeight="1" x14ac:dyDescent="0.25">
      <c r="A978" s="130"/>
      <c r="B978" s="129"/>
      <c r="C978" s="124"/>
      <c r="D978" s="149"/>
      <c r="E978" s="150"/>
      <c r="F978" s="150"/>
      <c r="G978" s="128"/>
      <c r="H978" s="128"/>
      <c r="I978" s="140"/>
      <c r="J978" s="194" t="s">
        <v>45</v>
      </c>
      <c r="K978" s="224"/>
      <c r="L978" s="111"/>
      <c r="M978" s="166"/>
    </row>
    <row r="979" spans="1:13" ht="5.0999999999999996" customHeight="1" x14ac:dyDescent="0.25">
      <c r="A979" s="140"/>
      <c r="B979" s="140"/>
      <c r="C979" s="140"/>
      <c r="D979" s="140"/>
      <c r="E979" s="140"/>
      <c r="F979" s="140"/>
      <c r="G979" s="140"/>
      <c r="H979" s="140"/>
      <c r="I979" s="140"/>
      <c r="J979" s="112"/>
      <c r="K979" s="166"/>
      <c r="L979" s="111"/>
      <c r="M979" s="191"/>
    </row>
    <row r="980" spans="1:13" ht="16.5" thickBot="1" x14ac:dyDescent="0.3">
      <c r="A980" s="113"/>
      <c r="B980" s="114"/>
      <c r="C980" s="115"/>
      <c r="D980" s="115"/>
      <c r="E980" s="116"/>
      <c r="F980" s="116"/>
      <c r="G980" s="164"/>
      <c r="H980" s="120"/>
      <c r="I980" s="140"/>
      <c r="J980" s="120"/>
      <c r="K980" s="121"/>
      <c r="L980" s="221"/>
      <c r="M980" s="191"/>
    </row>
    <row r="981" spans="1:13" ht="5.0999999999999996" customHeight="1" thickBot="1" x14ac:dyDescent="0.3">
      <c r="A981" s="217"/>
      <c r="B981" s="212"/>
      <c r="C981" s="213"/>
      <c r="D981" s="213"/>
      <c r="E981" s="214"/>
      <c r="F981" s="214"/>
      <c r="G981" s="215"/>
      <c r="H981" s="218"/>
      <c r="I981" s="140"/>
      <c r="J981" s="218"/>
      <c r="K981" s="220"/>
      <c r="L981" s="221"/>
      <c r="M981" s="191"/>
    </row>
    <row r="982" spans="1:13" ht="15" customHeight="1" thickBot="1" x14ac:dyDescent="0.3">
      <c r="A982" s="125"/>
      <c r="B982" s="148"/>
      <c r="C982" s="124"/>
      <c r="D982" s="149"/>
      <c r="E982" s="150"/>
      <c r="F982" s="150"/>
      <c r="G982" s="127"/>
      <c r="H982" s="189"/>
      <c r="I982" s="140"/>
      <c r="J982" s="209"/>
      <c r="K982" s="223"/>
      <c r="L982" s="112"/>
      <c r="M982" s="166"/>
    </row>
    <row r="983" spans="1:13" ht="15" customHeight="1" thickBot="1" x14ac:dyDescent="0.3">
      <c r="A983" s="126"/>
      <c r="B983" s="129"/>
      <c r="C983" s="124"/>
      <c r="D983" s="149"/>
      <c r="E983" s="150"/>
      <c r="F983" s="150"/>
      <c r="G983" s="128"/>
      <c r="H983" s="128"/>
      <c r="I983" s="140"/>
      <c r="J983" s="112"/>
      <c r="K983" s="166"/>
      <c r="L983" s="118"/>
      <c r="M983" s="166"/>
    </row>
    <row r="984" spans="1:13" ht="15" customHeight="1" x14ac:dyDescent="0.25">
      <c r="A984" s="126"/>
      <c r="B984" s="129"/>
      <c r="C984" s="124"/>
      <c r="D984" s="149"/>
      <c r="E984" s="150"/>
      <c r="F984" s="150"/>
      <c r="G984" s="128"/>
      <c r="H984" s="128"/>
      <c r="I984" s="140"/>
      <c r="J984" s="194" t="s">
        <v>39</v>
      </c>
      <c r="K984" s="223"/>
      <c r="L984" s="118"/>
      <c r="M984" s="166"/>
    </row>
    <row r="985" spans="1:13" ht="15" customHeight="1" thickBot="1" x14ac:dyDescent="0.3">
      <c r="A985" s="126"/>
      <c r="B985" s="129"/>
      <c r="C985" s="124"/>
      <c r="D985" s="149"/>
      <c r="E985" s="150"/>
      <c r="F985" s="150"/>
      <c r="G985" s="128"/>
      <c r="H985" s="128"/>
      <c r="I985" s="140"/>
      <c r="J985" s="112"/>
      <c r="K985" s="166"/>
      <c r="L985" s="118"/>
      <c r="M985" s="166"/>
    </row>
    <row r="986" spans="1:13" ht="15" customHeight="1" x14ac:dyDescent="0.25">
      <c r="A986" s="126"/>
      <c r="B986" s="129"/>
      <c r="C986" s="124"/>
      <c r="D986" s="149"/>
      <c r="E986" s="150"/>
      <c r="F986" s="150"/>
      <c r="G986" s="128"/>
      <c r="H986" s="128"/>
      <c r="I986" s="140"/>
      <c r="J986" s="194" t="s">
        <v>40</v>
      </c>
      <c r="K986" s="223"/>
      <c r="L986" s="118"/>
      <c r="M986" s="166"/>
    </row>
    <row r="987" spans="1:13" ht="15" customHeight="1" thickBot="1" x14ac:dyDescent="0.3">
      <c r="A987" s="126"/>
      <c r="B987" s="129"/>
      <c r="C987" s="124"/>
      <c r="D987" s="149"/>
      <c r="E987" s="150"/>
      <c r="F987" s="150"/>
      <c r="G987" s="128"/>
      <c r="H987" s="128"/>
      <c r="I987" s="140"/>
      <c r="J987" s="112"/>
      <c r="K987" s="166"/>
      <c r="L987" s="118"/>
      <c r="M987" s="166"/>
    </row>
    <row r="988" spans="1:13" ht="15" customHeight="1" x14ac:dyDescent="0.25">
      <c r="A988" s="126"/>
      <c r="B988" s="129"/>
      <c r="C988" s="124"/>
      <c r="D988" s="149"/>
      <c r="E988" s="150"/>
      <c r="F988" s="150"/>
      <c r="G988" s="128"/>
      <c r="H988" s="128"/>
      <c r="I988" s="140"/>
      <c r="J988" s="194" t="s">
        <v>41</v>
      </c>
      <c r="K988" s="223"/>
      <c r="L988" s="118"/>
      <c r="M988" s="166"/>
    </row>
    <row r="989" spans="1:13" ht="15" customHeight="1" thickBot="1" x14ac:dyDescent="0.3">
      <c r="A989" s="126"/>
      <c r="B989" s="129"/>
      <c r="C989" s="124"/>
      <c r="D989" s="149"/>
      <c r="E989" s="150"/>
      <c r="F989" s="150"/>
      <c r="G989" s="128"/>
      <c r="H989" s="128"/>
      <c r="I989" s="140"/>
      <c r="J989" s="112"/>
      <c r="K989" s="166"/>
      <c r="L989" s="118"/>
      <c r="M989" s="166"/>
    </row>
    <row r="990" spans="1:13" ht="15" customHeight="1" x14ac:dyDescent="0.25">
      <c r="A990" s="126"/>
      <c r="B990" s="129"/>
      <c r="C990" s="124"/>
      <c r="D990" s="149"/>
      <c r="E990" s="150"/>
      <c r="F990" s="150"/>
      <c r="G990" s="128"/>
      <c r="H990" s="128"/>
      <c r="I990" s="140"/>
      <c r="J990" s="194" t="s">
        <v>42</v>
      </c>
      <c r="K990" s="223"/>
      <c r="L990" s="111"/>
      <c r="M990" s="166"/>
    </row>
    <row r="991" spans="1:13" ht="15" customHeight="1" thickBot="1" x14ac:dyDescent="0.3">
      <c r="A991" s="126"/>
      <c r="B991" s="129"/>
      <c r="C991" s="124"/>
      <c r="D991" s="149"/>
      <c r="E991" s="150"/>
      <c r="F991" s="150"/>
      <c r="G991" s="128"/>
      <c r="H991" s="128"/>
      <c r="I991" s="140"/>
      <c r="J991" s="112"/>
      <c r="K991" s="166"/>
      <c r="L991" s="111"/>
      <c r="M991" s="166"/>
    </row>
    <row r="992" spans="1:13" ht="15" customHeight="1" x14ac:dyDescent="0.25">
      <c r="A992" s="126"/>
      <c r="B992" s="129"/>
      <c r="C992" s="124"/>
      <c r="D992" s="149"/>
      <c r="E992" s="150"/>
      <c r="F992" s="150"/>
      <c r="G992" s="128"/>
      <c r="H992" s="128"/>
      <c r="I992" s="140"/>
      <c r="J992" s="193" t="s">
        <v>43</v>
      </c>
      <c r="K992" s="223"/>
      <c r="L992" s="111"/>
      <c r="M992" s="166"/>
    </row>
    <row r="993" spans="1:13" ht="15" customHeight="1" x14ac:dyDescent="0.25">
      <c r="A993" s="126"/>
      <c r="B993" s="129"/>
      <c r="C993" s="124"/>
      <c r="D993" s="149"/>
      <c r="E993" s="150"/>
      <c r="F993" s="150"/>
      <c r="G993" s="128"/>
      <c r="H993" s="128"/>
      <c r="I993" s="140"/>
      <c r="J993" s="112"/>
      <c r="K993" s="166"/>
      <c r="L993" s="111"/>
      <c r="M993" s="166"/>
    </row>
    <row r="994" spans="1:13" ht="15" customHeight="1" x14ac:dyDescent="0.25">
      <c r="A994" s="126"/>
      <c r="B994" s="129"/>
      <c r="C994" s="124"/>
      <c r="D994" s="149"/>
      <c r="E994" s="150"/>
      <c r="F994" s="150"/>
      <c r="G994" s="128"/>
      <c r="H994" s="128"/>
      <c r="I994" s="140"/>
      <c r="J994" s="194" t="s">
        <v>44</v>
      </c>
      <c r="K994" s="224"/>
      <c r="L994" s="111"/>
      <c r="M994" s="166"/>
    </row>
    <row r="995" spans="1:13" ht="15" customHeight="1" x14ac:dyDescent="0.25">
      <c r="A995" s="126"/>
      <c r="B995" s="129"/>
      <c r="C995" s="124"/>
      <c r="D995" s="149"/>
      <c r="E995" s="150"/>
      <c r="F995" s="150"/>
      <c r="G995" s="128"/>
      <c r="H995" s="128"/>
      <c r="I995" s="140"/>
      <c r="J995" s="112"/>
      <c r="K995" s="166"/>
      <c r="L995" s="111"/>
      <c r="M995" s="166"/>
    </row>
    <row r="996" spans="1:13" ht="15" customHeight="1" x14ac:dyDescent="0.25">
      <c r="A996" s="130"/>
      <c r="B996" s="129"/>
      <c r="C996" s="124"/>
      <c r="D996" s="149"/>
      <c r="E996" s="150"/>
      <c r="F996" s="150"/>
      <c r="G996" s="128"/>
      <c r="H996" s="128"/>
      <c r="I996" s="140"/>
      <c r="J996" s="194" t="s">
        <v>45</v>
      </c>
      <c r="K996" s="224"/>
      <c r="L996" s="111"/>
      <c r="M996" s="166"/>
    </row>
    <row r="997" spans="1:13" ht="5.0999999999999996" customHeight="1" x14ac:dyDescent="0.25">
      <c r="A997" s="140"/>
      <c r="B997" s="140"/>
      <c r="C997" s="140"/>
      <c r="D997" s="140"/>
      <c r="E997" s="140"/>
      <c r="F997" s="140"/>
      <c r="G997" s="140"/>
      <c r="H997" s="140"/>
      <c r="I997" s="140"/>
      <c r="J997" s="112"/>
      <c r="K997" s="166"/>
      <c r="L997" s="111"/>
      <c r="M997" s="191"/>
    </row>
    <row r="998" spans="1:13" ht="16.5" thickBot="1" x14ac:dyDescent="0.3">
      <c r="A998" s="113"/>
      <c r="B998" s="114"/>
      <c r="C998" s="115"/>
      <c r="D998" s="115"/>
      <c r="E998" s="116"/>
      <c r="F998" s="116"/>
      <c r="G998" s="164"/>
      <c r="H998" s="120"/>
      <c r="I998" s="140"/>
      <c r="J998" s="120"/>
      <c r="K998" s="121"/>
      <c r="L998" s="221"/>
      <c r="M998" s="191"/>
    </row>
    <row r="999" spans="1:13" ht="5.0999999999999996" customHeight="1" thickBot="1" x14ac:dyDescent="0.3">
      <c r="A999" s="217"/>
      <c r="B999" s="212"/>
      <c r="C999" s="213"/>
      <c r="D999" s="213"/>
      <c r="E999" s="214"/>
      <c r="F999" s="214"/>
      <c r="G999" s="215"/>
      <c r="H999" s="218"/>
      <c r="I999" s="140"/>
      <c r="J999" s="218"/>
      <c r="K999" s="220"/>
      <c r="L999" s="221"/>
      <c r="M999" s="191"/>
    </row>
    <row r="1000" spans="1:13" ht="15" customHeight="1" thickBot="1" x14ac:dyDescent="0.3">
      <c r="A1000" s="125"/>
      <c r="B1000" s="148"/>
      <c r="C1000" s="124"/>
      <c r="D1000" s="149"/>
      <c r="E1000" s="150"/>
      <c r="F1000" s="150"/>
      <c r="G1000" s="127"/>
      <c r="H1000" s="189"/>
      <c r="I1000" s="140"/>
      <c r="J1000" s="209"/>
      <c r="K1000" s="223"/>
      <c r="L1000" s="112"/>
      <c r="M1000" s="166"/>
    </row>
    <row r="1001" spans="1:13" ht="15" customHeight="1" thickBot="1" x14ac:dyDescent="0.3">
      <c r="A1001" s="126"/>
      <c r="B1001" s="129"/>
      <c r="C1001" s="124"/>
      <c r="D1001" s="149"/>
      <c r="E1001" s="150"/>
      <c r="F1001" s="150"/>
      <c r="G1001" s="128"/>
      <c r="H1001" s="128"/>
      <c r="I1001" s="140"/>
      <c r="J1001" s="112"/>
      <c r="K1001" s="166"/>
      <c r="L1001" s="118"/>
      <c r="M1001" s="166"/>
    </row>
    <row r="1002" spans="1:13" ht="15" customHeight="1" x14ac:dyDescent="0.25">
      <c r="A1002" s="126"/>
      <c r="B1002" s="129"/>
      <c r="C1002" s="124"/>
      <c r="D1002" s="149"/>
      <c r="E1002" s="150"/>
      <c r="F1002" s="150"/>
      <c r="G1002" s="128"/>
      <c r="H1002" s="128"/>
      <c r="I1002" s="140"/>
      <c r="J1002" s="194" t="s">
        <v>39</v>
      </c>
      <c r="K1002" s="223"/>
      <c r="L1002" s="118"/>
      <c r="M1002" s="166"/>
    </row>
    <row r="1003" spans="1:13" ht="15" customHeight="1" thickBot="1" x14ac:dyDescent="0.3">
      <c r="A1003" s="126"/>
      <c r="B1003" s="129"/>
      <c r="C1003" s="124"/>
      <c r="D1003" s="149"/>
      <c r="E1003" s="150"/>
      <c r="F1003" s="150"/>
      <c r="G1003" s="128"/>
      <c r="H1003" s="128"/>
      <c r="I1003" s="140"/>
      <c r="J1003" s="112"/>
      <c r="K1003" s="166"/>
      <c r="L1003" s="118"/>
      <c r="M1003" s="166"/>
    </row>
    <row r="1004" spans="1:13" ht="15" customHeight="1" x14ac:dyDescent="0.25">
      <c r="A1004" s="126"/>
      <c r="B1004" s="129"/>
      <c r="C1004" s="124"/>
      <c r="D1004" s="149"/>
      <c r="E1004" s="150"/>
      <c r="F1004" s="150"/>
      <c r="G1004" s="128"/>
      <c r="H1004" s="128"/>
      <c r="I1004" s="140"/>
      <c r="J1004" s="194" t="s">
        <v>40</v>
      </c>
      <c r="K1004" s="223"/>
      <c r="L1004" s="118"/>
      <c r="M1004" s="166"/>
    </row>
    <row r="1005" spans="1:13" ht="15" customHeight="1" thickBot="1" x14ac:dyDescent="0.3">
      <c r="A1005" s="126"/>
      <c r="B1005" s="129"/>
      <c r="C1005" s="124"/>
      <c r="D1005" s="149"/>
      <c r="E1005" s="150"/>
      <c r="F1005" s="150"/>
      <c r="G1005" s="128"/>
      <c r="H1005" s="128"/>
      <c r="I1005" s="140"/>
      <c r="J1005" s="112"/>
      <c r="K1005" s="166"/>
      <c r="L1005" s="118"/>
      <c r="M1005" s="166"/>
    </row>
    <row r="1006" spans="1:13" ht="15" customHeight="1" x14ac:dyDescent="0.25">
      <c r="A1006" s="126"/>
      <c r="B1006" s="129"/>
      <c r="C1006" s="124"/>
      <c r="D1006" s="149"/>
      <c r="E1006" s="150"/>
      <c r="F1006" s="150"/>
      <c r="G1006" s="128"/>
      <c r="H1006" s="128"/>
      <c r="I1006" s="140"/>
      <c r="J1006" s="194" t="s">
        <v>41</v>
      </c>
      <c r="K1006" s="223"/>
      <c r="L1006" s="118"/>
      <c r="M1006" s="166"/>
    </row>
    <row r="1007" spans="1:13" ht="15" customHeight="1" thickBot="1" x14ac:dyDescent="0.3">
      <c r="A1007" s="126"/>
      <c r="B1007" s="129"/>
      <c r="C1007" s="124"/>
      <c r="D1007" s="149"/>
      <c r="E1007" s="150"/>
      <c r="F1007" s="150"/>
      <c r="G1007" s="128"/>
      <c r="H1007" s="128"/>
      <c r="I1007" s="140"/>
      <c r="J1007" s="112"/>
      <c r="K1007" s="166"/>
      <c r="L1007" s="118"/>
      <c r="M1007" s="166"/>
    </row>
    <row r="1008" spans="1:13" ht="15" customHeight="1" x14ac:dyDescent="0.25">
      <c r="A1008" s="126"/>
      <c r="B1008" s="129"/>
      <c r="C1008" s="124"/>
      <c r="D1008" s="149"/>
      <c r="E1008" s="150"/>
      <c r="F1008" s="150"/>
      <c r="G1008" s="128"/>
      <c r="H1008" s="128"/>
      <c r="I1008" s="140"/>
      <c r="J1008" s="194" t="s">
        <v>42</v>
      </c>
      <c r="K1008" s="223"/>
      <c r="L1008" s="111"/>
      <c r="M1008" s="166"/>
    </row>
    <row r="1009" spans="1:13" ht="15" customHeight="1" thickBot="1" x14ac:dyDescent="0.3">
      <c r="A1009" s="126"/>
      <c r="B1009" s="129"/>
      <c r="C1009" s="124"/>
      <c r="D1009" s="149"/>
      <c r="E1009" s="150"/>
      <c r="F1009" s="150"/>
      <c r="G1009" s="128"/>
      <c r="H1009" s="128"/>
      <c r="I1009" s="140"/>
      <c r="J1009" s="112"/>
      <c r="K1009" s="166"/>
      <c r="L1009" s="111"/>
      <c r="M1009" s="166"/>
    </row>
    <row r="1010" spans="1:13" ht="15" customHeight="1" x14ac:dyDescent="0.25">
      <c r="A1010" s="126"/>
      <c r="B1010" s="129"/>
      <c r="C1010" s="124"/>
      <c r="D1010" s="149"/>
      <c r="E1010" s="150"/>
      <c r="F1010" s="150"/>
      <c r="G1010" s="128"/>
      <c r="H1010" s="128"/>
      <c r="I1010" s="140"/>
      <c r="J1010" s="193" t="s">
        <v>43</v>
      </c>
      <c r="K1010" s="223"/>
      <c r="L1010" s="111"/>
      <c r="M1010" s="166"/>
    </row>
    <row r="1011" spans="1:13" ht="15" customHeight="1" x14ac:dyDescent="0.25">
      <c r="A1011" s="126"/>
      <c r="B1011" s="129"/>
      <c r="C1011" s="124"/>
      <c r="D1011" s="149"/>
      <c r="E1011" s="150"/>
      <c r="F1011" s="150"/>
      <c r="G1011" s="128"/>
      <c r="H1011" s="128"/>
      <c r="I1011" s="140"/>
      <c r="J1011" s="112"/>
      <c r="K1011" s="166"/>
      <c r="L1011" s="111"/>
      <c r="M1011" s="166"/>
    </row>
    <row r="1012" spans="1:13" ht="15" customHeight="1" x14ac:dyDescent="0.25">
      <c r="A1012" s="126"/>
      <c r="B1012" s="129"/>
      <c r="C1012" s="124"/>
      <c r="D1012" s="149"/>
      <c r="E1012" s="150"/>
      <c r="F1012" s="150"/>
      <c r="G1012" s="128"/>
      <c r="H1012" s="128"/>
      <c r="I1012" s="140"/>
      <c r="J1012" s="194" t="s">
        <v>44</v>
      </c>
      <c r="K1012" s="224"/>
      <c r="L1012" s="111"/>
      <c r="M1012" s="166"/>
    </row>
    <row r="1013" spans="1:13" ht="15" customHeight="1" x14ac:dyDescent="0.25">
      <c r="A1013" s="126"/>
      <c r="B1013" s="129"/>
      <c r="C1013" s="124"/>
      <c r="D1013" s="149"/>
      <c r="E1013" s="150"/>
      <c r="F1013" s="150"/>
      <c r="G1013" s="128"/>
      <c r="H1013" s="128"/>
      <c r="I1013" s="140"/>
      <c r="J1013" s="112"/>
      <c r="K1013" s="166"/>
      <c r="L1013" s="111"/>
      <c r="M1013" s="166"/>
    </row>
    <row r="1014" spans="1:13" ht="15" customHeight="1" x14ac:dyDescent="0.25">
      <c r="A1014" s="130"/>
      <c r="B1014" s="129"/>
      <c r="C1014" s="124"/>
      <c r="D1014" s="149"/>
      <c r="E1014" s="150"/>
      <c r="F1014" s="150"/>
      <c r="G1014" s="128"/>
      <c r="H1014" s="128"/>
      <c r="I1014" s="140"/>
      <c r="J1014" s="194" t="s">
        <v>45</v>
      </c>
      <c r="K1014" s="224"/>
      <c r="L1014" s="111"/>
      <c r="M1014" s="166"/>
    </row>
    <row r="1015" spans="1:13" ht="5.0999999999999996" customHeight="1" x14ac:dyDescent="0.25">
      <c r="A1015" s="140"/>
      <c r="B1015" s="140"/>
      <c r="C1015" s="140"/>
      <c r="D1015" s="140"/>
      <c r="E1015" s="140"/>
      <c r="F1015" s="140"/>
      <c r="G1015" s="140"/>
      <c r="H1015" s="140"/>
      <c r="I1015" s="140"/>
      <c r="J1015" s="112"/>
      <c r="K1015" s="166"/>
      <c r="L1015" s="111"/>
      <c r="M1015" s="191"/>
    </row>
    <row r="1016" spans="1:13" ht="16.5" thickBot="1" x14ac:dyDescent="0.3">
      <c r="A1016" s="113"/>
      <c r="B1016" s="114"/>
      <c r="C1016" s="115"/>
      <c r="D1016" s="115"/>
      <c r="E1016" s="116"/>
      <c r="F1016" s="116"/>
      <c r="G1016" s="164"/>
      <c r="H1016" s="120"/>
      <c r="I1016" s="140"/>
      <c r="J1016" s="120"/>
      <c r="K1016" s="121"/>
      <c r="L1016" s="221"/>
      <c r="M1016" s="191"/>
    </row>
    <row r="1017" spans="1:13" ht="5.0999999999999996" customHeight="1" thickBot="1" x14ac:dyDescent="0.3">
      <c r="A1017" s="217"/>
      <c r="B1017" s="212"/>
      <c r="C1017" s="213"/>
      <c r="D1017" s="213"/>
      <c r="E1017" s="214"/>
      <c r="F1017" s="214"/>
      <c r="G1017" s="215"/>
      <c r="H1017" s="218"/>
      <c r="I1017" s="140"/>
      <c r="J1017" s="218"/>
      <c r="K1017" s="220"/>
      <c r="L1017" s="221"/>
      <c r="M1017" s="191"/>
    </row>
    <row r="1018" spans="1:13" ht="15.75" thickBot="1" x14ac:dyDescent="0.3">
      <c r="A1018" s="125"/>
      <c r="B1018" s="148"/>
      <c r="C1018" s="124"/>
      <c r="D1018" s="149"/>
      <c r="E1018" s="150"/>
      <c r="F1018" s="150"/>
      <c r="G1018" s="127"/>
      <c r="H1018" s="189"/>
      <c r="I1018" s="140"/>
      <c r="J1018" s="209"/>
      <c r="K1018" s="223"/>
      <c r="L1018" s="112"/>
      <c r="M1018" s="166"/>
    </row>
    <row r="1019" spans="1:13" ht="15.75" thickBot="1" x14ac:dyDescent="0.3">
      <c r="A1019" s="126"/>
      <c r="B1019" s="129"/>
      <c r="C1019" s="124"/>
      <c r="D1019" s="149"/>
      <c r="E1019" s="150"/>
      <c r="F1019" s="150"/>
      <c r="G1019" s="128"/>
      <c r="H1019" s="128"/>
      <c r="I1019" s="140"/>
      <c r="J1019" s="112"/>
      <c r="K1019" s="166"/>
      <c r="L1019" s="118"/>
      <c r="M1019" s="166"/>
    </row>
    <row r="1020" spans="1:13" x14ac:dyDescent="0.25">
      <c r="A1020" s="126"/>
      <c r="B1020" s="129"/>
      <c r="C1020" s="124"/>
      <c r="D1020" s="149"/>
      <c r="E1020" s="150"/>
      <c r="F1020" s="150"/>
      <c r="G1020" s="128"/>
      <c r="H1020" s="128"/>
      <c r="I1020" s="140"/>
      <c r="J1020" s="194" t="s">
        <v>39</v>
      </c>
      <c r="K1020" s="223"/>
      <c r="L1020" s="118"/>
      <c r="M1020" s="166"/>
    </row>
    <row r="1021" spans="1:13" ht="15.75" thickBot="1" x14ac:dyDescent="0.3">
      <c r="A1021" s="126"/>
      <c r="B1021" s="129"/>
      <c r="C1021" s="124"/>
      <c r="D1021" s="149"/>
      <c r="E1021" s="150"/>
      <c r="F1021" s="150"/>
      <c r="G1021" s="128"/>
      <c r="H1021" s="128"/>
      <c r="I1021" s="140"/>
      <c r="J1021" s="112"/>
      <c r="K1021" s="166"/>
      <c r="L1021" s="118"/>
      <c r="M1021" s="166"/>
    </row>
    <row r="1022" spans="1:13" x14ac:dyDescent="0.25">
      <c r="A1022" s="126"/>
      <c r="B1022" s="129"/>
      <c r="C1022" s="124"/>
      <c r="D1022" s="149"/>
      <c r="E1022" s="150"/>
      <c r="F1022" s="150"/>
      <c r="G1022" s="128"/>
      <c r="H1022" s="128"/>
      <c r="I1022" s="140"/>
      <c r="J1022" s="194" t="s">
        <v>40</v>
      </c>
      <c r="K1022" s="223"/>
      <c r="L1022" s="118"/>
      <c r="M1022" s="166"/>
    </row>
    <row r="1023" spans="1:13" ht="15.75" thickBot="1" x14ac:dyDescent="0.3">
      <c r="A1023" s="126"/>
      <c r="B1023" s="129"/>
      <c r="C1023" s="124"/>
      <c r="D1023" s="149"/>
      <c r="E1023" s="150"/>
      <c r="F1023" s="150"/>
      <c r="G1023" s="128"/>
      <c r="H1023" s="128"/>
      <c r="I1023" s="140"/>
      <c r="J1023" s="112"/>
      <c r="K1023" s="166"/>
      <c r="L1023" s="118"/>
      <c r="M1023" s="166"/>
    </row>
    <row r="1024" spans="1:13" x14ac:dyDescent="0.25">
      <c r="A1024" s="126"/>
      <c r="B1024" s="129"/>
      <c r="C1024" s="124"/>
      <c r="D1024" s="149"/>
      <c r="E1024" s="150"/>
      <c r="F1024" s="150"/>
      <c r="G1024" s="128"/>
      <c r="H1024" s="128"/>
      <c r="I1024" s="140"/>
      <c r="J1024" s="194" t="s">
        <v>41</v>
      </c>
      <c r="K1024" s="223"/>
      <c r="L1024" s="118"/>
      <c r="M1024" s="166"/>
    </row>
    <row r="1025" spans="1:13" ht="15.75" thickBot="1" x14ac:dyDescent="0.3">
      <c r="A1025" s="126"/>
      <c r="B1025" s="129"/>
      <c r="C1025" s="124"/>
      <c r="D1025" s="149"/>
      <c r="E1025" s="150"/>
      <c r="F1025" s="150"/>
      <c r="G1025" s="128"/>
      <c r="H1025" s="128"/>
      <c r="I1025" s="140"/>
      <c r="J1025" s="112"/>
      <c r="K1025" s="166"/>
      <c r="L1025" s="118"/>
      <c r="M1025" s="166"/>
    </row>
    <row r="1026" spans="1:13" x14ac:dyDescent="0.25">
      <c r="A1026" s="126"/>
      <c r="B1026" s="129"/>
      <c r="C1026" s="124"/>
      <c r="D1026" s="149"/>
      <c r="E1026" s="150"/>
      <c r="F1026" s="150"/>
      <c r="G1026" s="128"/>
      <c r="H1026" s="128"/>
      <c r="I1026" s="140"/>
      <c r="J1026" s="194" t="s">
        <v>42</v>
      </c>
      <c r="K1026" s="223"/>
      <c r="L1026" s="111"/>
      <c r="M1026" s="166"/>
    </row>
    <row r="1027" spans="1:13" ht="15.75" thickBot="1" x14ac:dyDescent="0.3">
      <c r="A1027" s="126"/>
      <c r="B1027" s="129"/>
      <c r="C1027" s="124"/>
      <c r="D1027" s="149"/>
      <c r="E1027" s="150"/>
      <c r="F1027" s="150"/>
      <c r="G1027" s="128"/>
      <c r="H1027" s="128"/>
      <c r="I1027" s="140"/>
      <c r="J1027" s="112"/>
      <c r="K1027" s="166"/>
      <c r="L1027" s="111"/>
      <c r="M1027" s="166"/>
    </row>
    <row r="1028" spans="1:13" x14ac:dyDescent="0.25">
      <c r="A1028" s="126"/>
      <c r="B1028" s="129"/>
      <c r="C1028" s="124"/>
      <c r="D1028" s="149"/>
      <c r="E1028" s="150"/>
      <c r="F1028" s="150"/>
      <c r="G1028" s="128"/>
      <c r="H1028" s="128"/>
      <c r="I1028" s="140"/>
      <c r="J1028" s="193" t="s">
        <v>43</v>
      </c>
      <c r="K1028" s="223"/>
      <c r="L1028" s="111"/>
      <c r="M1028" s="166"/>
    </row>
    <row r="1029" spans="1:13" x14ac:dyDescent="0.25">
      <c r="A1029" s="126"/>
      <c r="B1029" s="129"/>
      <c r="C1029" s="124"/>
      <c r="D1029" s="149"/>
      <c r="E1029" s="150"/>
      <c r="F1029" s="150"/>
      <c r="G1029" s="128"/>
      <c r="H1029" s="128"/>
      <c r="I1029" s="140"/>
      <c r="J1029" s="112"/>
      <c r="K1029" s="166"/>
      <c r="L1029" s="111"/>
      <c r="M1029" s="166"/>
    </row>
    <row r="1030" spans="1:13" x14ac:dyDescent="0.25">
      <c r="A1030" s="126"/>
      <c r="B1030" s="129"/>
      <c r="C1030" s="124"/>
      <c r="D1030" s="149"/>
      <c r="E1030" s="150"/>
      <c r="F1030" s="150"/>
      <c r="G1030" s="128"/>
      <c r="H1030" s="128"/>
      <c r="I1030" s="140"/>
      <c r="J1030" s="194" t="s">
        <v>44</v>
      </c>
      <c r="K1030" s="224"/>
      <c r="L1030" s="111"/>
      <c r="M1030" s="166"/>
    </row>
    <row r="1031" spans="1:13" x14ac:dyDescent="0.25">
      <c r="A1031" s="126"/>
      <c r="B1031" s="129"/>
      <c r="C1031" s="124"/>
      <c r="D1031" s="149"/>
      <c r="E1031" s="150"/>
      <c r="F1031" s="150"/>
      <c r="G1031" s="128"/>
      <c r="H1031" s="128"/>
      <c r="I1031" s="140"/>
      <c r="J1031" s="112"/>
      <c r="K1031" s="166"/>
      <c r="L1031" s="111"/>
      <c r="M1031" s="166"/>
    </row>
    <row r="1032" spans="1:13" x14ac:dyDescent="0.25">
      <c r="A1032" s="130"/>
      <c r="B1032" s="129"/>
      <c r="C1032" s="124"/>
      <c r="D1032" s="149"/>
      <c r="E1032" s="150"/>
      <c r="F1032" s="150"/>
      <c r="G1032" s="128"/>
      <c r="H1032" s="128"/>
      <c r="I1032" s="140"/>
      <c r="J1032" s="194" t="s">
        <v>45</v>
      </c>
      <c r="K1032" s="224"/>
      <c r="L1032" s="111"/>
      <c r="M1032" s="166"/>
    </row>
    <row r="1033" spans="1:13" ht="5.0999999999999996" customHeight="1" x14ac:dyDescent="0.25">
      <c r="A1033" s="140"/>
      <c r="B1033" s="140"/>
      <c r="C1033" s="140"/>
      <c r="D1033" s="140"/>
      <c r="E1033" s="140"/>
      <c r="F1033" s="140"/>
      <c r="G1033" s="140"/>
      <c r="H1033" s="140"/>
      <c r="I1033" s="140"/>
      <c r="J1033" s="112"/>
      <c r="K1033" s="166"/>
      <c r="L1033" s="111"/>
      <c r="M1033" s="191"/>
    </row>
    <row r="1034" spans="1:13" ht="16.5" thickBot="1" x14ac:dyDescent="0.3">
      <c r="A1034" s="113"/>
      <c r="B1034" s="114"/>
      <c r="C1034" s="115"/>
      <c r="D1034" s="115"/>
      <c r="E1034" s="116"/>
      <c r="F1034" s="116"/>
      <c r="G1034" s="164"/>
      <c r="H1034" s="120"/>
      <c r="I1034" s="140"/>
      <c r="J1034" s="120"/>
      <c r="K1034" s="121"/>
      <c r="L1034" s="221"/>
      <c r="M1034" s="191"/>
    </row>
    <row r="1035" spans="1:13" ht="5.0999999999999996" customHeight="1" thickBot="1" x14ac:dyDescent="0.3">
      <c r="A1035" s="217"/>
      <c r="B1035" s="212"/>
      <c r="C1035" s="213"/>
      <c r="D1035" s="213"/>
      <c r="E1035" s="214"/>
      <c r="F1035" s="214"/>
      <c r="G1035" s="215"/>
      <c r="H1035" s="218"/>
      <c r="I1035" s="140"/>
      <c r="J1035" s="218"/>
      <c r="K1035" s="220"/>
      <c r="L1035" s="221"/>
      <c r="M1035" s="191"/>
    </row>
    <row r="1036" spans="1:13" ht="15.75" thickBot="1" x14ac:dyDescent="0.3">
      <c r="A1036" s="125"/>
      <c r="B1036" s="148"/>
      <c r="C1036" s="124"/>
      <c r="D1036" s="149"/>
      <c r="E1036" s="150"/>
      <c r="F1036" s="150"/>
      <c r="G1036" s="127"/>
      <c r="H1036" s="189"/>
      <c r="I1036" s="140"/>
      <c r="J1036" s="209"/>
      <c r="K1036" s="223"/>
      <c r="L1036" s="112"/>
      <c r="M1036" s="166"/>
    </row>
    <row r="1037" spans="1:13" ht="15.75" thickBot="1" x14ac:dyDescent="0.3">
      <c r="A1037" s="126"/>
      <c r="B1037" s="129"/>
      <c r="C1037" s="124"/>
      <c r="D1037" s="149"/>
      <c r="E1037" s="150"/>
      <c r="F1037" s="150"/>
      <c r="G1037" s="128"/>
      <c r="H1037" s="128"/>
      <c r="I1037" s="140"/>
      <c r="J1037" s="112"/>
      <c r="K1037" s="166"/>
      <c r="L1037" s="118"/>
      <c r="M1037" s="166"/>
    </row>
    <row r="1038" spans="1:13" x14ac:dyDescent="0.25">
      <c r="A1038" s="126"/>
      <c r="B1038" s="129"/>
      <c r="C1038" s="124"/>
      <c r="D1038" s="149"/>
      <c r="E1038" s="150"/>
      <c r="F1038" s="150"/>
      <c r="G1038" s="128"/>
      <c r="H1038" s="128"/>
      <c r="I1038" s="140"/>
      <c r="J1038" s="194" t="s">
        <v>39</v>
      </c>
      <c r="K1038" s="223"/>
      <c r="L1038" s="118"/>
      <c r="M1038" s="166"/>
    </row>
    <row r="1039" spans="1:13" ht="15.75" thickBot="1" x14ac:dyDescent="0.3">
      <c r="A1039" s="126"/>
      <c r="B1039" s="129"/>
      <c r="C1039" s="124"/>
      <c r="D1039" s="149"/>
      <c r="E1039" s="150"/>
      <c r="F1039" s="150"/>
      <c r="G1039" s="128"/>
      <c r="H1039" s="128"/>
      <c r="I1039" s="140"/>
      <c r="J1039" s="112"/>
      <c r="K1039" s="166"/>
      <c r="L1039" s="118"/>
      <c r="M1039" s="166"/>
    </row>
    <row r="1040" spans="1:13" x14ac:dyDescent="0.25">
      <c r="A1040" s="126"/>
      <c r="B1040" s="129"/>
      <c r="C1040" s="124"/>
      <c r="D1040" s="149"/>
      <c r="E1040" s="150"/>
      <c r="F1040" s="150"/>
      <c r="G1040" s="128"/>
      <c r="H1040" s="128"/>
      <c r="I1040" s="140"/>
      <c r="J1040" s="194" t="s">
        <v>40</v>
      </c>
      <c r="K1040" s="223"/>
      <c r="L1040" s="118"/>
      <c r="M1040" s="166"/>
    </row>
    <row r="1041" spans="1:13" ht="15.75" thickBot="1" x14ac:dyDescent="0.3">
      <c r="A1041" s="126"/>
      <c r="B1041" s="129"/>
      <c r="C1041" s="124"/>
      <c r="D1041" s="149"/>
      <c r="E1041" s="150"/>
      <c r="F1041" s="150"/>
      <c r="G1041" s="128"/>
      <c r="H1041" s="128"/>
      <c r="I1041" s="140"/>
      <c r="J1041" s="112"/>
      <c r="K1041" s="166"/>
      <c r="L1041" s="118"/>
      <c r="M1041" s="166"/>
    </row>
    <row r="1042" spans="1:13" x14ac:dyDescent="0.25">
      <c r="A1042" s="126"/>
      <c r="B1042" s="129"/>
      <c r="C1042" s="124"/>
      <c r="D1042" s="149"/>
      <c r="E1042" s="150"/>
      <c r="F1042" s="150"/>
      <c r="G1042" s="128"/>
      <c r="H1042" s="128"/>
      <c r="I1042" s="140"/>
      <c r="J1042" s="194" t="s">
        <v>41</v>
      </c>
      <c r="K1042" s="223"/>
      <c r="L1042" s="118"/>
      <c r="M1042" s="166"/>
    </row>
    <row r="1043" spans="1:13" ht="15.75" thickBot="1" x14ac:dyDescent="0.3">
      <c r="A1043" s="126"/>
      <c r="B1043" s="129"/>
      <c r="C1043" s="124"/>
      <c r="D1043" s="149"/>
      <c r="E1043" s="150"/>
      <c r="F1043" s="150"/>
      <c r="G1043" s="128"/>
      <c r="H1043" s="128"/>
      <c r="I1043" s="140"/>
      <c r="J1043" s="112"/>
      <c r="K1043" s="166"/>
      <c r="L1043" s="118"/>
      <c r="M1043" s="166"/>
    </row>
    <row r="1044" spans="1:13" x14ac:dyDescent="0.25">
      <c r="A1044" s="126"/>
      <c r="B1044" s="129"/>
      <c r="C1044" s="124"/>
      <c r="D1044" s="149"/>
      <c r="E1044" s="150"/>
      <c r="F1044" s="150"/>
      <c r="G1044" s="128"/>
      <c r="H1044" s="128"/>
      <c r="I1044" s="140"/>
      <c r="J1044" s="194" t="s">
        <v>42</v>
      </c>
      <c r="K1044" s="223"/>
      <c r="L1044" s="111"/>
      <c r="M1044" s="166"/>
    </row>
    <row r="1045" spans="1:13" ht="15.75" thickBot="1" x14ac:dyDescent="0.3">
      <c r="A1045" s="126"/>
      <c r="B1045" s="129"/>
      <c r="C1045" s="124"/>
      <c r="D1045" s="149"/>
      <c r="E1045" s="150"/>
      <c r="F1045" s="150"/>
      <c r="G1045" s="128"/>
      <c r="H1045" s="128"/>
      <c r="I1045" s="140"/>
      <c r="J1045" s="112"/>
      <c r="K1045" s="166"/>
      <c r="L1045" s="111"/>
      <c r="M1045" s="166"/>
    </row>
    <row r="1046" spans="1:13" x14ac:dyDescent="0.25">
      <c r="A1046" s="126"/>
      <c r="B1046" s="129"/>
      <c r="C1046" s="124"/>
      <c r="D1046" s="149"/>
      <c r="E1046" s="150"/>
      <c r="F1046" s="150"/>
      <c r="G1046" s="128"/>
      <c r="H1046" s="128"/>
      <c r="I1046" s="140"/>
      <c r="J1046" s="193" t="s">
        <v>43</v>
      </c>
      <c r="K1046" s="223"/>
      <c r="L1046" s="111"/>
      <c r="M1046" s="166"/>
    </row>
    <row r="1047" spans="1:13" x14ac:dyDescent="0.25">
      <c r="A1047" s="126"/>
      <c r="B1047" s="129"/>
      <c r="C1047" s="124"/>
      <c r="D1047" s="149"/>
      <c r="E1047" s="150"/>
      <c r="F1047" s="150"/>
      <c r="G1047" s="128"/>
      <c r="H1047" s="128"/>
      <c r="I1047" s="140"/>
      <c r="J1047" s="112"/>
      <c r="K1047" s="166"/>
      <c r="L1047" s="111"/>
      <c r="M1047" s="166"/>
    </row>
    <row r="1048" spans="1:13" x14ac:dyDescent="0.25">
      <c r="A1048" s="126"/>
      <c r="B1048" s="129"/>
      <c r="C1048" s="124"/>
      <c r="D1048" s="149"/>
      <c r="E1048" s="150"/>
      <c r="F1048" s="150"/>
      <c r="G1048" s="128"/>
      <c r="H1048" s="128"/>
      <c r="I1048" s="140"/>
      <c r="J1048" s="194" t="s">
        <v>44</v>
      </c>
      <c r="K1048" s="224"/>
      <c r="L1048" s="111"/>
      <c r="M1048" s="166"/>
    </row>
    <row r="1049" spans="1:13" x14ac:dyDescent="0.25">
      <c r="A1049" s="126"/>
      <c r="B1049" s="129"/>
      <c r="C1049" s="124"/>
      <c r="D1049" s="149"/>
      <c r="E1049" s="150"/>
      <c r="F1049" s="150"/>
      <c r="G1049" s="128"/>
      <c r="H1049" s="128"/>
      <c r="I1049" s="140"/>
      <c r="J1049" s="112"/>
      <c r="K1049" s="166"/>
      <c r="L1049" s="111"/>
      <c r="M1049" s="166"/>
    </row>
    <row r="1050" spans="1:13" x14ac:dyDescent="0.25">
      <c r="A1050" s="130"/>
      <c r="B1050" s="129"/>
      <c r="C1050" s="124"/>
      <c r="D1050" s="149"/>
      <c r="E1050" s="150"/>
      <c r="F1050" s="150"/>
      <c r="G1050" s="128"/>
      <c r="H1050" s="128"/>
      <c r="I1050" s="140"/>
      <c r="J1050" s="194" t="s">
        <v>45</v>
      </c>
      <c r="K1050" s="224"/>
      <c r="L1050" s="111"/>
      <c r="M1050" s="166"/>
    </row>
    <row r="1051" spans="1:13" ht="5.0999999999999996" customHeight="1" x14ac:dyDescent="0.25">
      <c r="A1051" s="140"/>
      <c r="B1051" s="140"/>
      <c r="C1051" s="140"/>
      <c r="D1051" s="140"/>
      <c r="E1051" s="140"/>
      <c r="F1051" s="140"/>
      <c r="G1051" s="140"/>
      <c r="H1051" s="140"/>
      <c r="I1051" s="140"/>
      <c r="J1051" s="112"/>
      <c r="K1051" s="166"/>
      <c r="L1051" s="111"/>
      <c r="M1051" s="191"/>
    </row>
    <row r="1052" spans="1:13" ht="16.5" thickBot="1" x14ac:dyDescent="0.3">
      <c r="A1052" s="113"/>
      <c r="B1052" s="114"/>
      <c r="C1052" s="115"/>
      <c r="D1052" s="115"/>
      <c r="E1052" s="116"/>
      <c r="F1052" s="116"/>
      <c r="G1052" s="164"/>
      <c r="H1052" s="120"/>
      <c r="I1052" s="140"/>
      <c r="J1052" s="120"/>
      <c r="K1052" s="121"/>
      <c r="L1052" s="221"/>
      <c r="M1052" s="191"/>
    </row>
    <row r="1053" spans="1:13" ht="5.0999999999999996" customHeight="1" thickBot="1" x14ac:dyDescent="0.3">
      <c r="A1053" s="217"/>
      <c r="B1053" s="212"/>
      <c r="C1053" s="213"/>
      <c r="D1053" s="213"/>
      <c r="E1053" s="214"/>
      <c r="F1053" s="214"/>
      <c r="G1053" s="215"/>
      <c r="H1053" s="218"/>
      <c r="I1053" s="140"/>
      <c r="J1053" s="218"/>
      <c r="K1053" s="220"/>
      <c r="L1053" s="221"/>
      <c r="M1053" s="191"/>
    </row>
    <row r="1054" spans="1:13" ht="15.75" thickBot="1" x14ac:dyDescent="0.3">
      <c r="A1054" s="125"/>
      <c r="B1054" s="148"/>
      <c r="C1054" s="124"/>
      <c r="D1054" s="149"/>
      <c r="E1054" s="150"/>
      <c r="F1054" s="150"/>
      <c r="G1054" s="127"/>
      <c r="H1054" s="189"/>
      <c r="I1054" s="140"/>
      <c r="J1054" s="209"/>
      <c r="K1054" s="223"/>
      <c r="L1054" s="112"/>
      <c r="M1054" s="166"/>
    </row>
    <row r="1055" spans="1:13" ht="15.75" thickBot="1" x14ac:dyDescent="0.3">
      <c r="A1055" s="126"/>
      <c r="B1055" s="129"/>
      <c r="C1055" s="124"/>
      <c r="D1055" s="149"/>
      <c r="E1055" s="150"/>
      <c r="F1055" s="150"/>
      <c r="G1055" s="128"/>
      <c r="H1055" s="128"/>
      <c r="I1055" s="140"/>
      <c r="J1055" s="112"/>
      <c r="K1055" s="166"/>
      <c r="L1055" s="118"/>
      <c r="M1055" s="166"/>
    </row>
    <row r="1056" spans="1:13" x14ac:dyDescent="0.25">
      <c r="A1056" s="126"/>
      <c r="B1056" s="129"/>
      <c r="C1056" s="124"/>
      <c r="D1056" s="149"/>
      <c r="E1056" s="150"/>
      <c r="F1056" s="150"/>
      <c r="G1056" s="128"/>
      <c r="H1056" s="128"/>
      <c r="I1056" s="140"/>
      <c r="J1056" s="194" t="s">
        <v>39</v>
      </c>
      <c r="K1056" s="223"/>
      <c r="L1056" s="118"/>
      <c r="M1056" s="166"/>
    </row>
    <row r="1057" spans="1:13" ht="15.75" thickBot="1" x14ac:dyDescent="0.3">
      <c r="A1057" s="126"/>
      <c r="B1057" s="129"/>
      <c r="C1057" s="124"/>
      <c r="D1057" s="149"/>
      <c r="E1057" s="150"/>
      <c r="F1057" s="150"/>
      <c r="G1057" s="128"/>
      <c r="H1057" s="128"/>
      <c r="I1057" s="140"/>
      <c r="J1057" s="112"/>
      <c r="K1057" s="166"/>
      <c r="L1057" s="118"/>
      <c r="M1057" s="166"/>
    </row>
    <row r="1058" spans="1:13" x14ac:dyDescent="0.25">
      <c r="A1058" s="126"/>
      <c r="B1058" s="129"/>
      <c r="C1058" s="124"/>
      <c r="D1058" s="149"/>
      <c r="E1058" s="150"/>
      <c r="F1058" s="150"/>
      <c r="G1058" s="128"/>
      <c r="H1058" s="128"/>
      <c r="I1058" s="140"/>
      <c r="J1058" s="194" t="s">
        <v>40</v>
      </c>
      <c r="K1058" s="223"/>
      <c r="L1058" s="118"/>
      <c r="M1058" s="166"/>
    </row>
    <row r="1059" spans="1:13" ht="15.75" thickBot="1" x14ac:dyDescent="0.3">
      <c r="A1059" s="126"/>
      <c r="B1059" s="129"/>
      <c r="C1059" s="124"/>
      <c r="D1059" s="149"/>
      <c r="E1059" s="150"/>
      <c r="F1059" s="150"/>
      <c r="G1059" s="128"/>
      <c r="H1059" s="128"/>
      <c r="I1059" s="140"/>
      <c r="J1059" s="112"/>
      <c r="K1059" s="166"/>
      <c r="L1059" s="118"/>
      <c r="M1059" s="166"/>
    </row>
    <row r="1060" spans="1:13" x14ac:dyDescent="0.25">
      <c r="A1060" s="126"/>
      <c r="B1060" s="129"/>
      <c r="C1060" s="124"/>
      <c r="D1060" s="149"/>
      <c r="E1060" s="150"/>
      <c r="F1060" s="150"/>
      <c r="G1060" s="128"/>
      <c r="H1060" s="128"/>
      <c r="I1060" s="140"/>
      <c r="J1060" s="194" t="s">
        <v>41</v>
      </c>
      <c r="K1060" s="223"/>
      <c r="L1060" s="118"/>
      <c r="M1060" s="166"/>
    </row>
    <row r="1061" spans="1:13" ht="15.75" thickBot="1" x14ac:dyDescent="0.3">
      <c r="A1061" s="126"/>
      <c r="B1061" s="129"/>
      <c r="C1061" s="124"/>
      <c r="D1061" s="149"/>
      <c r="E1061" s="150"/>
      <c r="F1061" s="150"/>
      <c r="G1061" s="128"/>
      <c r="H1061" s="128"/>
      <c r="I1061" s="140"/>
      <c r="J1061" s="112"/>
      <c r="K1061" s="166"/>
      <c r="L1061" s="118"/>
      <c r="M1061" s="166"/>
    </row>
    <row r="1062" spans="1:13" x14ac:dyDescent="0.25">
      <c r="A1062" s="126"/>
      <c r="B1062" s="129"/>
      <c r="C1062" s="124"/>
      <c r="D1062" s="149"/>
      <c r="E1062" s="150"/>
      <c r="F1062" s="150"/>
      <c r="G1062" s="128"/>
      <c r="H1062" s="128"/>
      <c r="I1062" s="140"/>
      <c r="J1062" s="194" t="s">
        <v>42</v>
      </c>
      <c r="K1062" s="223"/>
      <c r="L1062" s="111"/>
      <c r="M1062" s="166"/>
    </row>
    <row r="1063" spans="1:13" ht="15.75" thickBot="1" x14ac:dyDescent="0.3">
      <c r="A1063" s="126"/>
      <c r="B1063" s="129"/>
      <c r="C1063" s="124"/>
      <c r="D1063" s="149"/>
      <c r="E1063" s="150"/>
      <c r="F1063" s="150"/>
      <c r="G1063" s="128"/>
      <c r="H1063" s="128"/>
      <c r="I1063" s="140"/>
      <c r="J1063" s="112"/>
      <c r="K1063" s="166"/>
      <c r="L1063" s="111"/>
      <c r="M1063" s="166"/>
    </row>
    <row r="1064" spans="1:13" x14ac:dyDescent="0.25">
      <c r="A1064" s="126"/>
      <c r="B1064" s="129"/>
      <c r="C1064" s="124"/>
      <c r="D1064" s="149"/>
      <c r="E1064" s="150"/>
      <c r="F1064" s="150"/>
      <c r="G1064" s="128"/>
      <c r="H1064" s="128"/>
      <c r="I1064" s="140"/>
      <c r="J1064" s="193" t="s">
        <v>43</v>
      </c>
      <c r="K1064" s="223"/>
      <c r="L1064" s="111"/>
      <c r="M1064" s="166"/>
    </row>
    <row r="1065" spans="1:13" x14ac:dyDescent="0.25">
      <c r="A1065" s="126"/>
      <c r="B1065" s="129"/>
      <c r="C1065" s="124"/>
      <c r="D1065" s="149"/>
      <c r="E1065" s="150"/>
      <c r="F1065" s="150"/>
      <c r="G1065" s="128"/>
      <c r="H1065" s="128"/>
      <c r="I1065" s="140"/>
      <c r="J1065" s="112"/>
      <c r="K1065" s="166"/>
      <c r="L1065" s="111"/>
      <c r="M1065" s="166"/>
    </row>
    <row r="1066" spans="1:13" x14ac:dyDescent="0.25">
      <c r="A1066" s="126"/>
      <c r="B1066" s="129"/>
      <c r="C1066" s="124"/>
      <c r="D1066" s="149"/>
      <c r="E1066" s="150"/>
      <c r="F1066" s="150"/>
      <c r="G1066" s="128"/>
      <c r="H1066" s="128"/>
      <c r="I1066" s="140"/>
      <c r="J1066" s="194" t="s">
        <v>44</v>
      </c>
      <c r="K1066" s="224"/>
      <c r="L1066" s="111"/>
      <c r="M1066" s="166"/>
    </row>
    <row r="1067" spans="1:13" x14ac:dyDescent="0.25">
      <c r="A1067" s="126"/>
      <c r="B1067" s="129"/>
      <c r="C1067" s="124"/>
      <c r="D1067" s="149"/>
      <c r="E1067" s="150"/>
      <c r="F1067" s="150"/>
      <c r="G1067" s="128"/>
      <c r="H1067" s="128"/>
      <c r="I1067" s="140"/>
      <c r="J1067" s="112"/>
      <c r="K1067" s="166"/>
      <c r="L1067" s="111"/>
      <c r="M1067" s="166"/>
    </row>
    <row r="1068" spans="1:13" x14ac:dyDescent="0.25">
      <c r="A1068" s="130"/>
      <c r="B1068" s="129"/>
      <c r="C1068" s="124"/>
      <c r="D1068" s="149"/>
      <c r="E1068" s="150"/>
      <c r="F1068" s="150"/>
      <c r="G1068" s="128"/>
      <c r="H1068" s="128"/>
      <c r="I1068" s="140"/>
      <c r="J1068" s="194" t="s">
        <v>45</v>
      </c>
      <c r="K1068" s="224"/>
      <c r="L1068" s="111"/>
      <c r="M1068" s="166"/>
    </row>
    <row r="1069" spans="1:13" ht="5.0999999999999996" customHeight="1" x14ac:dyDescent="0.25">
      <c r="A1069" s="140"/>
      <c r="B1069" s="140"/>
      <c r="C1069" s="140"/>
      <c r="D1069" s="140"/>
      <c r="E1069" s="140"/>
      <c r="F1069" s="140"/>
      <c r="G1069" s="140"/>
      <c r="H1069" s="140"/>
      <c r="I1069" s="140"/>
      <c r="J1069" s="112"/>
      <c r="K1069" s="166"/>
      <c r="L1069" s="111"/>
      <c r="M1069" s="191"/>
    </row>
    <row r="1070" spans="1:13" ht="16.5" thickBot="1" x14ac:dyDescent="0.3">
      <c r="A1070" s="113"/>
      <c r="B1070" s="114"/>
      <c r="C1070" s="115"/>
      <c r="D1070" s="115"/>
      <c r="E1070" s="116"/>
      <c r="F1070" s="116"/>
      <c r="G1070" s="164"/>
      <c r="H1070" s="120"/>
      <c r="I1070" s="140"/>
      <c r="J1070" s="120"/>
      <c r="K1070" s="121"/>
      <c r="L1070" s="221"/>
      <c r="M1070" s="191"/>
    </row>
    <row r="1071" spans="1:13" ht="5.0999999999999996" customHeight="1" thickBot="1" x14ac:dyDescent="0.3">
      <c r="A1071" s="217"/>
      <c r="B1071" s="212"/>
      <c r="C1071" s="213"/>
      <c r="D1071" s="213"/>
      <c r="E1071" s="214"/>
      <c r="F1071" s="214"/>
      <c r="G1071" s="215"/>
      <c r="H1071" s="218"/>
      <c r="I1071" s="140"/>
      <c r="J1071" s="218"/>
      <c r="K1071" s="220"/>
      <c r="L1071" s="221"/>
      <c r="M1071" s="191"/>
    </row>
    <row r="1072" spans="1:13" ht="15.75" thickBot="1" x14ac:dyDescent="0.3">
      <c r="A1072" s="125"/>
      <c r="B1072" s="148"/>
      <c r="C1072" s="124"/>
      <c r="D1072" s="149"/>
      <c r="E1072" s="150"/>
      <c r="F1072" s="150"/>
      <c r="G1072" s="127"/>
      <c r="H1072" s="189"/>
      <c r="I1072" s="140"/>
      <c r="J1072" s="209"/>
      <c r="K1072" s="223"/>
      <c r="L1072" s="112"/>
      <c r="M1072" s="166"/>
    </row>
    <row r="1073" spans="1:13" ht="15.75" thickBot="1" x14ac:dyDescent="0.3">
      <c r="A1073" s="126"/>
      <c r="B1073" s="129"/>
      <c r="C1073" s="124"/>
      <c r="D1073" s="149"/>
      <c r="E1073" s="150"/>
      <c r="F1073" s="150"/>
      <c r="G1073" s="128"/>
      <c r="H1073" s="128"/>
      <c r="I1073" s="140"/>
      <c r="J1073" s="112"/>
      <c r="K1073" s="166"/>
      <c r="L1073" s="118"/>
      <c r="M1073" s="166"/>
    </row>
    <row r="1074" spans="1:13" x14ac:dyDescent="0.25">
      <c r="A1074" s="126"/>
      <c r="B1074" s="129"/>
      <c r="C1074" s="124"/>
      <c r="D1074" s="149"/>
      <c r="E1074" s="150"/>
      <c r="F1074" s="150"/>
      <c r="G1074" s="128"/>
      <c r="H1074" s="128"/>
      <c r="I1074" s="140"/>
      <c r="J1074" s="194" t="s">
        <v>39</v>
      </c>
      <c r="K1074" s="223"/>
      <c r="L1074" s="118"/>
      <c r="M1074" s="166"/>
    </row>
    <row r="1075" spans="1:13" ht="15.75" thickBot="1" x14ac:dyDescent="0.3">
      <c r="A1075" s="126"/>
      <c r="B1075" s="129"/>
      <c r="C1075" s="124"/>
      <c r="D1075" s="149"/>
      <c r="E1075" s="150"/>
      <c r="F1075" s="150"/>
      <c r="G1075" s="128"/>
      <c r="H1075" s="128"/>
      <c r="I1075" s="140"/>
      <c r="J1075" s="112"/>
      <c r="K1075" s="166"/>
      <c r="L1075" s="118"/>
      <c r="M1075" s="166"/>
    </row>
    <row r="1076" spans="1:13" x14ac:dyDescent="0.25">
      <c r="A1076" s="126"/>
      <c r="B1076" s="129"/>
      <c r="C1076" s="124"/>
      <c r="D1076" s="149"/>
      <c r="E1076" s="150"/>
      <c r="F1076" s="150"/>
      <c r="G1076" s="128"/>
      <c r="H1076" s="128"/>
      <c r="I1076" s="140"/>
      <c r="J1076" s="194" t="s">
        <v>40</v>
      </c>
      <c r="K1076" s="223"/>
      <c r="L1076" s="118"/>
      <c r="M1076" s="166"/>
    </row>
    <row r="1077" spans="1:13" ht="15.75" thickBot="1" x14ac:dyDescent="0.3">
      <c r="A1077" s="126"/>
      <c r="B1077" s="129"/>
      <c r="C1077" s="124"/>
      <c r="D1077" s="149"/>
      <c r="E1077" s="150"/>
      <c r="F1077" s="150"/>
      <c r="G1077" s="128"/>
      <c r="H1077" s="128"/>
      <c r="I1077" s="140"/>
      <c r="J1077" s="112"/>
      <c r="K1077" s="166"/>
      <c r="L1077" s="118"/>
      <c r="M1077" s="166"/>
    </row>
    <row r="1078" spans="1:13" x14ac:dyDescent="0.25">
      <c r="A1078" s="126"/>
      <c r="B1078" s="129"/>
      <c r="C1078" s="124"/>
      <c r="D1078" s="149"/>
      <c r="E1078" s="150"/>
      <c r="F1078" s="150"/>
      <c r="G1078" s="128"/>
      <c r="H1078" s="128"/>
      <c r="I1078" s="140"/>
      <c r="J1078" s="194" t="s">
        <v>41</v>
      </c>
      <c r="K1078" s="223"/>
      <c r="L1078" s="118"/>
      <c r="M1078" s="166"/>
    </row>
    <row r="1079" spans="1:13" ht="15.75" thickBot="1" x14ac:dyDescent="0.3">
      <c r="A1079" s="126"/>
      <c r="B1079" s="129"/>
      <c r="C1079" s="124"/>
      <c r="D1079" s="149"/>
      <c r="E1079" s="150"/>
      <c r="F1079" s="150"/>
      <c r="G1079" s="128"/>
      <c r="H1079" s="128"/>
      <c r="I1079" s="140"/>
      <c r="J1079" s="112"/>
      <c r="K1079" s="166"/>
      <c r="L1079" s="118"/>
      <c r="M1079" s="166"/>
    </row>
    <row r="1080" spans="1:13" x14ac:dyDescent="0.25">
      <c r="A1080" s="126"/>
      <c r="B1080" s="129"/>
      <c r="C1080" s="124"/>
      <c r="D1080" s="149"/>
      <c r="E1080" s="150"/>
      <c r="F1080" s="150"/>
      <c r="G1080" s="128"/>
      <c r="H1080" s="128"/>
      <c r="I1080" s="140"/>
      <c r="J1080" s="194" t="s">
        <v>42</v>
      </c>
      <c r="K1080" s="223"/>
      <c r="L1080" s="111"/>
      <c r="M1080" s="166"/>
    </row>
    <row r="1081" spans="1:13" ht="15.75" thickBot="1" x14ac:dyDescent="0.3">
      <c r="A1081" s="126"/>
      <c r="B1081" s="129"/>
      <c r="C1081" s="124"/>
      <c r="D1081" s="149"/>
      <c r="E1081" s="150"/>
      <c r="F1081" s="150"/>
      <c r="G1081" s="128"/>
      <c r="H1081" s="128"/>
      <c r="I1081" s="140"/>
      <c r="J1081" s="112"/>
      <c r="K1081" s="166"/>
      <c r="L1081" s="111"/>
      <c r="M1081" s="166"/>
    </row>
    <row r="1082" spans="1:13" x14ac:dyDescent="0.25">
      <c r="A1082" s="126"/>
      <c r="B1082" s="129"/>
      <c r="C1082" s="124"/>
      <c r="D1082" s="149"/>
      <c r="E1082" s="150"/>
      <c r="F1082" s="150"/>
      <c r="G1082" s="128"/>
      <c r="H1082" s="128"/>
      <c r="I1082" s="140"/>
      <c r="J1082" s="193" t="s">
        <v>43</v>
      </c>
      <c r="K1082" s="223"/>
      <c r="L1082" s="111"/>
      <c r="M1082" s="166"/>
    </row>
    <row r="1083" spans="1:13" x14ac:dyDescent="0.25">
      <c r="A1083" s="126"/>
      <c r="B1083" s="129"/>
      <c r="C1083" s="124"/>
      <c r="D1083" s="149"/>
      <c r="E1083" s="150"/>
      <c r="F1083" s="150"/>
      <c r="G1083" s="128"/>
      <c r="H1083" s="128"/>
      <c r="I1083" s="140"/>
      <c r="J1083" s="112"/>
      <c r="K1083" s="166"/>
      <c r="L1083" s="111"/>
      <c r="M1083" s="166"/>
    </row>
    <row r="1084" spans="1:13" x14ac:dyDescent="0.25">
      <c r="A1084" s="126"/>
      <c r="B1084" s="129"/>
      <c r="C1084" s="124"/>
      <c r="D1084" s="149"/>
      <c r="E1084" s="150"/>
      <c r="F1084" s="150"/>
      <c r="G1084" s="128"/>
      <c r="H1084" s="128"/>
      <c r="I1084" s="140"/>
      <c r="J1084" s="194" t="s">
        <v>44</v>
      </c>
      <c r="K1084" s="224"/>
      <c r="L1084" s="111"/>
      <c r="M1084" s="166"/>
    </row>
    <row r="1085" spans="1:13" x14ac:dyDescent="0.25">
      <c r="A1085" s="126"/>
      <c r="B1085" s="129"/>
      <c r="C1085" s="124"/>
      <c r="D1085" s="149"/>
      <c r="E1085" s="150"/>
      <c r="F1085" s="150"/>
      <c r="G1085" s="128"/>
      <c r="H1085" s="128"/>
      <c r="I1085" s="140"/>
      <c r="J1085" s="112"/>
      <c r="K1085" s="166"/>
      <c r="L1085" s="111"/>
      <c r="M1085" s="166"/>
    </row>
    <row r="1086" spans="1:13" x14ac:dyDescent="0.25">
      <c r="A1086" s="130"/>
      <c r="B1086" s="129"/>
      <c r="C1086" s="124"/>
      <c r="D1086" s="149"/>
      <c r="E1086" s="150"/>
      <c r="F1086" s="150"/>
      <c r="G1086" s="128"/>
      <c r="H1086" s="128"/>
      <c r="I1086" s="140"/>
      <c r="J1086" s="194" t="s">
        <v>45</v>
      </c>
      <c r="K1086" s="224"/>
      <c r="L1086" s="111"/>
      <c r="M1086" s="166"/>
    </row>
    <row r="1087" spans="1:13" ht="5.0999999999999996" customHeight="1" x14ac:dyDescent="0.25">
      <c r="A1087" s="140"/>
      <c r="B1087" s="140"/>
      <c r="C1087" s="140"/>
      <c r="D1087" s="140"/>
      <c r="E1087" s="140"/>
      <c r="F1087" s="140"/>
      <c r="G1087" s="140"/>
      <c r="H1087" s="140"/>
      <c r="I1087" s="140"/>
      <c r="J1087" s="112"/>
      <c r="K1087" s="166"/>
      <c r="L1087" s="111"/>
      <c r="M1087" s="191"/>
    </row>
    <row r="1088" spans="1:13" ht="16.5" thickBot="1" x14ac:dyDescent="0.3">
      <c r="A1088" s="113"/>
      <c r="B1088" s="114"/>
      <c r="C1088" s="115"/>
      <c r="D1088" s="115"/>
      <c r="E1088" s="116"/>
      <c r="F1088" s="116"/>
      <c r="G1088" s="164"/>
      <c r="H1088" s="120"/>
      <c r="I1088" s="140"/>
      <c r="J1088" s="120"/>
      <c r="K1088" s="121"/>
      <c r="L1088" s="221"/>
      <c r="M1088" s="191"/>
    </row>
    <row r="1089" spans="1:13" ht="5.0999999999999996" customHeight="1" thickBot="1" x14ac:dyDescent="0.3">
      <c r="A1089" s="217"/>
      <c r="B1089" s="212"/>
      <c r="C1089" s="213"/>
      <c r="D1089" s="213"/>
      <c r="E1089" s="214"/>
      <c r="F1089" s="214"/>
      <c r="G1089" s="215"/>
      <c r="H1089" s="218"/>
      <c r="I1089" s="140"/>
      <c r="J1089" s="218"/>
      <c r="K1089" s="220"/>
      <c r="L1089" s="221"/>
      <c r="M1089" s="191"/>
    </row>
    <row r="1090" spans="1:13" ht="15.75" thickBot="1" x14ac:dyDescent="0.3">
      <c r="A1090" s="125"/>
      <c r="B1090" s="148"/>
      <c r="C1090" s="124"/>
      <c r="D1090" s="149"/>
      <c r="E1090" s="150"/>
      <c r="F1090" s="150"/>
      <c r="G1090" s="127"/>
      <c r="H1090" s="189"/>
      <c r="I1090" s="140"/>
      <c r="J1090" s="209"/>
      <c r="K1090" s="223"/>
      <c r="L1090" s="112"/>
      <c r="M1090" s="166"/>
    </row>
    <row r="1091" spans="1:13" ht="15.75" thickBot="1" x14ac:dyDescent="0.3">
      <c r="A1091" s="126"/>
      <c r="B1091" s="129"/>
      <c r="C1091" s="124"/>
      <c r="D1091" s="149"/>
      <c r="E1091" s="150"/>
      <c r="F1091" s="150"/>
      <c r="G1091" s="128"/>
      <c r="H1091" s="128"/>
      <c r="I1091" s="140"/>
      <c r="J1091" s="112"/>
      <c r="K1091" s="166"/>
      <c r="L1091" s="118"/>
      <c r="M1091" s="166"/>
    </row>
    <row r="1092" spans="1:13" x14ac:dyDescent="0.25">
      <c r="A1092" s="126"/>
      <c r="B1092" s="129"/>
      <c r="C1092" s="124"/>
      <c r="D1092" s="149"/>
      <c r="E1092" s="150"/>
      <c r="F1092" s="150"/>
      <c r="G1092" s="128"/>
      <c r="H1092" s="128"/>
      <c r="I1092" s="140"/>
      <c r="J1092" s="194" t="s">
        <v>39</v>
      </c>
      <c r="K1092" s="223"/>
      <c r="L1092" s="118"/>
      <c r="M1092" s="166"/>
    </row>
    <row r="1093" spans="1:13" ht="15.75" thickBot="1" x14ac:dyDescent="0.3">
      <c r="A1093" s="126"/>
      <c r="B1093" s="129"/>
      <c r="C1093" s="124"/>
      <c r="D1093" s="149"/>
      <c r="E1093" s="150"/>
      <c r="F1093" s="150"/>
      <c r="G1093" s="128"/>
      <c r="H1093" s="128"/>
      <c r="I1093" s="140"/>
      <c r="J1093" s="112"/>
      <c r="K1093" s="166"/>
      <c r="L1093" s="118"/>
      <c r="M1093" s="166"/>
    </row>
    <row r="1094" spans="1:13" x14ac:dyDescent="0.25">
      <c r="A1094" s="126"/>
      <c r="B1094" s="129"/>
      <c r="C1094" s="124"/>
      <c r="D1094" s="149"/>
      <c r="E1094" s="150"/>
      <c r="F1094" s="150"/>
      <c r="G1094" s="128"/>
      <c r="H1094" s="128"/>
      <c r="I1094" s="140"/>
      <c r="J1094" s="194" t="s">
        <v>40</v>
      </c>
      <c r="K1094" s="223"/>
      <c r="L1094" s="118"/>
      <c r="M1094" s="166"/>
    </row>
    <row r="1095" spans="1:13" ht="15.75" thickBot="1" x14ac:dyDescent="0.3">
      <c r="A1095" s="126"/>
      <c r="B1095" s="129"/>
      <c r="C1095" s="124"/>
      <c r="D1095" s="149"/>
      <c r="E1095" s="150"/>
      <c r="F1095" s="150"/>
      <c r="G1095" s="128"/>
      <c r="H1095" s="128"/>
      <c r="I1095" s="140"/>
      <c r="J1095" s="112"/>
      <c r="K1095" s="166"/>
      <c r="L1095" s="118"/>
      <c r="M1095" s="166"/>
    </row>
    <row r="1096" spans="1:13" x14ac:dyDescent="0.25">
      <c r="A1096" s="126"/>
      <c r="B1096" s="129"/>
      <c r="C1096" s="124"/>
      <c r="D1096" s="149"/>
      <c r="E1096" s="150"/>
      <c r="F1096" s="150"/>
      <c r="G1096" s="128"/>
      <c r="H1096" s="128"/>
      <c r="I1096" s="140"/>
      <c r="J1096" s="194" t="s">
        <v>41</v>
      </c>
      <c r="K1096" s="223"/>
      <c r="L1096" s="118"/>
      <c r="M1096" s="166"/>
    </row>
    <row r="1097" spans="1:13" ht="15.75" thickBot="1" x14ac:dyDescent="0.3">
      <c r="A1097" s="126"/>
      <c r="B1097" s="129"/>
      <c r="C1097" s="124"/>
      <c r="D1097" s="149"/>
      <c r="E1097" s="150"/>
      <c r="F1097" s="150"/>
      <c r="G1097" s="128"/>
      <c r="H1097" s="128"/>
      <c r="I1097" s="140"/>
      <c r="J1097" s="112"/>
      <c r="K1097" s="166"/>
      <c r="L1097" s="118"/>
      <c r="M1097" s="166"/>
    </row>
    <row r="1098" spans="1:13" x14ac:dyDescent="0.25">
      <c r="A1098" s="126"/>
      <c r="B1098" s="129"/>
      <c r="C1098" s="124"/>
      <c r="D1098" s="149"/>
      <c r="E1098" s="150"/>
      <c r="F1098" s="150"/>
      <c r="G1098" s="128"/>
      <c r="H1098" s="128"/>
      <c r="I1098" s="140"/>
      <c r="J1098" s="194" t="s">
        <v>42</v>
      </c>
      <c r="K1098" s="223"/>
      <c r="L1098" s="111"/>
      <c r="M1098" s="166"/>
    </row>
    <row r="1099" spans="1:13" ht="15.75" thickBot="1" x14ac:dyDescent="0.3">
      <c r="A1099" s="126"/>
      <c r="B1099" s="129"/>
      <c r="C1099" s="124"/>
      <c r="D1099" s="149"/>
      <c r="E1099" s="150"/>
      <c r="F1099" s="150"/>
      <c r="G1099" s="128"/>
      <c r="H1099" s="128"/>
      <c r="I1099" s="140"/>
      <c r="J1099" s="112"/>
      <c r="K1099" s="166"/>
      <c r="L1099" s="111"/>
      <c r="M1099" s="166"/>
    </row>
    <row r="1100" spans="1:13" x14ac:dyDescent="0.25">
      <c r="A1100" s="126"/>
      <c r="B1100" s="129"/>
      <c r="C1100" s="124"/>
      <c r="D1100" s="149"/>
      <c r="E1100" s="150"/>
      <c r="F1100" s="150"/>
      <c r="G1100" s="128"/>
      <c r="H1100" s="128"/>
      <c r="I1100" s="140"/>
      <c r="J1100" s="193" t="s">
        <v>43</v>
      </c>
      <c r="K1100" s="223"/>
      <c r="L1100" s="111"/>
      <c r="M1100" s="166"/>
    </row>
    <row r="1101" spans="1:13" x14ac:dyDescent="0.25">
      <c r="A1101" s="126"/>
      <c r="B1101" s="129"/>
      <c r="C1101" s="124"/>
      <c r="D1101" s="149"/>
      <c r="E1101" s="150"/>
      <c r="F1101" s="150"/>
      <c r="G1101" s="128"/>
      <c r="H1101" s="128"/>
      <c r="I1101" s="140"/>
      <c r="J1101" s="112"/>
      <c r="K1101" s="166"/>
      <c r="L1101" s="111"/>
      <c r="M1101" s="166"/>
    </row>
    <row r="1102" spans="1:13" x14ac:dyDescent="0.25">
      <c r="A1102" s="126"/>
      <c r="B1102" s="129"/>
      <c r="C1102" s="124"/>
      <c r="D1102" s="149"/>
      <c r="E1102" s="150"/>
      <c r="F1102" s="150"/>
      <c r="G1102" s="128"/>
      <c r="H1102" s="128"/>
      <c r="I1102" s="140"/>
      <c r="J1102" s="194" t="s">
        <v>44</v>
      </c>
      <c r="K1102" s="224"/>
      <c r="L1102" s="111"/>
      <c r="M1102" s="166"/>
    </row>
    <row r="1103" spans="1:13" x14ac:dyDescent="0.25">
      <c r="A1103" s="126"/>
      <c r="B1103" s="129"/>
      <c r="C1103" s="124"/>
      <c r="D1103" s="149"/>
      <c r="E1103" s="150"/>
      <c r="F1103" s="150"/>
      <c r="G1103" s="128"/>
      <c r="H1103" s="128"/>
      <c r="I1103" s="140"/>
      <c r="J1103" s="112"/>
      <c r="K1103" s="166"/>
      <c r="L1103" s="111"/>
      <c r="M1103" s="166"/>
    </row>
    <row r="1104" spans="1:13" x14ac:dyDescent="0.25">
      <c r="A1104" s="130"/>
      <c r="B1104" s="129"/>
      <c r="C1104" s="124"/>
      <c r="D1104" s="149"/>
      <c r="E1104" s="150"/>
      <c r="F1104" s="150"/>
      <c r="G1104" s="128"/>
      <c r="H1104" s="128"/>
      <c r="I1104" s="140"/>
      <c r="J1104" s="194" t="s">
        <v>45</v>
      </c>
      <c r="K1104" s="224"/>
      <c r="L1104" s="111"/>
      <c r="M1104" s="166"/>
    </row>
    <row r="1105" spans="1:13" ht="5.0999999999999996" customHeight="1" x14ac:dyDescent="0.25">
      <c r="A1105" s="140"/>
      <c r="B1105" s="140"/>
      <c r="C1105" s="140"/>
      <c r="D1105" s="140"/>
      <c r="E1105" s="140"/>
      <c r="F1105" s="140"/>
      <c r="G1105" s="140"/>
      <c r="H1105" s="140"/>
      <c r="I1105" s="140"/>
      <c r="J1105" s="112"/>
      <c r="K1105" s="166"/>
      <c r="L1105" s="111"/>
      <c r="M1105" s="191"/>
    </row>
    <row r="1106" spans="1:13" ht="16.5" thickBot="1" x14ac:dyDescent="0.3">
      <c r="A1106" s="113"/>
      <c r="B1106" s="114"/>
      <c r="C1106" s="115"/>
      <c r="D1106" s="115"/>
      <c r="E1106" s="116"/>
      <c r="F1106" s="116"/>
      <c r="G1106" s="164"/>
      <c r="H1106" s="120"/>
      <c r="I1106" s="140"/>
      <c r="J1106" s="120"/>
      <c r="K1106" s="121"/>
      <c r="L1106" s="221"/>
      <c r="M1106" s="191"/>
    </row>
    <row r="1107" spans="1:13" ht="5.0999999999999996" customHeight="1" thickBot="1" x14ac:dyDescent="0.3">
      <c r="A1107" s="217"/>
      <c r="B1107" s="212"/>
      <c r="C1107" s="213"/>
      <c r="D1107" s="213"/>
      <c r="E1107" s="214"/>
      <c r="F1107" s="214"/>
      <c r="G1107" s="215"/>
      <c r="H1107" s="218"/>
      <c r="I1107" s="140"/>
      <c r="J1107" s="218"/>
      <c r="K1107" s="220"/>
      <c r="L1107" s="221"/>
      <c r="M1107" s="191"/>
    </row>
    <row r="1108" spans="1:13" ht="15.75" thickBot="1" x14ac:dyDescent="0.3">
      <c r="A1108" s="125"/>
      <c r="B1108" s="148"/>
      <c r="C1108" s="124"/>
      <c r="D1108" s="149"/>
      <c r="E1108" s="150"/>
      <c r="F1108" s="150"/>
      <c r="G1108" s="127"/>
      <c r="H1108" s="189"/>
      <c r="I1108" s="140"/>
      <c r="J1108" s="209"/>
      <c r="K1108" s="223"/>
      <c r="L1108" s="112"/>
      <c r="M1108" s="166"/>
    </row>
    <row r="1109" spans="1:13" ht="15.75" thickBot="1" x14ac:dyDescent="0.3">
      <c r="A1109" s="126"/>
      <c r="B1109" s="129"/>
      <c r="C1109" s="124"/>
      <c r="D1109" s="149"/>
      <c r="E1109" s="150"/>
      <c r="F1109" s="150"/>
      <c r="G1109" s="128"/>
      <c r="H1109" s="128"/>
      <c r="I1109" s="140"/>
      <c r="J1109" s="112"/>
      <c r="K1109" s="166"/>
      <c r="L1109" s="118"/>
      <c r="M1109" s="166"/>
    </row>
    <row r="1110" spans="1:13" x14ac:dyDescent="0.25">
      <c r="A1110" s="126"/>
      <c r="B1110" s="129"/>
      <c r="C1110" s="124"/>
      <c r="D1110" s="149"/>
      <c r="E1110" s="150"/>
      <c r="F1110" s="150"/>
      <c r="G1110" s="128"/>
      <c r="H1110" s="128"/>
      <c r="I1110" s="140"/>
      <c r="J1110" s="194" t="s">
        <v>39</v>
      </c>
      <c r="K1110" s="223"/>
      <c r="L1110" s="118"/>
      <c r="M1110" s="166"/>
    </row>
    <row r="1111" spans="1:13" ht="15.75" thickBot="1" x14ac:dyDescent="0.3">
      <c r="A1111" s="126"/>
      <c r="B1111" s="129"/>
      <c r="C1111" s="124"/>
      <c r="D1111" s="149"/>
      <c r="E1111" s="150"/>
      <c r="F1111" s="150"/>
      <c r="G1111" s="128"/>
      <c r="H1111" s="128"/>
      <c r="I1111" s="140"/>
      <c r="J1111" s="112"/>
      <c r="K1111" s="166"/>
      <c r="L1111" s="118"/>
      <c r="M1111" s="166"/>
    </row>
    <row r="1112" spans="1:13" x14ac:dyDescent="0.25">
      <c r="A1112" s="126"/>
      <c r="B1112" s="129"/>
      <c r="C1112" s="124"/>
      <c r="D1112" s="149"/>
      <c r="E1112" s="150"/>
      <c r="F1112" s="150"/>
      <c r="G1112" s="128"/>
      <c r="H1112" s="128"/>
      <c r="I1112" s="140"/>
      <c r="J1112" s="194" t="s">
        <v>40</v>
      </c>
      <c r="K1112" s="223"/>
      <c r="L1112" s="118"/>
      <c r="M1112" s="166"/>
    </row>
    <row r="1113" spans="1:13" ht="15.75" thickBot="1" x14ac:dyDescent="0.3">
      <c r="A1113" s="126"/>
      <c r="B1113" s="129"/>
      <c r="C1113" s="124"/>
      <c r="D1113" s="149"/>
      <c r="E1113" s="150"/>
      <c r="F1113" s="150"/>
      <c r="G1113" s="128"/>
      <c r="H1113" s="128"/>
      <c r="I1113" s="140"/>
      <c r="J1113" s="112"/>
      <c r="K1113" s="166"/>
      <c r="L1113" s="118"/>
      <c r="M1113" s="166"/>
    </row>
    <row r="1114" spans="1:13" x14ac:dyDescent="0.25">
      <c r="A1114" s="126"/>
      <c r="B1114" s="129"/>
      <c r="C1114" s="124"/>
      <c r="D1114" s="149"/>
      <c r="E1114" s="150"/>
      <c r="F1114" s="150"/>
      <c r="G1114" s="128"/>
      <c r="H1114" s="128"/>
      <c r="I1114" s="140"/>
      <c r="J1114" s="194" t="s">
        <v>41</v>
      </c>
      <c r="K1114" s="223"/>
      <c r="L1114" s="118"/>
      <c r="M1114" s="166"/>
    </row>
    <row r="1115" spans="1:13" ht="15.75" thickBot="1" x14ac:dyDescent="0.3">
      <c r="A1115" s="126"/>
      <c r="B1115" s="129"/>
      <c r="C1115" s="124"/>
      <c r="D1115" s="149"/>
      <c r="E1115" s="150"/>
      <c r="F1115" s="150"/>
      <c r="G1115" s="128"/>
      <c r="H1115" s="128"/>
      <c r="I1115" s="140"/>
      <c r="J1115" s="112"/>
      <c r="K1115" s="166"/>
      <c r="L1115" s="118"/>
      <c r="M1115" s="166"/>
    </row>
    <row r="1116" spans="1:13" x14ac:dyDescent="0.25">
      <c r="A1116" s="126"/>
      <c r="B1116" s="129"/>
      <c r="C1116" s="124"/>
      <c r="D1116" s="149"/>
      <c r="E1116" s="150"/>
      <c r="F1116" s="150"/>
      <c r="G1116" s="128"/>
      <c r="H1116" s="128"/>
      <c r="I1116" s="140"/>
      <c r="J1116" s="194" t="s">
        <v>42</v>
      </c>
      <c r="K1116" s="223"/>
      <c r="L1116" s="111"/>
      <c r="M1116" s="166"/>
    </row>
    <row r="1117" spans="1:13" ht="15.75" thickBot="1" x14ac:dyDescent="0.3">
      <c r="A1117" s="126"/>
      <c r="B1117" s="129"/>
      <c r="C1117" s="124"/>
      <c r="D1117" s="149"/>
      <c r="E1117" s="150"/>
      <c r="F1117" s="150"/>
      <c r="G1117" s="128"/>
      <c r="H1117" s="128"/>
      <c r="I1117" s="140"/>
      <c r="J1117" s="112"/>
      <c r="K1117" s="166"/>
      <c r="L1117" s="111"/>
      <c r="M1117" s="166"/>
    </row>
    <row r="1118" spans="1:13" x14ac:dyDescent="0.25">
      <c r="A1118" s="126"/>
      <c r="B1118" s="129"/>
      <c r="C1118" s="124"/>
      <c r="D1118" s="149"/>
      <c r="E1118" s="150"/>
      <c r="F1118" s="150"/>
      <c r="G1118" s="128"/>
      <c r="H1118" s="128"/>
      <c r="I1118" s="140"/>
      <c r="J1118" s="193" t="s">
        <v>43</v>
      </c>
      <c r="K1118" s="223"/>
      <c r="L1118" s="111"/>
      <c r="M1118" s="166"/>
    </row>
    <row r="1119" spans="1:13" x14ac:dyDescent="0.25">
      <c r="A1119" s="126"/>
      <c r="B1119" s="129"/>
      <c r="C1119" s="124"/>
      <c r="D1119" s="149"/>
      <c r="E1119" s="150"/>
      <c r="F1119" s="150"/>
      <c r="G1119" s="128"/>
      <c r="H1119" s="128"/>
      <c r="I1119" s="140"/>
      <c r="J1119" s="112"/>
      <c r="K1119" s="166"/>
      <c r="L1119" s="111"/>
      <c r="M1119" s="166"/>
    </row>
    <row r="1120" spans="1:13" x14ac:dyDescent="0.25">
      <c r="A1120" s="126"/>
      <c r="B1120" s="129"/>
      <c r="C1120" s="124"/>
      <c r="D1120" s="149"/>
      <c r="E1120" s="150"/>
      <c r="F1120" s="150"/>
      <c r="G1120" s="128"/>
      <c r="H1120" s="128"/>
      <c r="I1120" s="140"/>
      <c r="J1120" s="194" t="s">
        <v>44</v>
      </c>
      <c r="K1120" s="224"/>
      <c r="L1120" s="111"/>
      <c r="M1120" s="166"/>
    </row>
    <row r="1121" spans="1:13" x14ac:dyDescent="0.25">
      <c r="A1121" s="126"/>
      <c r="B1121" s="129"/>
      <c r="C1121" s="124"/>
      <c r="D1121" s="149"/>
      <c r="E1121" s="150"/>
      <c r="F1121" s="150"/>
      <c r="G1121" s="128"/>
      <c r="H1121" s="128"/>
      <c r="I1121" s="140"/>
      <c r="J1121" s="112"/>
      <c r="K1121" s="166"/>
      <c r="L1121" s="111"/>
      <c r="M1121" s="166"/>
    </row>
    <row r="1122" spans="1:13" x14ac:dyDescent="0.25">
      <c r="A1122" s="130"/>
      <c r="B1122" s="129"/>
      <c r="C1122" s="124"/>
      <c r="D1122" s="149"/>
      <c r="E1122" s="150"/>
      <c r="F1122" s="150"/>
      <c r="G1122" s="128"/>
      <c r="H1122" s="128"/>
      <c r="I1122" s="140"/>
      <c r="J1122" s="194" t="s">
        <v>45</v>
      </c>
      <c r="K1122" s="224"/>
      <c r="L1122" s="111"/>
      <c r="M1122" s="166"/>
    </row>
    <row r="1123" spans="1:13" ht="5.0999999999999996" customHeight="1" x14ac:dyDescent="0.25">
      <c r="A1123" s="140"/>
      <c r="B1123" s="140"/>
      <c r="C1123" s="140"/>
      <c r="D1123" s="140"/>
      <c r="E1123" s="140"/>
      <c r="F1123" s="140"/>
      <c r="G1123" s="140"/>
      <c r="H1123" s="140"/>
      <c r="I1123" s="140"/>
      <c r="J1123" s="112"/>
      <c r="K1123" s="166"/>
      <c r="L1123" s="111"/>
      <c r="M1123" s="191"/>
    </row>
    <row r="1124" spans="1:13" ht="16.5" thickBot="1" x14ac:dyDescent="0.3">
      <c r="A1124" s="113"/>
      <c r="B1124" s="114"/>
      <c r="C1124" s="115"/>
      <c r="D1124" s="115"/>
      <c r="E1124" s="116"/>
      <c r="F1124" s="116"/>
      <c r="G1124" s="164"/>
      <c r="H1124" s="120"/>
      <c r="I1124" s="140"/>
      <c r="J1124" s="120"/>
      <c r="K1124" s="121"/>
      <c r="L1124" s="221"/>
      <c r="M1124" s="191"/>
    </row>
    <row r="1125" spans="1:13" ht="5.0999999999999996" customHeight="1" thickBot="1" x14ac:dyDescent="0.3">
      <c r="A1125" s="217"/>
      <c r="B1125" s="212"/>
      <c r="C1125" s="213"/>
      <c r="D1125" s="213"/>
      <c r="E1125" s="214"/>
      <c r="F1125" s="214"/>
      <c r="G1125" s="215"/>
      <c r="H1125" s="218"/>
      <c r="I1125" s="140"/>
      <c r="J1125" s="218"/>
      <c r="K1125" s="220"/>
      <c r="L1125" s="221"/>
      <c r="M1125" s="191"/>
    </row>
    <row r="1126" spans="1:13" ht="15.75" thickBot="1" x14ac:dyDescent="0.3">
      <c r="A1126" s="125"/>
      <c r="B1126" s="148"/>
      <c r="C1126" s="124"/>
      <c r="D1126" s="149"/>
      <c r="E1126" s="150"/>
      <c r="F1126" s="150"/>
      <c r="G1126" s="127"/>
      <c r="H1126" s="189"/>
      <c r="I1126" s="140"/>
      <c r="J1126" s="209"/>
      <c r="K1126" s="223"/>
      <c r="L1126" s="112"/>
      <c r="M1126" s="166"/>
    </row>
    <row r="1127" spans="1:13" ht="15.75" thickBot="1" x14ac:dyDescent="0.3">
      <c r="A1127" s="126"/>
      <c r="B1127" s="129"/>
      <c r="C1127" s="124"/>
      <c r="D1127" s="149"/>
      <c r="E1127" s="150"/>
      <c r="F1127" s="150"/>
      <c r="G1127" s="128"/>
      <c r="H1127" s="128"/>
      <c r="I1127" s="140"/>
      <c r="J1127" s="112"/>
      <c r="K1127" s="166"/>
      <c r="L1127" s="118"/>
      <c r="M1127" s="166"/>
    </row>
    <row r="1128" spans="1:13" x14ac:dyDescent="0.25">
      <c r="A1128" s="126"/>
      <c r="B1128" s="129"/>
      <c r="C1128" s="124"/>
      <c r="D1128" s="149"/>
      <c r="E1128" s="150"/>
      <c r="F1128" s="150"/>
      <c r="G1128" s="128"/>
      <c r="H1128" s="128"/>
      <c r="I1128" s="140"/>
      <c r="J1128" s="194" t="s">
        <v>39</v>
      </c>
      <c r="K1128" s="223"/>
      <c r="L1128" s="118"/>
      <c r="M1128" s="166"/>
    </row>
    <row r="1129" spans="1:13" ht="15.75" thickBot="1" x14ac:dyDescent="0.3">
      <c r="A1129" s="126"/>
      <c r="B1129" s="129"/>
      <c r="C1129" s="124"/>
      <c r="D1129" s="149"/>
      <c r="E1129" s="150"/>
      <c r="F1129" s="150"/>
      <c r="G1129" s="128"/>
      <c r="H1129" s="128"/>
      <c r="I1129" s="140"/>
      <c r="J1129" s="112"/>
      <c r="K1129" s="166"/>
      <c r="L1129" s="118"/>
      <c r="M1129" s="166"/>
    </row>
    <row r="1130" spans="1:13" x14ac:dyDescent="0.25">
      <c r="A1130" s="126"/>
      <c r="B1130" s="129"/>
      <c r="C1130" s="124"/>
      <c r="D1130" s="149"/>
      <c r="E1130" s="150"/>
      <c r="F1130" s="150"/>
      <c r="G1130" s="128"/>
      <c r="H1130" s="128"/>
      <c r="I1130" s="140"/>
      <c r="J1130" s="194" t="s">
        <v>40</v>
      </c>
      <c r="K1130" s="223"/>
      <c r="L1130" s="118"/>
      <c r="M1130" s="166"/>
    </row>
    <row r="1131" spans="1:13" ht="15.75" thickBot="1" x14ac:dyDescent="0.3">
      <c r="A1131" s="126"/>
      <c r="B1131" s="129"/>
      <c r="C1131" s="124"/>
      <c r="D1131" s="149"/>
      <c r="E1131" s="150"/>
      <c r="F1131" s="150"/>
      <c r="G1131" s="128"/>
      <c r="H1131" s="128"/>
      <c r="I1131" s="140"/>
      <c r="J1131" s="112"/>
      <c r="K1131" s="166"/>
      <c r="L1131" s="118"/>
      <c r="M1131" s="166"/>
    </row>
    <row r="1132" spans="1:13" x14ac:dyDescent="0.25">
      <c r="A1132" s="126"/>
      <c r="B1132" s="129"/>
      <c r="C1132" s="124"/>
      <c r="D1132" s="149"/>
      <c r="E1132" s="150"/>
      <c r="F1132" s="150"/>
      <c r="G1132" s="128"/>
      <c r="H1132" s="128"/>
      <c r="I1132" s="140"/>
      <c r="J1132" s="194" t="s">
        <v>41</v>
      </c>
      <c r="K1132" s="223"/>
      <c r="L1132" s="118"/>
      <c r="M1132" s="166"/>
    </row>
    <row r="1133" spans="1:13" ht="15.75" thickBot="1" x14ac:dyDescent="0.3">
      <c r="A1133" s="126"/>
      <c r="B1133" s="129"/>
      <c r="C1133" s="124"/>
      <c r="D1133" s="149"/>
      <c r="E1133" s="150"/>
      <c r="F1133" s="150"/>
      <c r="G1133" s="128"/>
      <c r="H1133" s="128"/>
      <c r="I1133" s="140"/>
      <c r="J1133" s="112"/>
      <c r="K1133" s="166"/>
      <c r="L1133" s="118"/>
      <c r="M1133" s="166"/>
    </row>
    <row r="1134" spans="1:13" x14ac:dyDescent="0.25">
      <c r="A1134" s="126"/>
      <c r="B1134" s="129"/>
      <c r="C1134" s="124"/>
      <c r="D1134" s="149"/>
      <c r="E1134" s="150"/>
      <c r="F1134" s="150"/>
      <c r="G1134" s="128"/>
      <c r="H1134" s="128"/>
      <c r="I1134" s="140"/>
      <c r="J1134" s="194" t="s">
        <v>42</v>
      </c>
      <c r="K1134" s="223"/>
      <c r="L1134" s="111"/>
      <c r="M1134" s="166"/>
    </row>
    <row r="1135" spans="1:13" ht="15.75" thickBot="1" x14ac:dyDescent="0.3">
      <c r="A1135" s="126"/>
      <c r="B1135" s="129"/>
      <c r="C1135" s="124"/>
      <c r="D1135" s="149"/>
      <c r="E1135" s="150"/>
      <c r="F1135" s="150"/>
      <c r="G1135" s="128"/>
      <c r="H1135" s="128"/>
      <c r="I1135" s="140"/>
      <c r="J1135" s="112"/>
      <c r="K1135" s="166"/>
      <c r="L1135" s="111"/>
      <c r="M1135" s="166"/>
    </row>
    <row r="1136" spans="1:13" x14ac:dyDescent="0.25">
      <c r="A1136" s="126"/>
      <c r="B1136" s="129"/>
      <c r="C1136" s="124"/>
      <c r="D1136" s="149"/>
      <c r="E1136" s="150"/>
      <c r="F1136" s="150"/>
      <c r="G1136" s="128"/>
      <c r="H1136" s="128"/>
      <c r="I1136" s="140"/>
      <c r="J1136" s="193" t="s">
        <v>43</v>
      </c>
      <c r="K1136" s="223"/>
      <c r="L1136" s="111"/>
      <c r="M1136" s="166"/>
    </row>
    <row r="1137" spans="1:13" x14ac:dyDescent="0.25">
      <c r="A1137" s="126"/>
      <c r="B1137" s="129"/>
      <c r="C1137" s="124"/>
      <c r="D1137" s="149"/>
      <c r="E1137" s="150"/>
      <c r="F1137" s="150"/>
      <c r="G1137" s="128"/>
      <c r="H1137" s="128"/>
      <c r="I1137" s="140"/>
      <c r="J1137" s="112"/>
      <c r="K1137" s="166"/>
      <c r="L1137" s="111"/>
      <c r="M1137" s="166"/>
    </row>
    <row r="1138" spans="1:13" x14ac:dyDescent="0.25">
      <c r="A1138" s="126"/>
      <c r="B1138" s="129"/>
      <c r="C1138" s="124"/>
      <c r="D1138" s="149"/>
      <c r="E1138" s="150"/>
      <c r="F1138" s="150"/>
      <c r="G1138" s="128"/>
      <c r="H1138" s="128"/>
      <c r="I1138" s="140"/>
      <c r="J1138" s="194" t="s">
        <v>44</v>
      </c>
      <c r="K1138" s="224"/>
      <c r="L1138" s="111"/>
      <c r="M1138" s="166"/>
    </row>
    <row r="1139" spans="1:13" x14ac:dyDescent="0.25">
      <c r="A1139" s="126"/>
      <c r="B1139" s="129"/>
      <c r="C1139" s="124"/>
      <c r="D1139" s="149"/>
      <c r="E1139" s="150"/>
      <c r="F1139" s="150"/>
      <c r="G1139" s="128"/>
      <c r="H1139" s="128"/>
      <c r="I1139" s="140"/>
      <c r="J1139" s="112"/>
      <c r="K1139" s="166"/>
      <c r="L1139" s="111"/>
      <c r="M1139" s="166"/>
    </row>
    <row r="1140" spans="1:13" x14ac:dyDescent="0.25">
      <c r="A1140" s="130"/>
      <c r="B1140" s="129"/>
      <c r="C1140" s="124"/>
      <c r="D1140" s="149"/>
      <c r="E1140" s="150"/>
      <c r="F1140" s="150"/>
      <c r="G1140" s="128"/>
      <c r="H1140" s="128"/>
      <c r="I1140" s="140"/>
      <c r="J1140" s="194" t="s">
        <v>45</v>
      </c>
      <c r="K1140" s="224"/>
      <c r="L1140" s="111"/>
      <c r="M1140" s="166"/>
    </row>
    <row r="1141" spans="1:13" ht="5.0999999999999996" customHeight="1" x14ac:dyDescent="0.25">
      <c r="A1141" s="140"/>
      <c r="B1141" s="140"/>
      <c r="C1141" s="140"/>
      <c r="D1141" s="140"/>
      <c r="E1141" s="140"/>
      <c r="F1141" s="140"/>
      <c r="G1141" s="140"/>
      <c r="H1141" s="140"/>
      <c r="I1141" s="140"/>
      <c r="J1141" s="112"/>
      <c r="K1141" s="166"/>
      <c r="L1141" s="111"/>
      <c r="M1141" s="191"/>
    </row>
    <row r="1142" spans="1:13" ht="16.5" thickBot="1" x14ac:dyDescent="0.3">
      <c r="A1142" s="113"/>
      <c r="B1142" s="114"/>
      <c r="C1142" s="115"/>
      <c r="D1142" s="115"/>
      <c r="E1142" s="116"/>
      <c r="F1142" s="116"/>
      <c r="G1142" s="164"/>
      <c r="H1142" s="120"/>
      <c r="I1142" s="140"/>
      <c r="J1142" s="120"/>
      <c r="K1142" s="121"/>
      <c r="L1142" s="221"/>
      <c r="M1142" s="191"/>
    </row>
    <row r="1143" spans="1:13" ht="5.0999999999999996" customHeight="1" thickBot="1" x14ac:dyDescent="0.3">
      <c r="A1143" s="217"/>
      <c r="B1143" s="212"/>
      <c r="C1143" s="213"/>
      <c r="D1143" s="213"/>
      <c r="E1143" s="214"/>
      <c r="F1143" s="214"/>
      <c r="G1143" s="215"/>
      <c r="H1143" s="218"/>
      <c r="I1143" s="140"/>
      <c r="J1143" s="218"/>
      <c r="K1143" s="220"/>
      <c r="L1143" s="221"/>
      <c r="M1143" s="191"/>
    </row>
    <row r="1144" spans="1:13" ht="15.75" thickBot="1" x14ac:dyDescent="0.3">
      <c r="A1144" s="125"/>
      <c r="B1144" s="148"/>
      <c r="C1144" s="124"/>
      <c r="D1144" s="149"/>
      <c r="E1144" s="150"/>
      <c r="F1144" s="150"/>
      <c r="G1144" s="127"/>
      <c r="H1144" s="189"/>
      <c r="I1144" s="140"/>
      <c r="J1144" s="209"/>
      <c r="K1144" s="223"/>
      <c r="L1144" s="112"/>
      <c r="M1144" s="166"/>
    </row>
    <row r="1145" spans="1:13" ht="15.75" thickBot="1" x14ac:dyDescent="0.3">
      <c r="A1145" s="126"/>
      <c r="B1145" s="129"/>
      <c r="C1145" s="124"/>
      <c r="D1145" s="149"/>
      <c r="E1145" s="150"/>
      <c r="F1145" s="150"/>
      <c r="G1145" s="128"/>
      <c r="H1145" s="128"/>
      <c r="I1145" s="140"/>
      <c r="J1145" s="112"/>
      <c r="K1145" s="166"/>
      <c r="L1145" s="118"/>
      <c r="M1145" s="166"/>
    </row>
    <row r="1146" spans="1:13" x14ac:dyDescent="0.25">
      <c r="A1146" s="126"/>
      <c r="B1146" s="129"/>
      <c r="C1146" s="124"/>
      <c r="D1146" s="149"/>
      <c r="E1146" s="150"/>
      <c r="F1146" s="150"/>
      <c r="G1146" s="128"/>
      <c r="H1146" s="128"/>
      <c r="I1146" s="140"/>
      <c r="J1146" s="194" t="s">
        <v>39</v>
      </c>
      <c r="K1146" s="223"/>
      <c r="L1146" s="118"/>
      <c r="M1146" s="166"/>
    </row>
    <row r="1147" spans="1:13" ht="15.75" thickBot="1" x14ac:dyDescent="0.3">
      <c r="A1147" s="126"/>
      <c r="B1147" s="129"/>
      <c r="C1147" s="124"/>
      <c r="D1147" s="149"/>
      <c r="E1147" s="150"/>
      <c r="F1147" s="150"/>
      <c r="G1147" s="128"/>
      <c r="H1147" s="128"/>
      <c r="I1147" s="140"/>
      <c r="J1147" s="112"/>
      <c r="K1147" s="166"/>
      <c r="L1147" s="118"/>
      <c r="M1147" s="166"/>
    </row>
    <row r="1148" spans="1:13" x14ac:dyDescent="0.25">
      <c r="A1148" s="126"/>
      <c r="B1148" s="129"/>
      <c r="C1148" s="124"/>
      <c r="D1148" s="149"/>
      <c r="E1148" s="150"/>
      <c r="F1148" s="150"/>
      <c r="G1148" s="128"/>
      <c r="H1148" s="128"/>
      <c r="I1148" s="140"/>
      <c r="J1148" s="194" t="s">
        <v>40</v>
      </c>
      <c r="K1148" s="223"/>
      <c r="L1148" s="118"/>
      <c r="M1148" s="166"/>
    </row>
    <row r="1149" spans="1:13" ht="15.75" thickBot="1" x14ac:dyDescent="0.3">
      <c r="A1149" s="126"/>
      <c r="B1149" s="129"/>
      <c r="C1149" s="124"/>
      <c r="D1149" s="149"/>
      <c r="E1149" s="150"/>
      <c r="F1149" s="150"/>
      <c r="G1149" s="128"/>
      <c r="H1149" s="128"/>
      <c r="I1149" s="140"/>
      <c r="J1149" s="112"/>
      <c r="K1149" s="166"/>
      <c r="L1149" s="118"/>
      <c r="M1149" s="166"/>
    </row>
    <row r="1150" spans="1:13" x14ac:dyDescent="0.25">
      <c r="A1150" s="126"/>
      <c r="B1150" s="129"/>
      <c r="C1150" s="124"/>
      <c r="D1150" s="149"/>
      <c r="E1150" s="150"/>
      <c r="F1150" s="150"/>
      <c r="G1150" s="128"/>
      <c r="H1150" s="128"/>
      <c r="I1150" s="140"/>
      <c r="J1150" s="194" t="s">
        <v>41</v>
      </c>
      <c r="K1150" s="223"/>
      <c r="L1150" s="118"/>
      <c r="M1150" s="166"/>
    </row>
    <row r="1151" spans="1:13" ht="15.75" thickBot="1" x14ac:dyDescent="0.3">
      <c r="A1151" s="126"/>
      <c r="B1151" s="129"/>
      <c r="C1151" s="124"/>
      <c r="D1151" s="149"/>
      <c r="E1151" s="150"/>
      <c r="F1151" s="150"/>
      <c r="G1151" s="128"/>
      <c r="H1151" s="128"/>
      <c r="I1151" s="140"/>
      <c r="J1151" s="112"/>
      <c r="K1151" s="166"/>
      <c r="L1151" s="118"/>
      <c r="M1151" s="166"/>
    </row>
    <row r="1152" spans="1:13" x14ac:dyDescent="0.25">
      <c r="A1152" s="126"/>
      <c r="B1152" s="129"/>
      <c r="C1152" s="124"/>
      <c r="D1152" s="149"/>
      <c r="E1152" s="150"/>
      <c r="F1152" s="150"/>
      <c r="G1152" s="128"/>
      <c r="H1152" s="128"/>
      <c r="I1152" s="140"/>
      <c r="J1152" s="194" t="s">
        <v>42</v>
      </c>
      <c r="K1152" s="223"/>
      <c r="L1152" s="111"/>
      <c r="M1152" s="166"/>
    </row>
    <row r="1153" spans="1:13" ht="15.75" thickBot="1" x14ac:dyDescent="0.3">
      <c r="A1153" s="126"/>
      <c r="B1153" s="129"/>
      <c r="C1153" s="124"/>
      <c r="D1153" s="149"/>
      <c r="E1153" s="150"/>
      <c r="F1153" s="150"/>
      <c r="G1153" s="128"/>
      <c r="H1153" s="128"/>
      <c r="I1153" s="140"/>
      <c r="J1153" s="112"/>
      <c r="K1153" s="166"/>
      <c r="L1153" s="111"/>
      <c r="M1153" s="166"/>
    </row>
    <row r="1154" spans="1:13" x14ac:dyDescent="0.25">
      <c r="A1154" s="126"/>
      <c r="B1154" s="129"/>
      <c r="C1154" s="124"/>
      <c r="D1154" s="149"/>
      <c r="E1154" s="150"/>
      <c r="F1154" s="150"/>
      <c r="G1154" s="128"/>
      <c r="H1154" s="128"/>
      <c r="I1154" s="140"/>
      <c r="J1154" s="193" t="s">
        <v>43</v>
      </c>
      <c r="K1154" s="223"/>
      <c r="L1154" s="111"/>
      <c r="M1154" s="166"/>
    </row>
    <row r="1155" spans="1:13" x14ac:dyDescent="0.25">
      <c r="A1155" s="126"/>
      <c r="B1155" s="129"/>
      <c r="C1155" s="124"/>
      <c r="D1155" s="149"/>
      <c r="E1155" s="150"/>
      <c r="F1155" s="150"/>
      <c r="G1155" s="128"/>
      <c r="H1155" s="128"/>
      <c r="I1155" s="140"/>
      <c r="J1155" s="112"/>
      <c r="K1155" s="166"/>
      <c r="L1155" s="111"/>
      <c r="M1155" s="166"/>
    </row>
    <row r="1156" spans="1:13" x14ac:dyDescent="0.25">
      <c r="A1156" s="126"/>
      <c r="B1156" s="129"/>
      <c r="C1156" s="124"/>
      <c r="D1156" s="149"/>
      <c r="E1156" s="150"/>
      <c r="F1156" s="150"/>
      <c r="G1156" s="128"/>
      <c r="H1156" s="128"/>
      <c r="I1156" s="140"/>
      <c r="J1156" s="194" t="s">
        <v>44</v>
      </c>
      <c r="K1156" s="224"/>
      <c r="L1156" s="111"/>
      <c r="M1156" s="166"/>
    </row>
    <row r="1157" spans="1:13" x14ac:dyDescent="0.25">
      <c r="A1157" s="126"/>
      <c r="B1157" s="129"/>
      <c r="C1157" s="124"/>
      <c r="D1157" s="149"/>
      <c r="E1157" s="150"/>
      <c r="F1157" s="150"/>
      <c r="G1157" s="128"/>
      <c r="H1157" s="128"/>
      <c r="I1157" s="140"/>
      <c r="J1157" s="112"/>
      <c r="K1157" s="166"/>
      <c r="L1157" s="111"/>
      <c r="M1157" s="166"/>
    </row>
    <row r="1158" spans="1:13" x14ac:dyDescent="0.25">
      <c r="A1158" s="130"/>
      <c r="B1158" s="129"/>
      <c r="C1158" s="124"/>
      <c r="D1158" s="149"/>
      <c r="E1158" s="150"/>
      <c r="F1158" s="150"/>
      <c r="G1158" s="128"/>
      <c r="H1158" s="128"/>
      <c r="I1158" s="140"/>
      <c r="J1158" s="194" t="s">
        <v>45</v>
      </c>
      <c r="K1158" s="224"/>
      <c r="L1158" s="111"/>
      <c r="M1158" s="166"/>
    </row>
    <row r="1159" spans="1:13" ht="5.0999999999999996" customHeight="1" x14ac:dyDescent="0.25">
      <c r="A1159" s="140"/>
      <c r="B1159" s="140"/>
      <c r="C1159" s="140"/>
      <c r="D1159" s="140"/>
      <c r="E1159" s="140"/>
      <c r="F1159" s="140"/>
      <c r="G1159" s="140"/>
      <c r="H1159" s="140"/>
      <c r="I1159" s="140"/>
      <c r="J1159" s="112"/>
      <c r="K1159" s="166"/>
      <c r="L1159" s="111"/>
      <c r="M1159" s="191"/>
    </row>
    <row r="1160" spans="1:13" ht="16.5" thickBot="1" x14ac:dyDescent="0.3">
      <c r="A1160" s="113"/>
      <c r="B1160" s="114"/>
      <c r="C1160" s="115"/>
      <c r="D1160" s="115"/>
      <c r="E1160" s="116"/>
      <c r="F1160" s="116"/>
      <c r="G1160" s="164"/>
      <c r="H1160" s="120"/>
      <c r="I1160" s="140"/>
      <c r="J1160" s="120"/>
      <c r="K1160" s="121"/>
      <c r="L1160" s="221"/>
      <c r="M1160" s="191"/>
    </row>
    <row r="1161" spans="1:13" ht="5.0999999999999996" customHeight="1" thickBot="1" x14ac:dyDescent="0.3">
      <c r="A1161" s="217"/>
      <c r="B1161" s="212"/>
      <c r="C1161" s="213"/>
      <c r="D1161" s="213"/>
      <c r="E1161" s="214"/>
      <c r="F1161" s="214"/>
      <c r="G1161" s="215"/>
      <c r="H1161" s="218"/>
      <c r="I1161" s="140"/>
      <c r="J1161" s="218"/>
      <c r="K1161" s="220"/>
      <c r="L1161" s="221"/>
      <c r="M1161" s="191"/>
    </row>
    <row r="1162" spans="1:13" ht="15.75" thickBot="1" x14ac:dyDescent="0.3">
      <c r="A1162" s="125"/>
      <c r="B1162" s="148"/>
      <c r="C1162" s="124"/>
      <c r="D1162" s="149"/>
      <c r="E1162" s="150"/>
      <c r="F1162" s="150"/>
      <c r="G1162" s="127"/>
      <c r="H1162" s="189"/>
      <c r="I1162" s="140"/>
      <c r="J1162" s="209"/>
      <c r="K1162" s="223"/>
      <c r="L1162" s="112"/>
      <c r="M1162" s="166"/>
    </row>
    <row r="1163" spans="1:13" ht="15.75" thickBot="1" x14ac:dyDescent="0.3">
      <c r="A1163" s="126"/>
      <c r="B1163" s="129"/>
      <c r="C1163" s="124"/>
      <c r="D1163" s="149"/>
      <c r="E1163" s="150"/>
      <c r="F1163" s="150"/>
      <c r="G1163" s="128"/>
      <c r="H1163" s="128"/>
      <c r="I1163" s="140"/>
      <c r="J1163" s="112"/>
      <c r="K1163" s="166"/>
      <c r="L1163" s="118"/>
      <c r="M1163" s="166"/>
    </row>
    <row r="1164" spans="1:13" x14ac:dyDescent="0.25">
      <c r="A1164" s="126"/>
      <c r="B1164" s="129"/>
      <c r="C1164" s="124"/>
      <c r="D1164" s="149"/>
      <c r="E1164" s="150"/>
      <c r="F1164" s="150"/>
      <c r="G1164" s="128"/>
      <c r="H1164" s="128"/>
      <c r="I1164" s="140"/>
      <c r="J1164" s="194" t="s">
        <v>39</v>
      </c>
      <c r="K1164" s="223"/>
      <c r="L1164" s="118"/>
      <c r="M1164" s="166"/>
    </row>
    <row r="1165" spans="1:13" ht="15.75" thickBot="1" x14ac:dyDescent="0.3">
      <c r="A1165" s="126"/>
      <c r="B1165" s="129"/>
      <c r="C1165" s="124"/>
      <c r="D1165" s="149"/>
      <c r="E1165" s="150"/>
      <c r="F1165" s="150"/>
      <c r="G1165" s="128"/>
      <c r="H1165" s="128"/>
      <c r="I1165" s="140"/>
      <c r="J1165" s="112"/>
      <c r="K1165" s="166"/>
      <c r="L1165" s="118"/>
      <c r="M1165" s="166"/>
    </row>
    <row r="1166" spans="1:13" x14ac:dyDescent="0.25">
      <c r="A1166" s="126"/>
      <c r="B1166" s="129"/>
      <c r="C1166" s="124"/>
      <c r="D1166" s="149"/>
      <c r="E1166" s="150"/>
      <c r="F1166" s="150"/>
      <c r="G1166" s="128"/>
      <c r="H1166" s="128"/>
      <c r="I1166" s="140"/>
      <c r="J1166" s="194" t="s">
        <v>40</v>
      </c>
      <c r="K1166" s="223"/>
      <c r="L1166" s="118"/>
      <c r="M1166" s="166"/>
    </row>
    <row r="1167" spans="1:13" ht="15.75" thickBot="1" x14ac:dyDescent="0.3">
      <c r="A1167" s="126"/>
      <c r="B1167" s="129"/>
      <c r="C1167" s="124"/>
      <c r="D1167" s="149"/>
      <c r="E1167" s="150"/>
      <c r="F1167" s="150"/>
      <c r="G1167" s="128"/>
      <c r="H1167" s="128"/>
      <c r="I1167" s="140"/>
      <c r="J1167" s="112"/>
      <c r="K1167" s="166"/>
      <c r="L1167" s="118"/>
      <c r="M1167" s="166"/>
    </row>
    <row r="1168" spans="1:13" x14ac:dyDescent="0.25">
      <c r="A1168" s="126"/>
      <c r="B1168" s="129"/>
      <c r="C1168" s="124"/>
      <c r="D1168" s="149"/>
      <c r="E1168" s="150"/>
      <c r="F1168" s="150"/>
      <c r="G1168" s="128"/>
      <c r="H1168" s="128"/>
      <c r="I1168" s="140"/>
      <c r="J1168" s="194" t="s">
        <v>41</v>
      </c>
      <c r="K1168" s="223"/>
      <c r="L1168" s="118"/>
      <c r="M1168" s="166"/>
    </row>
    <row r="1169" spans="1:13" ht="15.75" thickBot="1" x14ac:dyDescent="0.3">
      <c r="A1169" s="126"/>
      <c r="B1169" s="129"/>
      <c r="C1169" s="124"/>
      <c r="D1169" s="149"/>
      <c r="E1169" s="150"/>
      <c r="F1169" s="150"/>
      <c r="G1169" s="128"/>
      <c r="H1169" s="128"/>
      <c r="I1169" s="140"/>
      <c r="J1169" s="112"/>
      <c r="K1169" s="166"/>
      <c r="L1169" s="118"/>
      <c r="M1169" s="166"/>
    </row>
    <row r="1170" spans="1:13" x14ac:dyDescent="0.25">
      <c r="A1170" s="126"/>
      <c r="B1170" s="129"/>
      <c r="C1170" s="124"/>
      <c r="D1170" s="149"/>
      <c r="E1170" s="150"/>
      <c r="F1170" s="150"/>
      <c r="G1170" s="128"/>
      <c r="H1170" s="128"/>
      <c r="I1170" s="140"/>
      <c r="J1170" s="194" t="s">
        <v>42</v>
      </c>
      <c r="K1170" s="223"/>
      <c r="L1170" s="111"/>
      <c r="M1170" s="166"/>
    </row>
    <row r="1171" spans="1:13" ht="15.75" thickBot="1" x14ac:dyDescent="0.3">
      <c r="A1171" s="126"/>
      <c r="B1171" s="129"/>
      <c r="C1171" s="124"/>
      <c r="D1171" s="149"/>
      <c r="E1171" s="150"/>
      <c r="F1171" s="150"/>
      <c r="G1171" s="128"/>
      <c r="H1171" s="128"/>
      <c r="I1171" s="140"/>
      <c r="J1171" s="112"/>
      <c r="K1171" s="166"/>
      <c r="L1171" s="111"/>
      <c r="M1171" s="166"/>
    </row>
    <row r="1172" spans="1:13" x14ac:dyDescent="0.25">
      <c r="A1172" s="126"/>
      <c r="B1172" s="129"/>
      <c r="C1172" s="124"/>
      <c r="D1172" s="149"/>
      <c r="E1172" s="150"/>
      <c r="F1172" s="150"/>
      <c r="G1172" s="128"/>
      <c r="H1172" s="128"/>
      <c r="I1172" s="140"/>
      <c r="J1172" s="193" t="s">
        <v>43</v>
      </c>
      <c r="K1172" s="223"/>
      <c r="L1172" s="111"/>
      <c r="M1172" s="166"/>
    </row>
    <row r="1173" spans="1:13" x14ac:dyDescent="0.25">
      <c r="A1173" s="126"/>
      <c r="B1173" s="129"/>
      <c r="C1173" s="124"/>
      <c r="D1173" s="149"/>
      <c r="E1173" s="150"/>
      <c r="F1173" s="150"/>
      <c r="G1173" s="128"/>
      <c r="H1173" s="128"/>
      <c r="I1173" s="140"/>
      <c r="J1173" s="112"/>
      <c r="K1173" s="166"/>
      <c r="L1173" s="111"/>
      <c r="M1173" s="166"/>
    </row>
    <row r="1174" spans="1:13" x14ac:dyDescent="0.25">
      <c r="A1174" s="126"/>
      <c r="B1174" s="129"/>
      <c r="C1174" s="124"/>
      <c r="D1174" s="149"/>
      <c r="E1174" s="150"/>
      <c r="F1174" s="150"/>
      <c r="G1174" s="128"/>
      <c r="H1174" s="128"/>
      <c r="I1174" s="140"/>
      <c r="J1174" s="194" t="s">
        <v>44</v>
      </c>
      <c r="K1174" s="224"/>
      <c r="L1174" s="111"/>
      <c r="M1174" s="166"/>
    </row>
    <row r="1175" spans="1:13" x14ac:dyDescent="0.25">
      <c r="A1175" s="126"/>
      <c r="B1175" s="129"/>
      <c r="C1175" s="124"/>
      <c r="D1175" s="149"/>
      <c r="E1175" s="150"/>
      <c r="F1175" s="150"/>
      <c r="G1175" s="128"/>
      <c r="H1175" s="128"/>
      <c r="I1175" s="140"/>
      <c r="J1175" s="112"/>
      <c r="K1175" s="166"/>
      <c r="L1175" s="111"/>
      <c r="M1175" s="166"/>
    </row>
    <row r="1176" spans="1:13" x14ac:dyDescent="0.25">
      <c r="A1176" s="130"/>
      <c r="B1176" s="129"/>
      <c r="C1176" s="124"/>
      <c r="D1176" s="149"/>
      <c r="E1176" s="150"/>
      <c r="F1176" s="150"/>
      <c r="G1176" s="128"/>
      <c r="H1176" s="128"/>
      <c r="I1176" s="140"/>
      <c r="J1176" s="194" t="s">
        <v>45</v>
      </c>
      <c r="K1176" s="224"/>
      <c r="L1176" s="111"/>
      <c r="M1176" s="166"/>
    </row>
    <row r="1177" spans="1:13" ht="5.0999999999999996" customHeight="1" x14ac:dyDescent="0.25">
      <c r="A1177" s="140"/>
      <c r="B1177" s="140"/>
      <c r="C1177" s="140"/>
      <c r="D1177" s="140"/>
      <c r="E1177" s="140"/>
      <c r="F1177" s="140"/>
      <c r="G1177" s="140"/>
      <c r="H1177" s="140"/>
      <c r="I1177" s="140"/>
      <c r="J1177" s="112"/>
      <c r="K1177" s="166"/>
      <c r="L1177" s="111"/>
      <c r="M1177" s="191"/>
    </row>
    <row r="1178" spans="1:13" ht="16.5" thickBot="1" x14ac:dyDescent="0.3">
      <c r="A1178" s="113"/>
      <c r="B1178" s="114"/>
      <c r="C1178" s="115"/>
      <c r="D1178" s="115"/>
      <c r="E1178" s="116"/>
      <c r="F1178" s="116"/>
      <c r="G1178" s="164"/>
      <c r="H1178" s="120"/>
      <c r="I1178" s="140"/>
      <c r="J1178" s="120"/>
      <c r="K1178" s="121"/>
      <c r="L1178" s="221"/>
      <c r="M1178" s="191"/>
    </row>
    <row r="1179" spans="1:13" ht="5.0999999999999996" customHeight="1" thickBot="1" x14ac:dyDescent="0.3">
      <c r="A1179" s="217"/>
      <c r="B1179" s="212"/>
      <c r="C1179" s="213"/>
      <c r="D1179" s="213"/>
      <c r="E1179" s="214"/>
      <c r="F1179" s="214"/>
      <c r="G1179" s="215"/>
      <c r="H1179" s="218"/>
      <c r="I1179" s="140"/>
      <c r="J1179" s="218"/>
      <c r="K1179" s="220"/>
      <c r="L1179" s="221"/>
      <c r="M1179" s="191"/>
    </row>
    <row r="1180" spans="1:13" ht="15.75" thickBot="1" x14ac:dyDescent="0.3">
      <c r="A1180" s="125"/>
      <c r="B1180" s="148"/>
      <c r="C1180" s="124"/>
      <c r="D1180" s="149"/>
      <c r="E1180" s="150"/>
      <c r="F1180" s="150"/>
      <c r="G1180" s="127"/>
      <c r="H1180" s="189"/>
      <c r="I1180" s="140"/>
      <c r="J1180" s="209"/>
      <c r="K1180" s="223"/>
      <c r="L1180" s="112"/>
      <c r="M1180" s="166"/>
    </row>
    <row r="1181" spans="1:13" ht="15.75" thickBot="1" x14ac:dyDescent="0.3">
      <c r="A1181" s="126"/>
      <c r="B1181" s="129"/>
      <c r="C1181" s="124"/>
      <c r="D1181" s="149"/>
      <c r="E1181" s="150"/>
      <c r="F1181" s="150"/>
      <c r="G1181" s="128"/>
      <c r="H1181" s="128"/>
      <c r="I1181" s="140"/>
      <c r="J1181" s="112"/>
      <c r="K1181" s="166"/>
      <c r="L1181" s="118"/>
      <c r="M1181" s="166"/>
    </row>
    <row r="1182" spans="1:13" x14ac:dyDescent="0.25">
      <c r="A1182" s="126"/>
      <c r="B1182" s="129"/>
      <c r="C1182" s="124"/>
      <c r="D1182" s="149"/>
      <c r="E1182" s="150"/>
      <c r="F1182" s="150"/>
      <c r="G1182" s="128"/>
      <c r="H1182" s="128"/>
      <c r="I1182" s="140"/>
      <c r="J1182" s="194" t="s">
        <v>39</v>
      </c>
      <c r="K1182" s="223"/>
      <c r="L1182" s="118"/>
      <c r="M1182" s="166"/>
    </row>
    <row r="1183" spans="1:13" ht="15.75" thickBot="1" x14ac:dyDescent="0.3">
      <c r="A1183" s="126"/>
      <c r="B1183" s="129"/>
      <c r="C1183" s="124"/>
      <c r="D1183" s="149"/>
      <c r="E1183" s="150"/>
      <c r="F1183" s="150"/>
      <c r="G1183" s="128"/>
      <c r="H1183" s="128"/>
      <c r="I1183" s="140"/>
      <c r="J1183" s="112"/>
      <c r="K1183" s="166"/>
      <c r="L1183" s="118"/>
      <c r="M1183" s="166"/>
    </row>
    <row r="1184" spans="1:13" x14ac:dyDescent="0.25">
      <c r="A1184" s="126"/>
      <c r="B1184" s="129"/>
      <c r="C1184" s="124"/>
      <c r="D1184" s="149"/>
      <c r="E1184" s="150"/>
      <c r="F1184" s="150"/>
      <c r="G1184" s="128"/>
      <c r="H1184" s="128"/>
      <c r="I1184" s="140"/>
      <c r="J1184" s="194" t="s">
        <v>40</v>
      </c>
      <c r="K1184" s="223"/>
      <c r="L1184" s="118"/>
      <c r="M1184" s="166"/>
    </row>
    <row r="1185" spans="1:13" ht="15.75" thickBot="1" x14ac:dyDescent="0.3">
      <c r="A1185" s="126"/>
      <c r="B1185" s="129"/>
      <c r="C1185" s="124"/>
      <c r="D1185" s="149"/>
      <c r="E1185" s="150"/>
      <c r="F1185" s="150"/>
      <c r="G1185" s="128"/>
      <c r="H1185" s="128"/>
      <c r="I1185" s="140"/>
      <c r="J1185" s="112"/>
      <c r="K1185" s="166"/>
      <c r="L1185" s="118"/>
      <c r="M1185" s="166"/>
    </row>
    <row r="1186" spans="1:13" x14ac:dyDescent="0.25">
      <c r="A1186" s="126"/>
      <c r="B1186" s="129"/>
      <c r="C1186" s="124"/>
      <c r="D1186" s="149"/>
      <c r="E1186" s="150"/>
      <c r="F1186" s="150"/>
      <c r="G1186" s="128"/>
      <c r="H1186" s="128"/>
      <c r="I1186" s="140"/>
      <c r="J1186" s="194" t="s">
        <v>41</v>
      </c>
      <c r="K1186" s="223"/>
      <c r="L1186" s="118"/>
      <c r="M1186" s="166"/>
    </row>
    <row r="1187" spans="1:13" ht="15.75" thickBot="1" x14ac:dyDescent="0.3">
      <c r="A1187" s="126"/>
      <c r="B1187" s="129"/>
      <c r="C1187" s="124"/>
      <c r="D1187" s="149"/>
      <c r="E1187" s="150"/>
      <c r="F1187" s="150"/>
      <c r="G1187" s="128"/>
      <c r="H1187" s="128"/>
      <c r="I1187" s="140"/>
      <c r="J1187" s="112"/>
      <c r="K1187" s="166"/>
      <c r="L1187" s="118"/>
      <c r="M1187" s="166"/>
    </row>
    <row r="1188" spans="1:13" x14ac:dyDescent="0.25">
      <c r="A1188" s="126"/>
      <c r="B1188" s="129"/>
      <c r="C1188" s="124"/>
      <c r="D1188" s="149"/>
      <c r="E1188" s="150"/>
      <c r="F1188" s="150"/>
      <c r="G1188" s="128"/>
      <c r="H1188" s="128"/>
      <c r="I1188" s="140"/>
      <c r="J1188" s="194" t="s">
        <v>42</v>
      </c>
      <c r="K1188" s="223"/>
      <c r="L1188" s="111"/>
      <c r="M1188" s="166"/>
    </row>
    <row r="1189" spans="1:13" ht="15.75" thickBot="1" x14ac:dyDescent="0.3">
      <c r="A1189" s="126"/>
      <c r="B1189" s="129"/>
      <c r="C1189" s="124"/>
      <c r="D1189" s="149"/>
      <c r="E1189" s="150"/>
      <c r="F1189" s="150"/>
      <c r="G1189" s="128"/>
      <c r="H1189" s="128"/>
      <c r="I1189" s="140"/>
      <c r="J1189" s="112"/>
      <c r="K1189" s="166"/>
      <c r="L1189" s="111"/>
      <c r="M1189" s="166"/>
    </row>
    <row r="1190" spans="1:13" x14ac:dyDescent="0.25">
      <c r="A1190" s="126"/>
      <c r="B1190" s="129"/>
      <c r="C1190" s="124"/>
      <c r="D1190" s="149"/>
      <c r="E1190" s="150"/>
      <c r="F1190" s="150"/>
      <c r="G1190" s="128"/>
      <c r="H1190" s="128"/>
      <c r="I1190" s="140"/>
      <c r="J1190" s="193" t="s">
        <v>43</v>
      </c>
      <c r="K1190" s="223"/>
      <c r="L1190" s="111"/>
      <c r="M1190" s="166"/>
    </row>
    <row r="1191" spans="1:13" x14ac:dyDescent="0.25">
      <c r="A1191" s="126"/>
      <c r="B1191" s="129"/>
      <c r="C1191" s="124"/>
      <c r="D1191" s="149"/>
      <c r="E1191" s="150"/>
      <c r="F1191" s="150"/>
      <c r="G1191" s="128"/>
      <c r="H1191" s="128"/>
      <c r="I1191" s="140"/>
      <c r="J1191" s="112"/>
      <c r="K1191" s="166"/>
      <c r="L1191" s="111"/>
      <c r="M1191" s="166"/>
    </row>
    <row r="1192" spans="1:13" x14ac:dyDescent="0.25">
      <c r="A1192" s="126"/>
      <c r="B1192" s="129"/>
      <c r="C1192" s="124"/>
      <c r="D1192" s="149"/>
      <c r="E1192" s="150"/>
      <c r="F1192" s="150"/>
      <c r="G1192" s="128"/>
      <c r="H1192" s="128"/>
      <c r="I1192" s="140"/>
      <c r="J1192" s="194" t="s">
        <v>44</v>
      </c>
      <c r="K1192" s="224"/>
      <c r="L1192" s="111"/>
      <c r="M1192" s="166"/>
    </row>
    <row r="1193" spans="1:13" x14ac:dyDescent="0.25">
      <c r="A1193" s="126"/>
      <c r="B1193" s="129"/>
      <c r="C1193" s="124"/>
      <c r="D1193" s="149"/>
      <c r="E1193" s="150"/>
      <c r="F1193" s="150"/>
      <c r="G1193" s="128"/>
      <c r="H1193" s="128"/>
      <c r="I1193" s="140"/>
      <c r="J1193" s="112"/>
      <c r="K1193" s="166"/>
      <c r="L1193" s="111"/>
      <c r="M1193" s="166"/>
    </row>
    <row r="1194" spans="1:13" x14ac:dyDescent="0.25">
      <c r="A1194" s="130"/>
      <c r="B1194" s="129"/>
      <c r="C1194" s="124"/>
      <c r="D1194" s="149"/>
      <c r="E1194" s="150"/>
      <c r="F1194" s="150"/>
      <c r="G1194" s="128"/>
      <c r="H1194" s="128"/>
      <c r="I1194" s="140"/>
      <c r="J1194" s="194" t="s">
        <v>45</v>
      </c>
      <c r="K1194" s="224"/>
      <c r="L1194" s="111"/>
      <c r="M1194" s="166"/>
    </row>
    <row r="1195" spans="1:13" ht="5.0999999999999996" customHeight="1" x14ac:dyDescent="0.25">
      <c r="A1195" s="140"/>
      <c r="B1195" s="140"/>
      <c r="C1195" s="140"/>
      <c r="D1195" s="140"/>
      <c r="E1195" s="140"/>
      <c r="F1195" s="140"/>
      <c r="G1195" s="140"/>
      <c r="H1195" s="140"/>
      <c r="I1195" s="140"/>
      <c r="J1195" s="112"/>
      <c r="K1195" s="166"/>
      <c r="L1195" s="111"/>
      <c r="M1195" s="191"/>
    </row>
    <row r="1196" spans="1:13" ht="16.5" thickBot="1" x14ac:dyDescent="0.3">
      <c r="A1196" s="113"/>
      <c r="B1196" s="114"/>
      <c r="C1196" s="115"/>
      <c r="D1196" s="115"/>
      <c r="E1196" s="116"/>
      <c r="F1196" s="116"/>
      <c r="G1196" s="164"/>
      <c r="H1196" s="120"/>
      <c r="I1196" s="140"/>
      <c r="J1196" s="120"/>
      <c r="K1196" s="121"/>
      <c r="L1196" s="221"/>
      <c r="M1196" s="191"/>
    </row>
    <row r="1197" spans="1:13" ht="5.0999999999999996" customHeight="1" thickBot="1" x14ac:dyDescent="0.3">
      <c r="A1197" s="217"/>
      <c r="B1197" s="212"/>
      <c r="C1197" s="213"/>
      <c r="D1197" s="213"/>
      <c r="E1197" s="214"/>
      <c r="F1197" s="214"/>
      <c r="G1197" s="215"/>
      <c r="H1197" s="218"/>
      <c r="I1197" s="140"/>
      <c r="J1197" s="218"/>
      <c r="K1197" s="220"/>
      <c r="L1197" s="221"/>
      <c r="M1197" s="191"/>
    </row>
    <row r="1198" spans="1:13" ht="15.75" thickBot="1" x14ac:dyDescent="0.3">
      <c r="A1198" s="125"/>
      <c r="B1198" s="148"/>
      <c r="C1198" s="124"/>
      <c r="D1198" s="149"/>
      <c r="E1198" s="150"/>
      <c r="F1198" s="150"/>
      <c r="G1198" s="127"/>
      <c r="H1198" s="189"/>
      <c r="I1198" s="140"/>
      <c r="J1198" s="209"/>
      <c r="K1198" s="223"/>
      <c r="L1198" s="112"/>
      <c r="M1198" s="166"/>
    </row>
    <row r="1199" spans="1:13" ht="15.75" thickBot="1" x14ac:dyDescent="0.3">
      <c r="A1199" s="126"/>
      <c r="B1199" s="129"/>
      <c r="C1199" s="124"/>
      <c r="D1199" s="149"/>
      <c r="E1199" s="150"/>
      <c r="F1199" s="150"/>
      <c r="G1199" s="128"/>
      <c r="H1199" s="128"/>
      <c r="I1199" s="140"/>
      <c r="J1199" s="112"/>
      <c r="K1199" s="166"/>
      <c r="L1199" s="118"/>
      <c r="M1199" s="166"/>
    </row>
    <row r="1200" spans="1:13" x14ac:dyDescent="0.25">
      <c r="A1200" s="126"/>
      <c r="B1200" s="129"/>
      <c r="C1200" s="124"/>
      <c r="D1200" s="149"/>
      <c r="E1200" s="150"/>
      <c r="F1200" s="150"/>
      <c r="G1200" s="128"/>
      <c r="H1200" s="128"/>
      <c r="I1200" s="140"/>
      <c r="J1200" s="194" t="s">
        <v>39</v>
      </c>
      <c r="K1200" s="223"/>
      <c r="L1200" s="118"/>
      <c r="M1200" s="166"/>
    </row>
    <row r="1201" spans="1:13" ht="15.75" thickBot="1" x14ac:dyDescent="0.3">
      <c r="A1201" s="126"/>
      <c r="B1201" s="129"/>
      <c r="C1201" s="124"/>
      <c r="D1201" s="149"/>
      <c r="E1201" s="150"/>
      <c r="F1201" s="150"/>
      <c r="G1201" s="128"/>
      <c r="H1201" s="128"/>
      <c r="I1201" s="140"/>
      <c r="J1201" s="112"/>
      <c r="K1201" s="166"/>
      <c r="L1201" s="118"/>
      <c r="M1201" s="166"/>
    </row>
    <row r="1202" spans="1:13" x14ac:dyDescent="0.25">
      <c r="A1202" s="126"/>
      <c r="B1202" s="129"/>
      <c r="C1202" s="124"/>
      <c r="D1202" s="149"/>
      <c r="E1202" s="150"/>
      <c r="F1202" s="150"/>
      <c r="G1202" s="128"/>
      <c r="H1202" s="128"/>
      <c r="I1202" s="140"/>
      <c r="J1202" s="194" t="s">
        <v>40</v>
      </c>
      <c r="K1202" s="223"/>
      <c r="L1202" s="118"/>
      <c r="M1202" s="166"/>
    </row>
    <row r="1203" spans="1:13" ht="15.75" thickBot="1" x14ac:dyDescent="0.3">
      <c r="A1203" s="126"/>
      <c r="B1203" s="129"/>
      <c r="C1203" s="124"/>
      <c r="D1203" s="149"/>
      <c r="E1203" s="150"/>
      <c r="F1203" s="150"/>
      <c r="G1203" s="128"/>
      <c r="H1203" s="128"/>
      <c r="I1203" s="140"/>
      <c r="J1203" s="112"/>
      <c r="K1203" s="166"/>
      <c r="L1203" s="118"/>
      <c r="M1203" s="166"/>
    </row>
    <row r="1204" spans="1:13" x14ac:dyDescent="0.25">
      <c r="A1204" s="126"/>
      <c r="B1204" s="129"/>
      <c r="C1204" s="124"/>
      <c r="D1204" s="149"/>
      <c r="E1204" s="150"/>
      <c r="F1204" s="150"/>
      <c r="G1204" s="128"/>
      <c r="H1204" s="128"/>
      <c r="I1204" s="140"/>
      <c r="J1204" s="194" t="s">
        <v>41</v>
      </c>
      <c r="K1204" s="223"/>
      <c r="L1204" s="118"/>
      <c r="M1204" s="166"/>
    </row>
    <row r="1205" spans="1:13" ht="15.75" thickBot="1" x14ac:dyDescent="0.3">
      <c r="A1205" s="126"/>
      <c r="B1205" s="129"/>
      <c r="C1205" s="124"/>
      <c r="D1205" s="149"/>
      <c r="E1205" s="150"/>
      <c r="F1205" s="150"/>
      <c r="G1205" s="128"/>
      <c r="H1205" s="128"/>
      <c r="I1205" s="140"/>
      <c r="J1205" s="112"/>
      <c r="K1205" s="166"/>
      <c r="L1205" s="118"/>
      <c r="M1205" s="166"/>
    </row>
    <row r="1206" spans="1:13" x14ac:dyDescent="0.25">
      <c r="A1206" s="126"/>
      <c r="B1206" s="129"/>
      <c r="C1206" s="124"/>
      <c r="D1206" s="149"/>
      <c r="E1206" s="150"/>
      <c r="F1206" s="150"/>
      <c r="G1206" s="128"/>
      <c r="H1206" s="128"/>
      <c r="I1206" s="140"/>
      <c r="J1206" s="194" t="s">
        <v>42</v>
      </c>
      <c r="K1206" s="223"/>
      <c r="L1206" s="111"/>
      <c r="M1206" s="166"/>
    </row>
    <row r="1207" spans="1:13" ht="15.75" thickBot="1" x14ac:dyDescent="0.3">
      <c r="A1207" s="126"/>
      <c r="B1207" s="129"/>
      <c r="C1207" s="124"/>
      <c r="D1207" s="149"/>
      <c r="E1207" s="150"/>
      <c r="F1207" s="150"/>
      <c r="G1207" s="128"/>
      <c r="H1207" s="128"/>
      <c r="I1207" s="140"/>
      <c r="J1207" s="112"/>
      <c r="K1207" s="166"/>
      <c r="L1207" s="111"/>
      <c r="M1207" s="166"/>
    </row>
    <row r="1208" spans="1:13" x14ac:dyDescent="0.25">
      <c r="A1208" s="126"/>
      <c r="B1208" s="129"/>
      <c r="C1208" s="124"/>
      <c r="D1208" s="149"/>
      <c r="E1208" s="150"/>
      <c r="F1208" s="150"/>
      <c r="G1208" s="128"/>
      <c r="H1208" s="128"/>
      <c r="I1208" s="140"/>
      <c r="J1208" s="193" t="s">
        <v>43</v>
      </c>
      <c r="K1208" s="223"/>
      <c r="L1208" s="111"/>
      <c r="M1208" s="166"/>
    </row>
    <row r="1209" spans="1:13" x14ac:dyDescent="0.25">
      <c r="A1209" s="126"/>
      <c r="B1209" s="129"/>
      <c r="C1209" s="124"/>
      <c r="D1209" s="149"/>
      <c r="E1209" s="150"/>
      <c r="F1209" s="150"/>
      <c r="G1209" s="128"/>
      <c r="H1209" s="128"/>
      <c r="I1209" s="140"/>
      <c r="J1209" s="112"/>
      <c r="K1209" s="166"/>
      <c r="L1209" s="111"/>
      <c r="M1209" s="166"/>
    </row>
    <row r="1210" spans="1:13" x14ac:dyDescent="0.25">
      <c r="A1210" s="126"/>
      <c r="B1210" s="129"/>
      <c r="C1210" s="124"/>
      <c r="D1210" s="149"/>
      <c r="E1210" s="150"/>
      <c r="F1210" s="150"/>
      <c r="G1210" s="128"/>
      <c r="H1210" s="128"/>
      <c r="I1210" s="140"/>
      <c r="J1210" s="194" t="s">
        <v>44</v>
      </c>
      <c r="K1210" s="224"/>
      <c r="L1210" s="111"/>
      <c r="M1210" s="166"/>
    </row>
    <row r="1211" spans="1:13" x14ac:dyDescent="0.25">
      <c r="A1211" s="126"/>
      <c r="B1211" s="129"/>
      <c r="C1211" s="124"/>
      <c r="D1211" s="149"/>
      <c r="E1211" s="150"/>
      <c r="F1211" s="150"/>
      <c r="G1211" s="128"/>
      <c r="H1211" s="128"/>
      <c r="I1211" s="140"/>
      <c r="J1211" s="112"/>
      <c r="K1211" s="166"/>
      <c r="L1211" s="111"/>
      <c r="M1211" s="166"/>
    </row>
    <row r="1212" spans="1:13" x14ac:dyDescent="0.25">
      <c r="A1212" s="130"/>
      <c r="B1212" s="129"/>
      <c r="C1212" s="124"/>
      <c r="D1212" s="149"/>
      <c r="E1212" s="150"/>
      <c r="F1212" s="150"/>
      <c r="G1212" s="128"/>
      <c r="H1212" s="128"/>
      <c r="I1212" s="140"/>
      <c r="J1212" s="194" t="s">
        <v>45</v>
      </c>
      <c r="K1212" s="224"/>
      <c r="L1212" s="111"/>
      <c r="M1212" s="166"/>
    </row>
    <row r="1213" spans="1:13" ht="5.0999999999999996" customHeight="1" x14ac:dyDescent="0.25">
      <c r="A1213" s="140"/>
      <c r="B1213" s="140"/>
      <c r="C1213" s="140"/>
      <c r="D1213" s="140"/>
      <c r="E1213" s="140"/>
      <c r="F1213" s="140"/>
      <c r="G1213" s="140"/>
      <c r="H1213" s="140"/>
      <c r="I1213" s="140"/>
      <c r="J1213" s="112"/>
      <c r="K1213" s="166"/>
      <c r="L1213" s="111"/>
      <c r="M1213" s="191"/>
    </row>
    <row r="1214" spans="1:13" ht="16.5" thickBot="1" x14ac:dyDescent="0.3">
      <c r="A1214" s="113"/>
      <c r="B1214" s="114"/>
      <c r="C1214" s="115"/>
      <c r="D1214" s="115"/>
      <c r="E1214" s="116"/>
      <c r="F1214" s="116"/>
      <c r="G1214" s="164"/>
      <c r="H1214" s="120"/>
      <c r="I1214" s="140"/>
      <c r="J1214" s="120"/>
      <c r="K1214" s="121"/>
      <c r="L1214" s="221"/>
      <c r="M1214" s="191"/>
    </row>
    <row r="1215" spans="1:13" ht="5.0999999999999996" customHeight="1" thickBot="1" x14ac:dyDescent="0.3">
      <c r="A1215" s="217"/>
      <c r="B1215" s="212"/>
      <c r="C1215" s="213"/>
      <c r="D1215" s="213"/>
      <c r="E1215" s="214"/>
      <c r="F1215" s="214"/>
      <c r="G1215" s="215"/>
      <c r="H1215" s="218"/>
      <c r="I1215" s="140"/>
      <c r="J1215" s="218"/>
      <c r="K1215" s="220"/>
      <c r="L1215" s="221"/>
      <c r="M1215" s="191"/>
    </row>
    <row r="1216" spans="1:13" ht="15.75" thickBot="1" x14ac:dyDescent="0.3">
      <c r="A1216" s="125"/>
      <c r="B1216" s="148"/>
      <c r="C1216" s="124"/>
      <c r="D1216" s="149"/>
      <c r="E1216" s="150"/>
      <c r="F1216" s="150"/>
      <c r="G1216" s="127"/>
      <c r="H1216" s="189"/>
      <c r="I1216" s="140"/>
      <c r="J1216" s="209"/>
      <c r="K1216" s="223"/>
      <c r="L1216" s="112"/>
      <c r="M1216" s="166"/>
    </row>
    <row r="1217" spans="1:13" ht="15.75" thickBot="1" x14ac:dyDescent="0.3">
      <c r="A1217" s="126"/>
      <c r="B1217" s="129"/>
      <c r="C1217" s="124"/>
      <c r="D1217" s="149"/>
      <c r="E1217" s="150"/>
      <c r="F1217" s="150"/>
      <c r="G1217" s="128"/>
      <c r="H1217" s="128"/>
      <c r="I1217" s="140"/>
      <c r="J1217" s="112"/>
      <c r="K1217" s="166"/>
      <c r="L1217" s="118"/>
      <c r="M1217" s="166"/>
    </row>
    <row r="1218" spans="1:13" x14ac:dyDescent="0.25">
      <c r="A1218" s="126"/>
      <c r="B1218" s="129"/>
      <c r="C1218" s="124"/>
      <c r="D1218" s="149"/>
      <c r="E1218" s="150"/>
      <c r="F1218" s="150"/>
      <c r="G1218" s="128"/>
      <c r="H1218" s="128"/>
      <c r="I1218" s="140"/>
      <c r="J1218" s="194" t="s">
        <v>39</v>
      </c>
      <c r="K1218" s="223"/>
      <c r="L1218" s="118"/>
      <c r="M1218" s="166"/>
    </row>
    <row r="1219" spans="1:13" ht="15.75" thickBot="1" x14ac:dyDescent="0.3">
      <c r="A1219" s="126"/>
      <c r="B1219" s="129"/>
      <c r="C1219" s="124"/>
      <c r="D1219" s="149"/>
      <c r="E1219" s="150"/>
      <c r="F1219" s="150"/>
      <c r="G1219" s="128"/>
      <c r="H1219" s="128"/>
      <c r="I1219" s="140"/>
      <c r="J1219" s="112"/>
      <c r="K1219" s="166"/>
      <c r="L1219" s="118"/>
      <c r="M1219" s="166"/>
    </row>
    <row r="1220" spans="1:13" x14ac:dyDescent="0.25">
      <c r="A1220" s="126"/>
      <c r="B1220" s="129"/>
      <c r="C1220" s="124"/>
      <c r="D1220" s="149"/>
      <c r="E1220" s="150"/>
      <c r="F1220" s="150"/>
      <c r="G1220" s="128"/>
      <c r="H1220" s="128"/>
      <c r="I1220" s="140"/>
      <c r="J1220" s="194" t="s">
        <v>40</v>
      </c>
      <c r="K1220" s="223"/>
      <c r="L1220" s="118"/>
      <c r="M1220" s="166"/>
    </row>
    <row r="1221" spans="1:13" ht="15.75" thickBot="1" x14ac:dyDescent="0.3">
      <c r="A1221" s="126"/>
      <c r="B1221" s="129"/>
      <c r="C1221" s="124"/>
      <c r="D1221" s="149"/>
      <c r="E1221" s="150"/>
      <c r="F1221" s="150"/>
      <c r="G1221" s="128"/>
      <c r="H1221" s="128"/>
      <c r="I1221" s="140"/>
      <c r="J1221" s="112"/>
      <c r="K1221" s="166"/>
      <c r="L1221" s="118"/>
      <c r="M1221" s="166"/>
    </row>
    <row r="1222" spans="1:13" x14ac:dyDescent="0.25">
      <c r="A1222" s="126"/>
      <c r="B1222" s="129"/>
      <c r="C1222" s="124"/>
      <c r="D1222" s="149"/>
      <c r="E1222" s="150"/>
      <c r="F1222" s="150"/>
      <c r="G1222" s="128"/>
      <c r="H1222" s="128"/>
      <c r="I1222" s="140"/>
      <c r="J1222" s="194" t="s">
        <v>41</v>
      </c>
      <c r="K1222" s="223"/>
      <c r="L1222" s="118"/>
      <c r="M1222" s="166"/>
    </row>
    <row r="1223" spans="1:13" ht="15.75" thickBot="1" x14ac:dyDescent="0.3">
      <c r="A1223" s="126"/>
      <c r="B1223" s="129"/>
      <c r="C1223" s="124"/>
      <c r="D1223" s="149"/>
      <c r="E1223" s="150"/>
      <c r="F1223" s="150"/>
      <c r="G1223" s="128"/>
      <c r="H1223" s="128"/>
      <c r="I1223" s="140"/>
      <c r="J1223" s="112"/>
      <c r="K1223" s="166"/>
      <c r="L1223" s="118"/>
      <c r="M1223" s="166"/>
    </row>
    <row r="1224" spans="1:13" x14ac:dyDescent="0.25">
      <c r="A1224" s="126"/>
      <c r="B1224" s="129"/>
      <c r="C1224" s="124"/>
      <c r="D1224" s="149"/>
      <c r="E1224" s="150"/>
      <c r="F1224" s="150"/>
      <c r="G1224" s="128"/>
      <c r="H1224" s="128"/>
      <c r="I1224" s="140"/>
      <c r="J1224" s="194" t="s">
        <v>42</v>
      </c>
      <c r="K1224" s="223"/>
      <c r="L1224" s="111"/>
      <c r="M1224" s="166"/>
    </row>
    <row r="1225" spans="1:13" ht="15.75" thickBot="1" x14ac:dyDescent="0.3">
      <c r="A1225" s="126"/>
      <c r="B1225" s="129"/>
      <c r="C1225" s="124"/>
      <c r="D1225" s="149"/>
      <c r="E1225" s="150"/>
      <c r="F1225" s="150"/>
      <c r="G1225" s="128"/>
      <c r="H1225" s="128"/>
      <c r="I1225" s="140"/>
      <c r="J1225" s="112"/>
      <c r="K1225" s="166"/>
      <c r="L1225" s="111"/>
      <c r="M1225" s="166"/>
    </row>
    <row r="1226" spans="1:13" x14ac:dyDescent="0.25">
      <c r="A1226" s="126"/>
      <c r="B1226" s="129"/>
      <c r="C1226" s="124"/>
      <c r="D1226" s="149"/>
      <c r="E1226" s="150"/>
      <c r="F1226" s="150"/>
      <c r="G1226" s="128"/>
      <c r="H1226" s="128"/>
      <c r="I1226" s="140"/>
      <c r="J1226" s="193" t="s">
        <v>43</v>
      </c>
      <c r="K1226" s="223"/>
      <c r="L1226" s="111"/>
      <c r="M1226" s="166"/>
    </row>
    <row r="1227" spans="1:13" x14ac:dyDescent="0.25">
      <c r="A1227" s="126"/>
      <c r="B1227" s="129"/>
      <c r="C1227" s="124"/>
      <c r="D1227" s="149"/>
      <c r="E1227" s="150"/>
      <c r="F1227" s="150"/>
      <c r="G1227" s="128"/>
      <c r="H1227" s="128"/>
      <c r="I1227" s="140"/>
      <c r="J1227" s="112"/>
      <c r="K1227" s="166"/>
      <c r="L1227" s="111"/>
      <c r="M1227" s="166"/>
    </row>
    <row r="1228" spans="1:13" x14ac:dyDescent="0.25">
      <c r="A1228" s="126"/>
      <c r="B1228" s="129"/>
      <c r="C1228" s="124"/>
      <c r="D1228" s="149"/>
      <c r="E1228" s="150"/>
      <c r="F1228" s="150"/>
      <c r="G1228" s="128"/>
      <c r="H1228" s="128"/>
      <c r="I1228" s="140"/>
      <c r="J1228" s="194" t="s">
        <v>44</v>
      </c>
      <c r="K1228" s="224"/>
      <c r="L1228" s="111"/>
      <c r="M1228" s="166"/>
    </row>
    <row r="1229" spans="1:13" x14ac:dyDescent="0.25">
      <c r="A1229" s="126"/>
      <c r="B1229" s="129"/>
      <c r="C1229" s="124"/>
      <c r="D1229" s="149"/>
      <c r="E1229" s="150"/>
      <c r="F1229" s="150"/>
      <c r="G1229" s="128"/>
      <c r="H1229" s="128"/>
      <c r="I1229" s="140"/>
      <c r="J1229" s="112"/>
      <c r="K1229" s="166"/>
      <c r="L1229" s="111"/>
      <c r="M1229" s="166"/>
    </row>
    <row r="1230" spans="1:13" x14ac:dyDescent="0.25">
      <c r="A1230" s="130"/>
      <c r="B1230" s="129"/>
      <c r="C1230" s="124"/>
      <c r="D1230" s="149"/>
      <c r="E1230" s="150"/>
      <c r="F1230" s="150"/>
      <c r="G1230" s="128"/>
      <c r="H1230" s="128"/>
      <c r="I1230" s="140"/>
      <c r="J1230" s="194" t="s">
        <v>45</v>
      </c>
      <c r="K1230" s="224"/>
      <c r="L1230" s="111"/>
      <c r="M1230" s="166"/>
    </row>
    <row r="1231" spans="1:13" ht="5.0999999999999996" customHeight="1" x14ac:dyDescent="0.25">
      <c r="A1231" s="140"/>
      <c r="B1231" s="140"/>
      <c r="C1231" s="140"/>
      <c r="D1231" s="140"/>
      <c r="E1231" s="140"/>
      <c r="F1231" s="140"/>
      <c r="G1231" s="140"/>
      <c r="H1231" s="140"/>
      <c r="I1231" s="140"/>
      <c r="J1231" s="112"/>
      <c r="K1231" s="166"/>
      <c r="L1231" s="111"/>
      <c r="M1231" s="191"/>
    </row>
    <row r="1232" spans="1:13" ht="16.5" thickBot="1" x14ac:dyDescent="0.3">
      <c r="A1232" s="113"/>
      <c r="B1232" s="114"/>
      <c r="C1232" s="115"/>
      <c r="D1232" s="115"/>
      <c r="E1232" s="116"/>
      <c r="F1232" s="116"/>
      <c r="G1232" s="164"/>
      <c r="H1232" s="120"/>
      <c r="I1232" s="140"/>
      <c r="J1232" s="120"/>
      <c r="K1232" s="121"/>
      <c r="L1232" s="221"/>
      <c r="M1232" s="191"/>
    </row>
    <row r="1233" spans="1:13" ht="5.0999999999999996" customHeight="1" thickBot="1" x14ac:dyDescent="0.3">
      <c r="A1233" s="217"/>
      <c r="B1233" s="212"/>
      <c r="C1233" s="213"/>
      <c r="D1233" s="213"/>
      <c r="E1233" s="214"/>
      <c r="F1233" s="214"/>
      <c r="G1233" s="215"/>
      <c r="H1233" s="218"/>
      <c r="I1233" s="140"/>
      <c r="J1233" s="218"/>
      <c r="K1233" s="220"/>
      <c r="L1233" s="221"/>
      <c r="M1233" s="191"/>
    </row>
    <row r="1234" spans="1:13" ht="15.75" thickBot="1" x14ac:dyDescent="0.3">
      <c r="A1234" s="125"/>
      <c r="B1234" s="148"/>
      <c r="C1234" s="124"/>
      <c r="D1234" s="149"/>
      <c r="E1234" s="150"/>
      <c r="F1234" s="150"/>
      <c r="G1234" s="127"/>
      <c r="H1234" s="189"/>
      <c r="I1234" s="140"/>
      <c r="J1234" s="209"/>
      <c r="K1234" s="223"/>
      <c r="L1234" s="112"/>
      <c r="M1234" s="166"/>
    </row>
    <row r="1235" spans="1:13" ht="15.75" thickBot="1" x14ac:dyDescent="0.3">
      <c r="A1235" s="126"/>
      <c r="B1235" s="129"/>
      <c r="C1235" s="124"/>
      <c r="D1235" s="149"/>
      <c r="E1235" s="150"/>
      <c r="F1235" s="150"/>
      <c r="G1235" s="128"/>
      <c r="H1235" s="128"/>
      <c r="I1235" s="140"/>
      <c r="J1235" s="112"/>
      <c r="K1235" s="166"/>
      <c r="L1235" s="118"/>
      <c r="M1235" s="166"/>
    </row>
    <row r="1236" spans="1:13" x14ac:dyDescent="0.25">
      <c r="A1236" s="126"/>
      <c r="B1236" s="129"/>
      <c r="C1236" s="124"/>
      <c r="D1236" s="149"/>
      <c r="E1236" s="150"/>
      <c r="F1236" s="150"/>
      <c r="G1236" s="128"/>
      <c r="H1236" s="128"/>
      <c r="I1236" s="140"/>
      <c r="J1236" s="194" t="s">
        <v>39</v>
      </c>
      <c r="K1236" s="223"/>
      <c r="L1236" s="118"/>
      <c r="M1236" s="166"/>
    </row>
    <row r="1237" spans="1:13" ht="15.75" thickBot="1" x14ac:dyDescent="0.3">
      <c r="A1237" s="126"/>
      <c r="B1237" s="129"/>
      <c r="C1237" s="124"/>
      <c r="D1237" s="149"/>
      <c r="E1237" s="150"/>
      <c r="F1237" s="150"/>
      <c r="G1237" s="128"/>
      <c r="H1237" s="128"/>
      <c r="I1237" s="140"/>
      <c r="J1237" s="112"/>
      <c r="K1237" s="166"/>
      <c r="L1237" s="118"/>
      <c r="M1237" s="166"/>
    </row>
    <row r="1238" spans="1:13" x14ac:dyDescent="0.25">
      <c r="A1238" s="126"/>
      <c r="B1238" s="129"/>
      <c r="C1238" s="124"/>
      <c r="D1238" s="149"/>
      <c r="E1238" s="150"/>
      <c r="F1238" s="150"/>
      <c r="G1238" s="128"/>
      <c r="H1238" s="128"/>
      <c r="I1238" s="140"/>
      <c r="J1238" s="194" t="s">
        <v>40</v>
      </c>
      <c r="K1238" s="223"/>
      <c r="L1238" s="118"/>
      <c r="M1238" s="166"/>
    </row>
    <row r="1239" spans="1:13" ht="15.75" thickBot="1" x14ac:dyDescent="0.3">
      <c r="A1239" s="126"/>
      <c r="B1239" s="129"/>
      <c r="C1239" s="124"/>
      <c r="D1239" s="149"/>
      <c r="E1239" s="150"/>
      <c r="F1239" s="150"/>
      <c r="G1239" s="128"/>
      <c r="H1239" s="128"/>
      <c r="I1239" s="140"/>
      <c r="J1239" s="112"/>
      <c r="K1239" s="166"/>
      <c r="L1239" s="118"/>
      <c r="M1239" s="166"/>
    </row>
    <row r="1240" spans="1:13" x14ac:dyDescent="0.25">
      <c r="A1240" s="126"/>
      <c r="B1240" s="129"/>
      <c r="C1240" s="124"/>
      <c r="D1240" s="149"/>
      <c r="E1240" s="150"/>
      <c r="F1240" s="150"/>
      <c r="G1240" s="128"/>
      <c r="H1240" s="128"/>
      <c r="I1240" s="140"/>
      <c r="J1240" s="194" t="s">
        <v>41</v>
      </c>
      <c r="K1240" s="223"/>
      <c r="L1240" s="118"/>
      <c r="M1240" s="166"/>
    </row>
    <row r="1241" spans="1:13" ht="15.75" thickBot="1" x14ac:dyDescent="0.3">
      <c r="A1241" s="126"/>
      <c r="B1241" s="129"/>
      <c r="C1241" s="124"/>
      <c r="D1241" s="149"/>
      <c r="E1241" s="150"/>
      <c r="F1241" s="150"/>
      <c r="G1241" s="128"/>
      <c r="H1241" s="128"/>
      <c r="I1241" s="140"/>
      <c r="J1241" s="112"/>
      <c r="K1241" s="166"/>
      <c r="L1241" s="118"/>
      <c r="M1241" s="166"/>
    </row>
    <row r="1242" spans="1:13" x14ac:dyDescent="0.25">
      <c r="A1242" s="126"/>
      <c r="B1242" s="129"/>
      <c r="C1242" s="124"/>
      <c r="D1242" s="149"/>
      <c r="E1242" s="150"/>
      <c r="F1242" s="150"/>
      <c r="G1242" s="128"/>
      <c r="H1242" s="128"/>
      <c r="I1242" s="140"/>
      <c r="J1242" s="194" t="s">
        <v>42</v>
      </c>
      <c r="K1242" s="223"/>
      <c r="L1242" s="111"/>
      <c r="M1242" s="166"/>
    </row>
    <row r="1243" spans="1:13" ht="15.75" thickBot="1" x14ac:dyDescent="0.3">
      <c r="A1243" s="126"/>
      <c r="B1243" s="129"/>
      <c r="C1243" s="124"/>
      <c r="D1243" s="149"/>
      <c r="E1243" s="150"/>
      <c r="F1243" s="150"/>
      <c r="G1243" s="128"/>
      <c r="H1243" s="128"/>
      <c r="I1243" s="140"/>
      <c r="J1243" s="112"/>
      <c r="K1243" s="166"/>
      <c r="L1243" s="111"/>
      <c r="M1243" s="166"/>
    </row>
    <row r="1244" spans="1:13" x14ac:dyDescent="0.25">
      <c r="A1244" s="126"/>
      <c r="B1244" s="129"/>
      <c r="C1244" s="124"/>
      <c r="D1244" s="149"/>
      <c r="E1244" s="150"/>
      <c r="F1244" s="150"/>
      <c r="G1244" s="128"/>
      <c r="H1244" s="128"/>
      <c r="I1244" s="140"/>
      <c r="J1244" s="193" t="s">
        <v>43</v>
      </c>
      <c r="K1244" s="223"/>
      <c r="L1244" s="111"/>
      <c r="M1244" s="166"/>
    </row>
    <row r="1245" spans="1:13" x14ac:dyDescent="0.25">
      <c r="A1245" s="126"/>
      <c r="B1245" s="129"/>
      <c r="C1245" s="124"/>
      <c r="D1245" s="149"/>
      <c r="E1245" s="150"/>
      <c r="F1245" s="150"/>
      <c r="G1245" s="128"/>
      <c r="H1245" s="128"/>
      <c r="I1245" s="140"/>
      <c r="J1245" s="112"/>
      <c r="K1245" s="166"/>
      <c r="L1245" s="111"/>
      <c r="M1245" s="166"/>
    </row>
    <row r="1246" spans="1:13" x14ac:dyDescent="0.25">
      <c r="A1246" s="126"/>
      <c r="B1246" s="129"/>
      <c r="C1246" s="124"/>
      <c r="D1246" s="149"/>
      <c r="E1246" s="150"/>
      <c r="F1246" s="150"/>
      <c r="G1246" s="128"/>
      <c r="H1246" s="128"/>
      <c r="I1246" s="140"/>
      <c r="J1246" s="194" t="s">
        <v>44</v>
      </c>
      <c r="K1246" s="224"/>
      <c r="L1246" s="111"/>
      <c r="M1246" s="166"/>
    </row>
    <row r="1247" spans="1:13" x14ac:dyDescent="0.25">
      <c r="A1247" s="126"/>
      <c r="B1247" s="129"/>
      <c r="C1247" s="124"/>
      <c r="D1247" s="149"/>
      <c r="E1247" s="150"/>
      <c r="F1247" s="150"/>
      <c r="G1247" s="128"/>
      <c r="H1247" s="128"/>
      <c r="I1247" s="140"/>
      <c r="J1247" s="112"/>
      <c r="K1247" s="166"/>
      <c r="L1247" s="111"/>
      <c r="M1247" s="166"/>
    </row>
    <row r="1248" spans="1:13" x14ac:dyDescent="0.25">
      <c r="A1248" s="130"/>
      <c r="B1248" s="129"/>
      <c r="C1248" s="124"/>
      <c r="D1248" s="149"/>
      <c r="E1248" s="150"/>
      <c r="F1248" s="150"/>
      <c r="G1248" s="128"/>
      <c r="H1248" s="128"/>
      <c r="I1248" s="140"/>
      <c r="J1248" s="194" t="s">
        <v>45</v>
      </c>
      <c r="K1248" s="224"/>
      <c r="L1248" s="111"/>
      <c r="M1248" s="166"/>
    </row>
    <row r="1249" spans="1:13" ht="5.0999999999999996" customHeight="1" x14ac:dyDescent="0.25">
      <c r="A1249" s="140"/>
      <c r="B1249" s="140"/>
      <c r="C1249" s="140"/>
      <c r="D1249" s="140"/>
      <c r="E1249" s="140"/>
      <c r="F1249" s="140"/>
      <c r="G1249" s="140"/>
      <c r="H1249" s="140"/>
      <c r="I1249" s="140"/>
      <c r="J1249" s="112"/>
      <c r="K1249" s="166"/>
      <c r="L1249" s="111"/>
      <c r="M1249" s="191"/>
    </row>
    <row r="1250" spans="1:13" ht="16.5" thickBot="1" x14ac:dyDescent="0.3">
      <c r="A1250" s="113"/>
      <c r="B1250" s="114"/>
      <c r="C1250" s="115"/>
      <c r="D1250" s="115"/>
      <c r="E1250" s="116"/>
      <c r="F1250" s="116"/>
      <c r="G1250" s="164"/>
      <c r="H1250" s="120"/>
      <c r="I1250" s="140"/>
      <c r="J1250" s="120"/>
      <c r="K1250" s="121"/>
      <c r="L1250" s="221"/>
      <c r="M1250" s="191"/>
    </row>
    <row r="1251" spans="1:13" ht="5.0999999999999996" customHeight="1" thickBot="1" x14ac:dyDescent="0.3">
      <c r="A1251" s="217"/>
      <c r="B1251" s="212"/>
      <c r="C1251" s="213"/>
      <c r="D1251" s="213"/>
      <c r="E1251" s="214"/>
      <c r="F1251" s="214"/>
      <c r="G1251" s="215"/>
      <c r="H1251" s="218"/>
      <c r="I1251" s="140"/>
      <c r="J1251" s="218"/>
      <c r="K1251" s="220"/>
      <c r="L1251" s="221"/>
      <c r="M1251" s="191"/>
    </row>
    <row r="1252" spans="1:13" ht="15.75" thickBot="1" x14ac:dyDescent="0.3">
      <c r="A1252" s="125"/>
      <c r="B1252" s="148"/>
      <c r="C1252" s="124"/>
      <c r="D1252" s="149"/>
      <c r="E1252" s="150"/>
      <c r="F1252" s="150"/>
      <c r="G1252" s="127"/>
      <c r="H1252" s="189"/>
      <c r="I1252" s="140"/>
      <c r="J1252" s="209"/>
      <c r="K1252" s="223"/>
      <c r="L1252" s="112"/>
      <c r="M1252" s="166"/>
    </row>
    <row r="1253" spans="1:13" ht="15.75" thickBot="1" x14ac:dyDescent="0.3">
      <c r="A1253" s="126"/>
      <c r="B1253" s="129"/>
      <c r="C1253" s="124"/>
      <c r="D1253" s="149"/>
      <c r="E1253" s="150"/>
      <c r="F1253" s="150"/>
      <c r="G1253" s="128"/>
      <c r="H1253" s="128"/>
      <c r="I1253" s="140"/>
      <c r="J1253" s="112"/>
      <c r="K1253" s="166"/>
      <c r="L1253" s="118"/>
      <c r="M1253" s="166"/>
    </row>
    <row r="1254" spans="1:13" x14ac:dyDescent="0.25">
      <c r="A1254" s="126"/>
      <c r="B1254" s="129"/>
      <c r="C1254" s="124"/>
      <c r="D1254" s="149"/>
      <c r="E1254" s="150"/>
      <c r="F1254" s="150"/>
      <c r="G1254" s="128"/>
      <c r="H1254" s="128"/>
      <c r="I1254" s="140"/>
      <c r="J1254" s="194" t="s">
        <v>39</v>
      </c>
      <c r="K1254" s="223"/>
      <c r="L1254" s="118"/>
      <c r="M1254" s="166"/>
    </row>
    <row r="1255" spans="1:13" ht="15.75" thickBot="1" x14ac:dyDescent="0.3">
      <c r="A1255" s="126"/>
      <c r="B1255" s="129"/>
      <c r="C1255" s="124"/>
      <c r="D1255" s="149"/>
      <c r="E1255" s="150"/>
      <c r="F1255" s="150"/>
      <c r="G1255" s="128"/>
      <c r="H1255" s="128"/>
      <c r="I1255" s="140"/>
      <c r="J1255" s="112"/>
      <c r="K1255" s="166"/>
      <c r="L1255" s="118"/>
      <c r="M1255" s="166"/>
    </row>
    <row r="1256" spans="1:13" x14ac:dyDescent="0.25">
      <c r="A1256" s="126"/>
      <c r="B1256" s="129"/>
      <c r="C1256" s="124"/>
      <c r="D1256" s="149"/>
      <c r="E1256" s="150"/>
      <c r="F1256" s="150"/>
      <c r="G1256" s="128"/>
      <c r="H1256" s="128"/>
      <c r="I1256" s="140"/>
      <c r="J1256" s="194" t="s">
        <v>40</v>
      </c>
      <c r="K1256" s="223"/>
      <c r="L1256" s="118"/>
      <c r="M1256" s="166"/>
    </row>
    <row r="1257" spans="1:13" ht="15.75" thickBot="1" x14ac:dyDescent="0.3">
      <c r="A1257" s="126"/>
      <c r="B1257" s="129"/>
      <c r="C1257" s="124"/>
      <c r="D1257" s="149"/>
      <c r="E1257" s="150"/>
      <c r="F1257" s="150"/>
      <c r="G1257" s="128"/>
      <c r="H1257" s="128"/>
      <c r="I1257" s="140"/>
      <c r="J1257" s="112"/>
      <c r="K1257" s="166"/>
      <c r="L1257" s="118"/>
      <c r="M1257" s="166"/>
    </row>
    <row r="1258" spans="1:13" x14ac:dyDescent="0.25">
      <c r="A1258" s="126"/>
      <c r="B1258" s="129"/>
      <c r="C1258" s="124"/>
      <c r="D1258" s="149"/>
      <c r="E1258" s="150"/>
      <c r="F1258" s="150"/>
      <c r="G1258" s="128"/>
      <c r="H1258" s="128"/>
      <c r="I1258" s="140"/>
      <c r="J1258" s="194" t="s">
        <v>41</v>
      </c>
      <c r="K1258" s="223"/>
      <c r="L1258" s="118"/>
      <c r="M1258" s="166"/>
    </row>
    <row r="1259" spans="1:13" ht="15.75" thickBot="1" x14ac:dyDescent="0.3">
      <c r="A1259" s="126"/>
      <c r="B1259" s="129"/>
      <c r="C1259" s="124"/>
      <c r="D1259" s="149"/>
      <c r="E1259" s="150"/>
      <c r="F1259" s="150"/>
      <c r="G1259" s="128"/>
      <c r="H1259" s="128"/>
      <c r="I1259" s="140"/>
      <c r="J1259" s="112"/>
      <c r="K1259" s="166"/>
      <c r="L1259" s="118"/>
      <c r="M1259" s="166"/>
    </row>
    <row r="1260" spans="1:13" x14ac:dyDescent="0.25">
      <c r="A1260" s="126"/>
      <c r="B1260" s="129"/>
      <c r="C1260" s="124"/>
      <c r="D1260" s="149"/>
      <c r="E1260" s="150"/>
      <c r="F1260" s="150"/>
      <c r="G1260" s="128"/>
      <c r="H1260" s="128"/>
      <c r="I1260" s="140"/>
      <c r="J1260" s="194" t="s">
        <v>42</v>
      </c>
      <c r="K1260" s="223"/>
      <c r="L1260" s="111"/>
      <c r="M1260" s="166"/>
    </row>
    <row r="1261" spans="1:13" ht="15.75" thickBot="1" x14ac:dyDescent="0.3">
      <c r="A1261" s="126"/>
      <c r="B1261" s="129"/>
      <c r="C1261" s="124"/>
      <c r="D1261" s="149"/>
      <c r="E1261" s="150"/>
      <c r="F1261" s="150"/>
      <c r="G1261" s="128"/>
      <c r="H1261" s="128"/>
      <c r="I1261" s="140"/>
      <c r="J1261" s="112"/>
      <c r="K1261" s="166"/>
      <c r="L1261" s="111"/>
      <c r="M1261" s="166"/>
    </row>
    <row r="1262" spans="1:13" x14ac:dyDescent="0.25">
      <c r="A1262" s="126"/>
      <c r="B1262" s="129"/>
      <c r="C1262" s="124"/>
      <c r="D1262" s="149"/>
      <c r="E1262" s="150"/>
      <c r="F1262" s="150"/>
      <c r="G1262" s="128"/>
      <c r="H1262" s="128"/>
      <c r="I1262" s="140"/>
      <c r="J1262" s="193" t="s">
        <v>43</v>
      </c>
      <c r="K1262" s="223"/>
      <c r="L1262" s="111"/>
      <c r="M1262" s="166"/>
    </row>
    <row r="1263" spans="1:13" x14ac:dyDescent="0.25">
      <c r="A1263" s="126"/>
      <c r="B1263" s="129"/>
      <c r="C1263" s="124"/>
      <c r="D1263" s="149"/>
      <c r="E1263" s="150"/>
      <c r="F1263" s="150"/>
      <c r="G1263" s="128"/>
      <c r="H1263" s="128"/>
      <c r="I1263" s="140"/>
      <c r="J1263" s="112"/>
      <c r="K1263" s="166"/>
      <c r="L1263" s="111"/>
      <c r="M1263" s="166"/>
    </row>
    <row r="1264" spans="1:13" x14ac:dyDescent="0.25">
      <c r="A1264" s="126"/>
      <c r="B1264" s="129"/>
      <c r="C1264" s="124"/>
      <c r="D1264" s="149"/>
      <c r="E1264" s="150"/>
      <c r="F1264" s="150"/>
      <c r="G1264" s="128"/>
      <c r="H1264" s="128"/>
      <c r="I1264" s="140"/>
      <c r="J1264" s="194" t="s">
        <v>44</v>
      </c>
      <c r="K1264" s="224"/>
      <c r="L1264" s="111"/>
      <c r="M1264" s="166"/>
    </row>
    <row r="1265" spans="1:13" x14ac:dyDescent="0.25">
      <c r="A1265" s="126"/>
      <c r="B1265" s="129"/>
      <c r="C1265" s="124"/>
      <c r="D1265" s="149"/>
      <c r="E1265" s="150"/>
      <c r="F1265" s="150"/>
      <c r="G1265" s="128"/>
      <c r="H1265" s="128"/>
      <c r="I1265" s="140"/>
      <c r="J1265" s="112"/>
      <c r="K1265" s="166"/>
      <c r="L1265" s="111"/>
      <c r="M1265" s="166"/>
    </row>
    <row r="1266" spans="1:13" x14ac:dyDescent="0.25">
      <c r="A1266" s="130"/>
      <c r="B1266" s="129"/>
      <c r="C1266" s="124"/>
      <c r="D1266" s="149"/>
      <c r="E1266" s="150"/>
      <c r="F1266" s="150"/>
      <c r="G1266" s="128"/>
      <c r="H1266" s="128"/>
      <c r="I1266" s="140"/>
      <c r="J1266" s="194" t="s">
        <v>45</v>
      </c>
      <c r="K1266" s="224"/>
      <c r="L1266" s="111"/>
      <c r="M1266" s="166"/>
    </row>
    <row r="1267" spans="1:13" ht="5.0999999999999996" customHeight="1" x14ac:dyDescent="0.25">
      <c r="A1267" s="140"/>
      <c r="B1267" s="140"/>
      <c r="C1267" s="140"/>
      <c r="D1267" s="140"/>
      <c r="E1267" s="140"/>
      <c r="F1267" s="140"/>
      <c r="G1267" s="140"/>
      <c r="H1267" s="140"/>
      <c r="I1267" s="140"/>
      <c r="J1267" s="112"/>
      <c r="K1267" s="166"/>
      <c r="L1267" s="111"/>
      <c r="M1267" s="191"/>
    </row>
    <row r="1268" spans="1:13" ht="16.5" thickBot="1" x14ac:dyDescent="0.3">
      <c r="A1268" s="113"/>
      <c r="B1268" s="114"/>
      <c r="C1268" s="115"/>
      <c r="D1268" s="115"/>
      <c r="E1268" s="116"/>
      <c r="F1268" s="116"/>
      <c r="G1268" s="164"/>
      <c r="H1268" s="120"/>
      <c r="I1268" s="140"/>
      <c r="J1268" s="120"/>
      <c r="K1268" s="121"/>
      <c r="L1268" s="221"/>
      <c r="M1268" s="191"/>
    </row>
    <row r="1269" spans="1:13" ht="5.0999999999999996" customHeight="1" thickBot="1" x14ac:dyDescent="0.3">
      <c r="A1269" s="217"/>
      <c r="B1269" s="212"/>
      <c r="C1269" s="213"/>
      <c r="D1269" s="213"/>
      <c r="E1269" s="214"/>
      <c r="F1269" s="214"/>
      <c r="G1269" s="215"/>
      <c r="H1269" s="218"/>
      <c r="I1269" s="140"/>
      <c r="J1269" s="218"/>
      <c r="K1269" s="220"/>
      <c r="L1269" s="221"/>
      <c r="M1269" s="191"/>
    </row>
    <row r="1270" spans="1:13" ht="15.75" thickBot="1" x14ac:dyDescent="0.3">
      <c r="A1270" s="125"/>
      <c r="B1270" s="148"/>
      <c r="C1270" s="124"/>
      <c r="D1270" s="149"/>
      <c r="E1270" s="150"/>
      <c r="F1270" s="150"/>
      <c r="G1270" s="127"/>
      <c r="H1270" s="189"/>
      <c r="I1270" s="140"/>
      <c r="J1270" s="209"/>
      <c r="K1270" s="223"/>
      <c r="L1270" s="112"/>
      <c r="M1270" s="166"/>
    </row>
    <row r="1271" spans="1:13" ht="15.75" thickBot="1" x14ac:dyDescent="0.3">
      <c r="A1271" s="126"/>
      <c r="B1271" s="129"/>
      <c r="C1271" s="124"/>
      <c r="D1271" s="149"/>
      <c r="E1271" s="150"/>
      <c r="F1271" s="150"/>
      <c r="G1271" s="128"/>
      <c r="H1271" s="128"/>
      <c r="I1271" s="140"/>
      <c r="J1271" s="112"/>
      <c r="K1271" s="166"/>
      <c r="L1271" s="118"/>
      <c r="M1271" s="166"/>
    </row>
    <row r="1272" spans="1:13" x14ac:dyDescent="0.25">
      <c r="A1272" s="126"/>
      <c r="B1272" s="129"/>
      <c r="C1272" s="124"/>
      <c r="D1272" s="149"/>
      <c r="E1272" s="150"/>
      <c r="F1272" s="150"/>
      <c r="G1272" s="128"/>
      <c r="H1272" s="128"/>
      <c r="I1272" s="140"/>
      <c r="J1272" s="194" t="s">
        <v>39</v>
      </c>
      <c r="K1272" s="223"/>
      <c r="L1272" s="118"/>
      <c r="M1272" s="166"/>
    </row>
    <row r="1273" spans="1:13" ht="15.75" thickBot="1" x14ac:dyDescent="0.3">
      <c r="A1273" s="126"/>
      <c r="B1273" s="129"/>
      <c r="C1273" s="124"/>
      <c r="D1273" s="149"/>
      <c r="E1273" s="150"/>
      <c r="F1273" s="150"/>
      <c r="G1273" s="128"/>
      <c r="H1273" s="128"/>
      <c r="I1273" s="140"/>
      <c r="J1273" s="112"/>
      <c r="K1273" s="166"/>
      <c r="L1273" s="118"/>
      <c r="M1273" s="166"/>
    </row>
    <row r="1274" spans="1:13" x14ac:dyDescent="0.25">
      <c r="A1274" s="126"/>
      <c r="B1274" s="129"/>
      <c r="C1274" s="124"/>
      <c r="D1274" s="149"/>
      <c r="E1274" s="150"/>
      <c r="F1274" s="150"/>
      <c r="G1274" s="128"/>
      <c r="H1274" s="128"/>
      <c r="I1274" s="140"/>
      <c r="J1274" s="194" t="s">
        <v>40</v>
      </c>
      <c r="K1274" s="223"/>
      <c r="L1274" s="118"/>
      <c r="M1274" s="166"/>
    </row>
    <row r="1275" spans="1:13" ht="15.75" thickBot="1" x14ac:dyDescent="0.3">
      <c r="A1275" s="126"/>
      <c r="B1275" s="129"/>
      <c r="C1275" s="124"/>
      <c r="D1275" s="149"/>
      <c r="E1275" s="150"/>
      <c r="F1275" s="150"/>
      <c r="G1275" s="128"/>
      <c r="H1275" s="128"/>
      <c r="I1275" s="140"/>
      <c r="J1275" s="112"/>
      <c r="K1275" s="166"/>
      <c r="L1275" s="118"/>
      <c r="M1275" s="166"/>
    </row>
    <row r="1276" spans="1:13" x14ac:dyDescent="0.25">
      <c r="A1276" s="126"/>
      <c r="B1276" s="129"/>
      <c r="C1276" s="124"/>
      <c r="D1276" s="149"/>
      <c r="E1276" s="150"/>
      <c r="F1276" s="150"/>
      <c r="G1276" s="128"/>
      <c r="H1276" s="128"/>
      <c r="I1276" s="140"/>
      <c r="J1276" s="194" t="s">
        <v>41</v>
      </c>
      <c r="K1276" s="223"/>
      <c r="L1276" s="118"/>
      <c r="M1276" s="166"/>
    </row>
    <row r="1277" spans="1:13" ht="15.75" thickBot="1" x14ac:dyDescent="0.3">
      <c r="A1277" s="126"/>
      <c r="B1277" s="129"/>
      <c r="C1277" s="124"/>
      <c r="D1277" s="149"/>
      <c r="E1277" s="150"/>
      <c r="F1277" s="150"/>
      <c r="G1277" s="128"/>
      <c r="H1277" s="128"/>
      <c r="I1277" s="140"/>
      <c r="J1277" s="112"/>
      <c r="K1277" s="166"/>
      <c r="L1277" s="118"/>
      <c r="M1277" s="166"/>
    </row>
    <row r="1278" spans="1:13" x14ac:dyDescent="0.25">
      <c r="A1278" s="126"/>
      <c r="B1278" s="129"/>
      <c r="C1278" s="124"/>
      <c r="D1278" s="149"/>
      <c r="E1278" s="150"/>
      <c r="F1278" s="150"/>
      <c r="G1278" s="128"/>
      <c r="H1278" s="128"/>
      <c r="I1278" s="140"/>
      <c r="J1278" s="194" t="s">
        <v>42</v>
      </c>
      <c r="K1278" s="223"/>
      <c r="L1278" s="111"/>
      <c r="M1278" s="166"/>
    </row>
    <row r="1279" spans="1:13" ht="15.75" thickBot="1" x14ac:dyDescent="0.3">
      <c r="A1279" s="126"/>
      <c r="B1279" s="129"/>
      <c r="C1279" s="124"/>
      <c r="D1279" s="149"/>
      <c r="E1279" s="150"/>
      <c r="F1279" s="150"/>
      <c r="G1279" s="128"/>
      <c r="H1279" s="128"/>
      <c r="I1279" s="140"/>
      <c r="J1279" s="112"/>
      <c r="K1279" s="166"/>
      <c r="L1279" s="111"/>
      <c r="M1279" s="166"/>
    </row>
    <row r="1280" spans="1:13" x14ac:dyDescent="0.25">
      <c r="A1280" s="126"/>
      <c r="B1280" s="129"/>
      <c r="C1280" s="124"/>
      <c r="D1280" s="149"/>
      <c r="E1280" s="150"/>
      <c r="F1280" s="150"/>
      <c r="G1280" s="128"/>
      <c r="H1280" s="128"/>
      <c r="I1280" s="140"/>
      <c r="J1280" s="193" t="s">
        <v>43</v>
      </c>
      <c r="K1280" s="223"/>
      <c r="L1280" s="111"/>
      <c r="M1280" s="166"/>
    </row>
    <row r="1281" spans="1:13" x14ac:dyDescent="0.25">
      <c r="A1281" s="126"/>
      <c r="B1281" s="129"/>
      <c r="C1281" s="124"/>
      <c r="D1281" s="149"/>
      <c r="E1281" s="150"/>
      <c r="F1281" s="150"/>
      <c r="G1281" s="128"/>
      <c r="H1281" s="128"/>
      <c r="I1281" s="140"/>
      <c r="J1281" s="112"/>
      <c r="K1281" s="166"/>
      <c r="L1281" s="111"/>
      <c r="M1281" s="166"/>
    </row>
    <row r="1282" spans="1:13" x14ac:dyDescent="0.25">
      <c r="A1282" s="126"/>
      <c r="B1282" s="129"/>
      <c r="C1282" s="124"/>
      <c r="D1282" s="149"/>
      <c r="E1282" s="150"/>
      <c r="F1282" s="150"/>
      <c r="G1282" s="128"/>
      <c r="H1282" s="128"/>
      <c r="I1282" s="140"/>
      <c r="J1282" s="194" t="s">
        <v>44</v>
      </c>
      <c r="K1282" s="224"/>
      <c r="L1282" s="111"/>
      <c r="M1282" s="166"/>
    </row>
    <row r="1283" spans="1:13" x14ac:dyDescent="0.25">
      <c r="A1283" s="126"/>
      <c r="B1283" s="129"/>
      <c r="C1283" s="124"/>
      <c r="D1283" s="149"/>
      <c r="E1283" s="150"/>
      <c r="F1283" s="150"/>
      <c r="G1283" s="128"/>
      <c r="H1283" s="128"/>
      <c r="I1283" s="140"/>
      <c r="J1283" s="112"/>
      <c r="K1283" s="166"/>
      <c r="L1283" s="111"/>
      <c r="M1283" s="166"/>
    </row>
    <row r="1284" spans="1:13" x14ac:dyDescent="0.25">
      <c r="A1284" s="130"/>
      <c r="B1284" s="129"/>
      <c r="C1284" s="124"/>
      <c r="D1284" s="149"/>
      <c r="E1284" s="150"/>
      <c r="F1284" s="150"/>
      <c r="G1284" s="128"/>
      <c r="H1284" s="128"/>
      <c r="I1284" s="140"/>
      <c r="J1284" s="194" t="s">
        <v>45</v>
      </c>
      <c r="K1284" s="224"/>
      <c r="L1284" s="111"/>
      <c r="M1284" s="166"/>
    </row>
    <row r="1285" spans="1:13" ht="5.0999999999999996" customHeight="1" x14ac:dyDescent="0.25">
      <c r="A1285" s="140"/>
      <c r="B1285" s="140"/>
      <c r="C1285" s="140"/>
      <c r="D1285" s="140"/>
      <c r="E1285" s="140"/>
      <c r="F1285" s="140"/>
      <c r="G1285" s="140"/>
      <c r="H1285" s="140"/>
      <c r="I1285" s="140"/>
      <c r="J1285" s="112"/>
      <c r="K1285" s="166"/>
      <c r="L1285" s="111"/>
      <c r="M1285" s="191"/>
    </row>
    <row r="1286" spans="1:13" ht="16.5" thickBot="1" x14ac:dyDescent="0.3">
      <c r="A1286" s="113"/>
      <c r="B1286" s="114"/>
      <c r="C1286" s="115"/>
      <c r="D1286" s="115"/>
      <c r="E1286" s="116"/>
      <c r="F1286" s="116"/>
      <c r="G1286" s="164"/>
      <c r="H1286" s="120"/>
      <c r="I1286" s="140"/>
      <c r="J1286" s="120"/>
      <c r="K1286" s="121"/>
      <c r="L1286" s="221"/>
      <c r="M1286" s="191"/>
    </row>
    <row r="1287" spans="1:13" ht="5.0999999999999996" customHeight="1" thickBot="1" x14ac:dyDescent="0.3">
      <c r="A1287" s="217"/>
      <c r="B1287" s="212"/>
      <c r="C1287" s="213"/>
      <c r="D1287" s="213"/>
      <c r="E1287" s="214"/>
      <c r="F1287" s="214"/>
      <c r="G1287" s="215"/>
      <c r="H1287" s="218"/>
      <c r="I1287" s="140"/>
      <c r="J1287" s="218"/>
      <c r="K1287" s="220"/>
      <c r="L1287" s="221"/>
      <c r="M1287" s="191"/>
    </row>
    <row r="1288" spans="1:13" ht="15.75" thickBot="1" x14ac:dyDescent="0.3">
      <c r="A1288" s="125"/>
      <c r="B1288" s="148"/>
      <c r="C1288" s="124"/>
      <c r="D1288" s="149"/>
      <c r="E1288" s="150"/>
      <c r="F1288" s="150"/>
      <c r="G1288" s="127"/>
      <c r="H1288" s="189"/>
      <c r="I1288" s="140"/>
      <c r="J1288" s="209"/>
      <c r="K1288" s="223"/>
      <c r="L1288" s="112"/>
      <c r="M1288" s="166"/>
    </row>
    <row r="1289" spans="1:13" ht="15.75" thickBot="1" x14ac:dyDescent="0.3">
      <c r="A1289" s="126"/>
      <c r="B1289" s="129"/>
      <c r="C1289" s="124"/>
      <c r="D1289" s="149"/>
      <c r="E1289" s="150"/>
      <c r="F1289" s="150"/>
      <c r="G1289" s="128"/>
      <c r="H1289" s="128"/>
      <c r="I1289" s="140"/>
      <c r="J1289" s="112"/>
      <c r="K1289" s="166"/>
      <c r="L1289" s="118"/>
      <c r="M1289" s="166"/>
    </row>
    <row r="1290" spans="1:13" x14ac:dyDescent="0.25">
      <c r="A1290" s="126"/>
      <c r="B1290" s="129"/>
      <c r="C1290" s="124"/>
      <c r="D1290" s="149"/>
      <c r="E1290" s="150"/>
      <c r="F1290" s="150"/>
      <c r="G1290" s="128"/>
      <c r="H1290" s="128"/>
      <c r="I1290" s="140"/>
      <c r="J1290" s="194" t="s">
        <v>39</v>
      </c>
      <c r="K1290" s="223"/>
      <c r="L1290" s="118"/>
      <c r="M1290" s="166"/>
    </row>
    <row r="1291" spans="1:13" ht="15.75" thickBot="1" x14ac:dyDescent="0.3">
      <c r="A1291" s="126"/>
      <c r="B1291" s="129"/>
      <c r="C1291" s="124"/>
      <c r="D1291" s="149"/>
      <c r="E1291" s="150"/>
      <c r="F1291" s="150"/>
      <c r="G1291" s="128"/>
      <c r="H1291" s="128"/>
      <c r="I1291" s="140"/>
      <c r="J1291" s="112"/>
      <c r="K1291" s="166"/>
      <c r="L1291" s="118"/>
      <c r="M1291" s="166"/>
    </row>
    <row r="1292" spans="1:13" x14ac:dyDescent="0.25">
      <c r="A1292" s="126"/>
      <c r="B1292" s="129"/>
      <c r="C1292" s="124"/>
      <c r="D1292" s="149"/>
      <c r="E1292" s="150"/>
      <c r="F1292" s="150"/>
      <c r="G1292" s="128"/>
      <c r="H1292" s="128"/>
      <c r="I1292" s="140"/>
      <c r="J1292" s="194" t="s">
        <v>40</v>
      </c>
      <c r="K1292" s="223"/>
      <c r="L1292" s="118"/>
      <c r="M1292" s="166"/>
    </row>
    <row r="1293" spans="1:13" ht="15.75" thickBot="1" x14ac:dyDescent="0.3">
      <c r="A1293" s="126"/>
      <c r="B1293" s="129"/>
      <c r="C1293" s="124"/>
      <c r="D1293" s="149"/>
      <c r="E1293" s="150"/>
      <c r="F1293" s="150"/>
      <c r="G1293" s="128"/>
      <c r="H1293" s="128"/>
      <c r="I1293" s="140"/>
      <c r="J1293" s="112"/>
      <c r="K1293" s="166"/>
      <c r="L1293" s="118"/>
      <c r="M1293" s="166"/>
    </row>
    <row r="1294" spans="1:13" x14ac:dyDescent="0.25">
      <c r="A1294" s="126"/>
      <c r="B1294" s="129"/>
      <c r="C1294" s="124"/>
      <c r="D1294" s="149"/>
      <c r="E1294" s="150"/>
      <c r="F1294" s="150"/>
      <c r="G1294" s="128"/>
      <c r="H1294" s="128"/>
      <c r="I1294" s="140"/>
      <c r="J1294" s="194" t="s">
        <v>41</v>
      </c>
      <c r="K1294" s="223"/>
      <c r="L1294" s="118"/>
      <c r="M1294" s="166"/>
    </row>
    <row r="1295" spans="1:13" ht="15.75" thickBot="1" x14ac:dyDescent="0.3">
      <c r="A1295" s="126"/>
      <c r="B1295" s="129"/>
      <c r="C1295" s="124"/>
      <c r="D1295" s="149"/>
      <c r="E1295" s="150"/>
      <c r="F1295" s="150"/>
      <c r="G1295" s="128"/>
      <c r="H1295" s="128"/>
      <c r="I1295" s="140"/>
      <c r="J1295" s="112"/>
      <c r="K1295" s="166"/>
      <c r="L1295" s="118"/>
      <c r="M1295" s="166"/>
    </row>
    <row r="1296" spans="1:13" x14ac:dyDescent="0.25">
      <c r="A1296" s="126"/>
      <c r="B1296" s="129"/>
      <c r="C1296" s="124"/>
      <c r="D1296" s="149"/>
      <c r="E1296" s="150"/>
      <c r="F1296" s="150"/>
      <c r="G1296" s="128"/>
      <c r="H1296" s="128"/>
      <c r="I1296" s="140"/>
      <c r="J1296" s="194" t="s">
        <v>42</v>
      </c>
      <c r="K1296" s="223"/>
      <c r="L1296" s="111"/>
      <c r="M1296" s="166"/>
    </row>
    <row r="1297" spans="1:13" ht="15.75" thickBot="1" x14ac:dyDescent="0.3">
      <c r="A1297" s="126"/>
      <c r="B1297" s="129"/>
      <c r="C1297" s="124"/>
      <c r="D1297" s="149"/>
      <c r="E1297" s="150"/>
      <c r="F1297" s="150"/>
      <c r="G1297" s="128"/>
      <c r="H1297" s="128"/>
      <c r="I1297" s="140"/>
      <c r="J1297" s="112"/>
      <c r="K1297" s="166"/>
      <c r="L1297" s="111"/>
      <c r="M1297" s="166"/>
    </row>
    <row r="1298" spans="1:13" x14ac:dyDescent="0.25">
      <c r="A1298" s="126"/>
      <c r="B1298" s="129"/>
      <c r="C1298" s="124"/>
      <c r="D1298" s="149"/>
      <c r="E1298" s="150"/>
      <c r="F1298" s="150"/>
      <c r="G1298" s="128"/>
      <c r="H1298" s="128"/>
      <c r="I1298" s="140"/>
      <c r="J1298" s="193" t="s">
        <v>43</v>
      </c>
      <c r="K1298" s="223"/>
      <c r="L1298" s="111"/>
      <c r="M1298" s="166"/>
    </row>
    <row r="1299" spans="1:13" x14ac:dyDescent="0.25">
      <c r="A1299" s="126"/>
      <c r="B1299" s="129"/>
      <c r="C1299" s="124"/>
      <c r="D1299" s="149"/>
      <c r="E1299" s="150"/>
      <c r="F1299" s="150"/>
      <c r="G1299" s="128"/>
      <c r="H1299" s="128"/>
      <c r="I1299" s="140"/>
      <c r="J1299" s="112"/>
      <c r="K1299" s="166"/>
      <c r="L1299" s="111"/>
      <c r="M1299" s="166"/>
    </row>
    <row r="1300" spans="1:13" x14ac:dyDescent="0.25">
      <c r="A1300" s="126"/>
      <c r="B1300" s="129"/>
      <c r="C1300" s="124"/>
      <c r="D1300" s="149"/>
      <c r="E1300" s="150"/>
      <c r="F1300" s="150"/>
      <c r="G1300" s="128"/>
      <c r="H1300" s="128"/>
      <c r="I1300" s="140"/>
      <c r="J1300" s="194" t="s">
        <v>44</v>
      </c>
      <c r="K1300" s="224"/>
      <c r="L1300" s="111"/>
      <c r="M1300" s="166"/>
    </row>
    <row r="1301" spans="1:13" x14ac:dyDescent="0.25">
      <c r="A1301" s="126"/>
      <c r="B1301" s="129"/>
      <c r="C1301" s="124"/>
      <c r="D1301" s="149"/>
      <c r="E1301" s="150"/>
      <c r="F1301" s="150"/>
      <c r="G1301" s="128"/>
      <c r="H1301" s="128"/>
      <c r="I1301" s="140"/>
      <c r="J1301" s="112"/>
      <c r="K1301" s="166"/>
      <c r="L1301" s="111"/>
      <c r="M1301" s="166"/>
    </row>
    <row r="1302" spans="1:13" x14ac:dyDescent="0.25">
      <c r="A1302" s="130"/>
      <c r="B1302" s="129"/>
      <c r="C1302" s="124"/>
      <c r="D1302" s="149"/>
      <c r="E1302" s="150"/>
      <c r="F1302" s="150"/>
      <c r="G1302" s="128"/>
      <c r="H1302" s="128"/>
      <c r="I1302" s="140"/>
      <c r="J1302" s="194" t="s">
        <v>45</v>
      </c>
      <c r="K1302" s="224"/>
      <c r="L1302" s="111"/>
      <c r="M1302" s="166"/>
    </row>
    <row r="1303" spans="1:13" ht="5.0999999999999996" customHeight="1" x14ac:dyDescent="0.25">
      <c r="A1303" s="140"/>
      <c r="B1303" s="140"/>
      <c r="C1303" s="140"/>
      <c r="D1303" s="140"/>
      <c r="E1303" s="140"/>
      <c r="F1303" s="140"/>
      <c r="G1303" s="140"/>
      <c r="H1303" s="140"/>
      <c r="I1303" s="140"/>
      <c r="J1303" s="112"/>
      <c r="K1303" s="166"/>
      <c r="L1303" s="111"/>
      <c r="M1303" s="191"/>
    </row>
    <row r="1304" spans="1:13" ht="16.5" thickBot="1" x14ac:dyDescent="0.3">
      <c r="A1304" s="113"/>
      <c r="B1304" s="114"/>
      <c r="C1304" s="115"/>
      <c r="D1304" s="115"/>
      <c r="E1304" s="116"/>
      <c r="F1304" s="116"/>
      <c r="G1304" s="164"/>
      <c r="H1304" s="120"/>
      <c r="I1304" s="140"/>
      <c r="J1304" s="120"/>
      <c r="K1304" s="121"/>
      <c r="L1304" s="221"/>
      <c r="M1304" s="191"/>
    </row>
    <row r="1305" spans="1:13" ht="5.0999999999999996" customHeight="1" thickBot="1" x14ac:dyDescent="0.3">
      <c r="A1305" s="217"/>
      <c r="B1305" s="212"/>
      <c r="C1305" s="213"/>
      <c r="D1305" s="213"/>
      <c r="E1305" s="214"/>
      <c r="F1305" s="214"/>
      <c r="G1305" s="215"/>
      <c r="H1305" s="218"/>
      <c r="I1305" s="140"/>
      <c r="J1305" s="218"/>
      <c r="K1305" s="220"/>
      <c r="L1305" s="221"/>
      <c r="M1305" s="191"/>
    </row>
    <row r="1306" spans="1:13" ht="15.75" thickBot="1" x14ac:dyDescent="0.3">
      <c r="A1306" s="125"/>
      <c r="B1306" s="148"/>
      <c r="C1306" s="124"/>
      <c r="D1306" s="149"/>
      <c r="E1306" s="150"/>
      <c r="F1306" s="150"/>
      <c r="G1306" s="127"/>
      <c r="H1306" s="189"/>
      <c r="I1306" s="140"/>
      <c r="J1306" s="209"/>
      <c r="K1306" s="223"/>
      <c r="L1306" s="112"/>
      <c r="M1306" s="166"/>
    </row>
    <row r="1307" spans="1:13" ht="15.75" thickBot="1" x14ac:dyDescent="0.3">
      <c r="A1307" s="126"/>
      <c r="B1307" s="129"/>
      <c r="C1307" s="124"/>
      <c r="D1307" s="149"/>
      <c r="E1307" s="150"/>
      <c r="F1307" s="150"/>
      <c r="G1307" s="128"/>
      <c r="H1307" s="128"/>
      <c r="I1307" s="140"/>
      <c r="J1307" s="112"/>
      <c r="K1307" s="166"/>
      <c r="L1307" s="118"/>
      <c r="M1307" s="166"/>
    </row>
    <row r="1308" spans="1:13" x14ac:dyDescent="0.25">
      <c r="A1308" s="126"/>
      <c r="B1308" s="129"/>
      <c r="C1308" s="124"/>
      <c r="D1308" s="149"/>
      <c r="E1308" s="150"/>
      <c r="F1308" s="150"/>
      <c r="G1308" s="128"/>
      <c r="H1308" s="128"/>
      <c r="I1308" s="140"/>
      <c r="J1308" s="194" t="s">
        <v>39</v>
      </c>
      <c r="K1308" s="223"/>
      <c r="L1308" s="118"/>
      <c r="M1308" s="166"/>
    </row>
    <row r="1309" spans="1:13" ht="15.75" thickBot="1" x14ac:dyDescent="0.3">
      <c r="A1309" s="126"/>
      <c r="B1309" s="129"/>
      <c r="C1309" s="124"/>
      <c r="D1309" s="149"/>
      <c r="E1309" s="150"/>
      <c r="F1309" s="150"/>
      <c r="G1309" s="128"/>
      <c r="H1309" s="128"/>
      <c r="I1309" s="140"/>
      <c r="J1309" s="112"/>
      <c r="K1309" s="166"/>
      <c r="L1309" s="118"/>
      <c r="M1309" s="166"/>
    </row>
    <row r="1310" spans="1:13" x14ac:dyDescent="0.25">
      <c r="A1310" s="126"/>
      <c r="B1310" s="129"/>
      <c r="C1310" s="124"/>
      <c r="D1310" s="149"/>
      <c r="E1310" s="150"/>
      <c r="F1310" s="150"/>
      <c r="G1310" s="128"/>
      <c r="H1310" s="128"/>
      <c r="I1310" s="140"/>
      <c r="J1310" s="194" t="s">
        <v>40</v>
      </c>
      <c r="K1310" s="223"/>
      <c r="L1310" s="118"/>
      <c r="M1310" s="166"/>
    </row>
    <row r="1311" spans="1:13" ht="15.75" thickBot="1" x14ac:dyDescent="0.3">
      <c r="A1311" s="126"/>
      <c r="B1311" s="129"/>
      <c r="C1311" s="124"/>
      <c r="D1311" s="149"/>
      <c r="E1311" s="150"/>
      <c r="F1311" s="150"/>
      <c r="G1311" s="128"/>
      <c r="H1311" s="128"/>
      <c r="I1311" s="140"/>
      <c r="J1311" s="112"/>
      <c r="K1311" s="166"/>
      <c r="L1311" s="118"/>
      <c r="M1311" s="166"/>
    </row>
    <row r="1312" spans="1:13" x14ac:dyDescent="0.25">
      <c r="A1312" s="126"/>
      <c r="B1312" s="129"/>
      <c r="C1312" s="124"/>
      <c r="D1312" s="149"/>
      <c r="E1312" s="150"/>
      <c r="F1312" s="150"/>
      <c r="G1312" s="128"/>
      <c r="H1312" s="128"/>
      <c r="I1312" s="140"/>
      <c r="J1312" s="194" t="s">
        <v>41</v>
      </c>
      <c r="K1312" s="223"/>
      <c r="L1312" s="118"/>
      <c r="M1312" s="166"/>
    </row>
    <row r="1313" spans="1:13" ht="15.75" thickBot="1" x14ac:dyDescent="0.3">
      <c r="A1313" s="126"/>
      <c r="B1313" s="129"/>
      <c r="C1313" s="124"/>
      <c r="D1313" s="149"/>
      <c r="E1313" s="150"/>
      <c r="F1313" s="150"/>
      <c r="G1313" s="128"/>
      <c r="H1313" s="128"/>
      <c r="I1313" s="140"/>
      <c r="J1313" s="112"/>
      <c r="K1313" s="166"/>
      <c r="L1313" s="118"/>
      <c r="M1313" s="166"/>
    </row>
    <row r="1314" spans="1:13" x14ac:dyDescent="0.25">
      <c r="A1314" s="126"/>
      <c r="B1314" s="129"/>
      <c r="C1314" s="124"/>
      <c r="D1314" s="149"/>
      <c r="E1314" s="150"/>
      <c r="F1314" s="150"/>
      <c r="G1314" s="128"/>
      <c r="H1314" s="128"/>
      <c r="I1314" s="140"/>
      <c r="J1314" s="194" t="s">
        <v>42</v>
      </c>
      <c r="K1314" s="223"/>
      <c r="L1314" s="111"/>
      <c r="M1314" s="166"/>
    </row>
    <row r="1315" spans="1:13" ht="15.75" thickBot="1" x14ac:dyDescent="0.3">
      <c r="A1315" s="126"/>
      <c r="B1315" s="129"/>
      <c r="C1315" s="124"/>
      <c r="D1315" s="149"/>
      <c r="E1315" s="150"/>
      <c r="F1315" s="150"/>
      <c r="G1315" s="128"/>
      <c r="H1315" s="128"/>
      <c r="I1315" s="140"/>
      <c r="J1315" s="112"/>
      <c r="K1315" s="166"/>
      <c r="L1315" s="111"/>
      <c r="M1315" s="166"/>
    </row>
    <row r="1316" spans="1:13" x14ac:dyDescent="0.25">
      <c r="A1316" s="126"/>
      <c r="B1316" s="129"/>
      <c r="C1316" s="124"/>
      <c r="D1316" s="149"/>
      <c r="E1316" s="150"/>
      <c r="F1316" s="150"/>
      <c r="G1316" s="128"/>
      <c r="H1316" s="128"/>
      <c r="I1316" s="140"/>
      <c r="J1316" s="193" t="s">
        <v>43</v>
      </c>
      <c r="K1316" s="223"/>
      <c r="L1316" s="111"/>
      <c r="M1316" s="166"/>
    </row>
    <row r="1317" spans="1:13" x14ac:dyDescent="0.25">
      <c r="A1317" s="126"/>
      <c r="B1317" s="129"/>
      <c r="C1317" s="124"/>
      <c r="D1317" s="149"/>
      <c r="E1317" s="150"/>
      <c r="F1317" s="150"/>
      <c r="G1317" s="128"/>
      <c r="H1317" s="128"/>
      <c r="I1317" s="140"/>
      <c r="J1317" s="112"/>
      <c r="K1317" s="166"/>
      <c r="L1317" s="111"/>
      <c r="M1317" s="166"/>
    </row>
    <row r="1318" spans="1:13" x14ac:dyDescent="0.25">
      <c r="A1318" s="126"/>
      <c r="B1318" s="129"/>
      <c r="C1318" s="124"/>
      <c r="D1318" s="149"/>
      <c r="E1318" s="150"/>
      <c r="F1318" s="150"/>
      <c r="G1318" s="128"/>
      <c r="H1318" s="128"/>
      <c r="I1318" s="140"/>
      <c r="J1318" s="194" t="s">
        <v>44</v>
      </c>
      <c r="K1318" s="224"/>
      <c r="L1318" s="111"/>
      <c r="M1318" s="166"/>
    </row>
    <row r="1319" spans="1:13" x14ac:dyDescent="0.25">
      <c r="A1319" s="126"/>
      <c r="B1319" s="129"/>
      <c r="C1319" s="124"/>
      <c r="D1319" s="149"/>
      <c r="E1319" s="150"/>
      <c r="F1319" s="150"/>
      <c r="G1319" s="128"/>
      <c r="H1319" s="128"/>
      <c r="I1319" s="140"/>
      <c r="J1319" s="112"/>
      <c r="K1319" s="166"/>
      <c r="L1319" s="111"/>
      <c r="M1319" s="166"/>
    </row>
    <row r="1320" spans="1:13" x14ac:dyDescent="0.25">
      <c r="A1320" s="130"/>
      <c r="B1320" s="129"/>
      <c r="C1320" s="124"/>
      <c r="D1320" s="149"/>
      <c r="E1320" s="150"/>
      <c r="F1320" s="150"/>
      <c r="G1320" s="128"/>
      <c r="H1320" s="128"/>
      <c r="I1320" s="140"/>
      <c r="J1320" s="194" t="s">
        <v>45</v>
      </c>
      <c r="K1320" s="224"/>
      <c r="L1320" s="111"/>
      <c r="M1320" s="166"/>
    </row>
    <row r="1321" spans="1:13" ht="5.0999999999999996" customHeight="1" x14ac:dyDescent="0.25">
      <c r="A1321" s="140"/>
      <c r="B1321" s="140"/>
      <c r="C1321" s="140"/>
      <c r="D1321" s="140"/>
      <c r="E1321" s="140"/>
      <c r="F1321" s="140"/>
      <c r="G1321" s="140"/>
      <c r="H1321" s="140"/>
      <c r="I1321" s="140"/>
      <c r="J1321" s="112"/>
      <c r="K1321" s="166"/>
      <c r="L1321" s="111"/>
      <c r="M1321" s="191"/>
    </row>
    <row r="1322" spans="1:13" ht="16.5" thickBot="1" x14ac:dyDescent="0.3">
      <c r="A1322" s="113"/>
      <c r="B1322" s="114"/>
      <c r="C1322" s="115"/>
      <c r="D1322" s="115"/>
      <c r="E1322" s="116"/>
      <c r="F1322" s="116"/>
      <c r="G1322" s="164"/>
      <c r="H1322" s="120"/>
      <c r="I1322" s="140"/>
      <c r="J1322" s="120"/>
      <c r="K1322" s="121"/>
      <c r="L1322" s="221"/>
      <c r="M1322" s="191"/>
    </row>
    <row r="1323" spans="1:13" ht="5.0999999999999996" customHeight="1" thickBot="1" x14ac:dyDescent="0.3">
      <c r="A1323" s="217"/>
      <c r="B1323" s="212"/>
      <c r="C1323" s="213"/>
      <c r="D1323" s="213"/>
      <c r="E1323" s="214"/>
      <c r="F1323" s="214"/>
      <c r="G1323" s="215"/>
      <c r="H1323" s="218"/>
      <c r="I1323" s="140"/>
      <c r="J1323" s="218"/>
      <c r="K1323" s="220"/>
      <c r="L1323" s="221"/>
      <c r="M1323" s="191"/>
    </row>
    <row r="1324" spans="1:13" ht="15.75" thickBot="1" x14ac:dyDescent="0.3">
      <c r="A1324" s="125"/>
      <c r="B1324" s="148"/>
      <c r="C1324" s="124"/>
      <c r="D1324" s="149"/>
      <c r="E1324" s="150"/>
      <c r="F1324" s="150"/>
      <c r="G1324" s="127"/>
      <c r="H1324" s="189"/>
      <c r="I1324" s="140"/>
      <c r="J1324" s="209"/>
      <c r="K1324" s="223"/>
      <c r="L1324" s="112"/>
      <c r="M1324" s="166"/>
    </row>
    <row r="1325" spans="1:13" ht="15.75" thickBot="1" x14ac:dyDescent="0.3">
      <c r="A1325" s="126"/>
      <c r="B1325" s="129"/>
      <c r="C1325" s="124"/>
      <c r="D1325" s="149"/>
      <c r="E1325" s="150"/>
      <c r="F1325" s="150"/>
      <c r="G1325" s="128"/>
      <c r="H1325" s="128"/>
      <c r="I1325" s="140"/>
      <c r="J1325" s="112"/>
      <c r="K1325" s="166"/>
      <c r="L1325" s="118"/>
      <c r="M1325" s="166"/>
    </row>
    <row r="1326" spans="1:13" x14ac:dyDescent="0.25">
      <c r="A1326" s="126"/>
      <c r="B1326" s="129"/>
      <c r="C1326" s="124"/>
      <c r="D1326" s="149"/>
      <c r="E1326" s="150"/>
      <c r="F1326" s="150"/>
      <c r="G1326" s="128"/>
      <c r="H1326" s="128"/>
      <c r="I1326" s="140"/>
      <c r="J1326" s="194" t="s">
        <v>39</v>
      </c>
      <c r="K1326" s="223"/>
      <c r="L1326" s="118"/>
      <c r="M1326" s="166"/>
    </row>
    <row r="1327" spans="1:13" ht="15.75" thickBot="1" x14ac:dyDescent="0.3">
      <c r="A1327" s="126"/>
      <c r="B1327" s="129"/>
      <c r="C1327" s="124"/>
      <c r="D1327" s="149"/>
      <c r="E1327" s="150"/>
      <c r="F1327" s="150"/>
      <c r="G1327" s="128"/>
      <c r="H1327" s="128"/>
      <c r="I1327" s="140"/>
      <c r="J1327" s="112"/>
      <c r="K1327" s="166"/>
      <c r="L1327" s="118"/>
      <c r="M1327" s="166"/>
    </row>
    <row r="1328" spans="1:13" x14ac:dyDescent="0.25">
      <c r="A1328" s="126"/>
      <c r="B1328" s="129"/>
      <c r="C1328" s="124"/>
      <c r="D1328" s="149"/>
      <c r="E1328" s="150"/>
      <c r="F1328" s="150"/>
      <c r="G1328" s="128"/>
      <c r="H1328" s="128"/>
      <c r="I1328" s="140"/>
      <c r="J1328" s="194" t="s">
        <v>40</v>
      </c>
      <c r="K1328" s="223"/>
      <c r="L1328" s="118"/>
      <c r="M1328" s="166"/>
    </row>
    <row r="1329" spans="1:13" ht="15.75" thickBot="1" x14ac:dyDescent="0.3">
      <c r="A1329" s="126"/>
      <c r="B1329" s="129"/>
      <c r="C1329" s="124"/>
      <c r="D1329" s="149"/>
      <c r="E1329" s="150"/>
      <c r="F1329" s="150"/>
      <c r="G1329" s="128"/>
      <c r="H1329" s="128"/>
      <c r="I1329" s="140"/>
      <c r="J1329" s="112"/>
      <c r="K1329" s="166"/>
      <c r="L1329" s="118"/>
      <c r="M1329" s="166"/>
    </row>
    <row r="1330" spans="1:13" x14ac:dyDescent="0.25">
      <c r="A1330" s="126"/>
      <c r="B1330" s="129"/>
      <c r="C1330" s="124"/>
      <c r="D1330" s="149"/>
      <c r="E1330" s="150"/>
      <c r="F1330" s="150"/>
      <c r="G1330" s="128"/>
      <c r="H1330" s="128"/>
      <c r="I1330" s="140"/>
      <c r="J1330" s="194" t="s">
        <v>41</v>
      </c>
      <c r="K1330" s="223"/>
      <c r="L1330" s="118"/>
      <c r="M1330" s="166"/>
    </row>
    <row r="1331" spans="1:13" ht="15.75" thickBot="1" x14ac:dyDescent="0.3">
      <c r="A1331" s="126"/>
      <c r="B1331" s="129"/>
      <c r="C1331" s="124"/>
      <c r="D1331" s="149"/>
      <c r="E1331" s="150"/>
      <c r="F1331" s="150"/>
      <c r="G1331" s="128"/>
      <c r="H1331" s="128"/>
      <c r="I1331" s="140"/>
      <c r="J1331" s="112"/>
      <c r="K1331" s="166"/>
      <c r="L1331" s="118"/>
      <c r="M1331" s="166"/>
    </row>
    <row r="1332" spans="1:13" x14ac:dyDescent="0.25">
      <c r="A1332" s="126"/>
      <c r="B1332" s="129"/>
      <c r="C1332" s="124"/>
      <c r="D1332" s="149"/>
      <c r="E1332" s="150"/>
      <c r="F1332" s="150"/>
      <c r="G1332" s="128"/>
      <c r="H1332" s="128"/>
      <c r="I1332" s="140"/>
      <c r="J1332" s="194" t="s">
        <v>42</v>
      </c>
      <c r="K1332" s="223"/>
      <c r="L1332" s="111"/>
      <c r="M1332" s="166"/>
    </row>
    <row r="1333" spans="1:13" ht="15.75" thickBot="1" x14ac:dyDescent="0.3">
      <c r="A1333" s="126"/>
      <c r="B1333" s="129"/>
      <c r="C1333" s="124"/>
      <c r="D1333" s="149"/>
      <c r="E1333" s="150"/>
      <c r="F1333" s="150"/>
      <c r="G1333" s="128"/>
      <c r="H1333" s="128"/>
      <c r="I1333" s="140"/>
      <c r="J1333" s="112"/>
      <c r="K1333" s="166"/>
      <c r="L1333" s="111"/>
      <c r="M1333" s="166"/>
    </row>
    <row r="1334" spans="1:13" x14ac:dyDescent="0.25">
      <c r="A1334" s="126"/>
      <c r="B1334" s="129"/>
      <c r="C1334" s="124"/>
      <c r="D1334" s="149"/>
      <c r="E1334" s="150"/>
      <c r="F1334" s="150"/>
      <c r="G1334" s="128"/>
      <c r="H1334" s="128"/>
      <c r="I1334" s="140"/>
      <c r="J1334" s="193" t="s">
        <v>43</v>
      </c>
      <c r="K1334" s="223"/>
      <c r="L1334" s="111"/>
      <c r="M1334" s="166"/>
    </row>
    <row r="1335" spans="1:13" x14ac:dyDescent="0.25">
      <c r="A1335" s="126"/>
      <c r="B1335" s="129"/>
      <c r="C1335" s="124"/>
      <c r="D1335" s="149"/>
      <c r="E1335" s="150"/>
      <c r="F1335" s="150"/>
      <c r="G1335" s="128"/>
      <c r="H1335" s="128"/>
      <c r="I1335" s="140"/>
      <c r="J1335" s="112"/>
      <c r="K1335" s="166"/>
      <c r="L1335" s="111"/>
      <c r="M1335" s="166"/>
    </row>
    <row r="1336" spans="1:13" x14ac:dyDescent="0.25">
      <c r="A1336" s="126"/>
      <c r="B1336" s="129"/>
      <c r="C1336" s="124"/>
      <c r="D1336" s="149"/>
      <c r="E1336" s="150"/>
      <c r="F1336" s="150"/>
      <c r="G1336" s="128"/>
      <c r="H1336" s="128"/>
      <c r="I1336" s="140"/>
      <c r="J1336" s="194" t="s">
        <v>44</v>
      </c>
      <c r="K1336" s="224"/>
      <c r="L1336" s="111"/>
      <c r="M1336" s="166"/>
    </row>
    <row r="1337" spans="1:13" x14ac:dyDescent="0.25">
      <c r="A1337" s="126"/>
      <c r="B1337" s="129"/>
      <c r="C1337" s="124"/>
      <c r="D1337" s="149"/>
      <c r="E1337" s="150"/>
      <c r="F1337" s="150"/>
      <c r="G1337" s="128"/>
      <c r="H1337" s="128"/>
      <c r="I1337" s="140"/>
      <c r="J1337" s="112"/>
      <c r="K1337" s="166"/>
      <c r="L1337" s="111"/>
      <c r="M1337" s="166"/>
    </row>
    <row r="1338" spans="1:13" x14ac:dyDescent="0.25">
      <c r="A1338" s="130"/>
      <c r="B1338" s="129"/>
      <c r="C1338" s="124"/>
      <c r="D1338" s="149"/>
      <c r="E1338" s="150"/>
      <c r="F1338" s="150"/>
      <c r="G1338" s="128"/>
      <c r="H1338" s="128"/>
      <c r="I1338" s="140"/>
      <c r="J1338" s="194" t="s">
        <v>45</v>
      </c>
      <c r="K1338" s="224"/>
      <c r="L1338" s="111"/>
      <c r="M1338" s="166"/>
    </row>
    <row r="1339" spans="1:13" ht="5.0999999999999996" customHeight="1" x14ac:dyDescent="0.25">
      <c r="A1339" s="140"/>
      <c r="B1339" s="140"/>
      <c r="C1339" s="140"/>
      <c r="D1339" s="140"/>
      <c r="E1339" s="140"/>
      <c r="F1339" s="140"/>
      <c r="G1339" s="140"/>
      <c r="H1339" s="140"/>
      <c r="I1339" s="140"/>
      <c r="J1339" s="112"/>
      <c r="K1339" s="166"/>
      <c r="L1339" s="111"/>
      <c r="M1339" s="191"/>
    </row>
    <row r="1340" spans="1:13" ht="16.5" thickBot="1" x14ac:dyDescent="0.3">
      <c r="A1340" s="113"/>
      <c r="B1340" s="114"/>
      <c r="C1340" s="115"/>
      <c r="D1340" s="115"/>
      <c r="E1340" s="116"/>
      <c r="F1340" s="116"/>
      <c r="G1340" s="164"/>
      <c r="H1340" s="120"/>
      <c r="I1340" s="140"/>
      <c r="J1340" s="120"/>
      <c r="K1340" s="121"/>
      <c r="L1340" s="221"/>
      <c r="M1340" s="191"/>
    </row>
    <row r="1341" spans="1:13" ht="5.0999999999999996" customHeight="1" thickBot="1" x14ac:dyDescent="0.3">
      <c r="A1341" s="217"/>
      <c r="B1341" s="212"/>
      <c r="C1341" s="213"/>
      <c r="D1341" s="213"/>
      <c r="E1341" s="214"/>
      <c r="F1341" s="214"/>
      <c r="G1341" s="215"/>
      <c r="H1341" s="218"/>
      <c r="I1341" s="140"/>
      <c r="J1341" s="218"/>
      <c r="K1341" s="220"/>
      <c r="L1341" s="221"/>
      <c r="M1341" s="191"/>
    </row>
    <row r="1342" spans="1:13" ht="15.75" thickBot="1" x14ac:dyDescent="0.3">
      <c r="A1342" s="125"/>
      <c r="B1342" s="148"/>
      <c r="C1342" s="124"/>
      <c r="D1342" s="149"/>
      <c r="E1342" s="150"/>
      <c r="F1342" s="150"/>
      <c r="G1342" s="127"/>
      <c r="H1342" s="189"/>
      <c r="I1342" s="140"/>
      <c r="J1342" s="209"/>
      <c r="K1342" s="223"/>
      <c r="L1342" s="112"/>
      <c r="M1342" s="166"/>
    </row>
    <row r="1343" spans="1:13" ht="15.75" thickBot="1" x14ac:dyDescent="0.3">
      <c r="A1343" s="126"/>
      <c r="B1343" s="129"/>
      <c r="C1343" s="124"/>
      <c r="D1343" s="149"/>
      <c r="E1343" s="150"/>
      <c r="F1343" s="150"/>
      <c r="G1343" s="128"/>
      <c r="H1343" s="128"/>
      <c r="I1343" s="140"/>
      <c r="J1343" s="112"/>
      <c r="K1343" s="166"/>
      <c r="L1343" s="118"/>
      <c r="M1343" s="166"/>
    </row>
    <row r="1344" spans="1:13" x14ac:dyDescent="0.25">
      <c r="A1344" s="126"/>
      <c r="B1344" s="129"/>
      <c r="C1344" s="124"/>
      <c r="D1344" s="149"/>
      <c r="E1344" s="150"/>
      <c r="F1344" s="150"/>
      <c r="G1344" s="128"/>
      <c r="H1344" s="128"/>
      <c r="I1344" s="140"/>
      <c r="J1344" s="194" t="s">
        <v>39</v>
      </c>
      <c r="K1344" s="223"/>
      <c r="L1344" s="118"/>
      <c r="M1344" s="166"/>
    </row>
    <row r="1345" spans="1:13" ht="15.75" thickBot="1" x14ac:dyDescent="0.3">
      <c r="A1345" s="126"/>
      <c r="B1345" s="129"/>
      <c r="C1345" s="124"/>
      <c r="D1345" s="149"/>
      <c r="E1345" s="150"/>
      <c r="F1345" s="150"/>
      <c r="G1345" s="128"/>
      <c r="H1345" s="128"/>
      <c r="I1345" s="140"/>
      <c r="J1345" s="112"/>
      <c r="K1345" s="166"/>
      <c r="L1345" s="118"/>
      <c r="M1345" s="166"/>
    </row>
    <row r="1346" spans="1:13" x14ac:dyDescent="0.25">
      <c r="A1346" s="126"/>
      <c r="B1346" s="129"/>
      <c r="C1346" s="124"/>
      <c r="D1346" s="149"/>
      <c r="E1346" s="150"/>
      <c r="F1346" s="150"/>
      <c r="G1346" s="128"/>
      <c r="H1346" s="128"/>
      <c r="I1346" s="140"/>
      <c r="J1346" s="194" t="s">
        <v>40</v>
      </c>
      <c r="K1346" s="223"/>
      <c r="L1346" s="118"/>
      <c r="M1346" s="166"/>
    </row>
    <row r="1347" spans="1:13" ht="15.75" thickBot="1" x14ac:dyDescent="0.3">
      <c r="A1347" s="126"/>
      <c r="B1347" s="129"/>
      <c r="C1347" s="124"/>
      <c r="D1347" s="149"/>
      <c r="E1347" s="150"/>
      <c r="F1347" s="150"/>
      <c r="G1347" s="128"/>
      <c r="H1347" s="128"/>
      <c r="I1347" s="140"/>
      <c r="J1347" s="112"/>
      <c r="K1347" s="166"/>
      <c r="L1347" s="118"/>
      <c r="M1347" s="166"/>
    </row>
    <row r="1348" spans="1:13" x14ac:dyDescent="0.25">
      <c r="A1348" s="126"/>
      <c r="B1348" s="129"/>
      <c r="C1348" s="124"/>
      <c r="D1348" s="149"/>
      <c r="E1348" s="150"/>
      <c r="F1348" s="150"/>
      <c r="G1348" s="128"/>
      <c r="H1348" s="128"/>
      <c r="I1348" s="140"/>
      <c r="J1348" s="194" t="s">
        <v>41</v>
      </c>
      <c r="K1348" s="223"/>
      <c r="L1348" s="118"/>
      <c r="M1348" s="166"/>
    </row>
    <row r="1349" spans="1:13" ht="15.75" thickBot="1" x14ac:dyDescent="0.3">
      <c r="A1349" s="126"/>
      <c r="B1349" s="129"/>
      <c r="C1349" s="124"/>
      <c r="D1349" s="149"/>
      <c r="E1349" s="150"/>
      <c r="F1349" s="150"/>
      <c r="G1349" s="128"/>
      <c r="H1349" s="128"/>
      <c r="I1349" s="140"/>
      <c r="J1349" s="112"/>
      <c r="K1349" s="166"/>
      <c r="L1349" s="118"/>
      <c r="M1349" s="166"/>
    </row>
    <row r="1350" spans="1:13" x14ac:dyDescent="0.25">
      <c r="A1350" s="126"/>
      <c r="B1350" s="129"/>
      <c r="C1350" s="124"/>
      <c r="D1350" s="149"/>
      <c r="E1350" s="150"/>
      <c r="F1350" s="150"/>
      <c r="G1350" s="128"/>
      <c r="H1350" s="128"/>
      <c r="I1350" s="140"/>
      <c r="J1350" s="194" t="s">
        <v>42</v>
      </c>
      <c r="K1350" s="223"/>
      <c r="L1350" s="111"/>
      <c r="M1350" s="166"/>
    </row>
    <row r="1351" spans="1:13" ht="15.75" thickBot="1" x14ac:dyDescent="0.3">
      <c r="A1351" s="126"/>
      <c r="B1351" s="129"/>
      <c r="C1351" s="124"/>
      <c r="D1351" s="149"/>
      <c r="E1351" s="150"/>
      <c r="F1351" s="150"/>
      <c r="G1351" s="128"/>
      <c r="H1351" s="128"/>
      <c r="I1351" s="140"/>
      <c r="J1351" s="112"/>
      <c r="K1351" s="166"/>
      <c r="L1351" s="111"/>
      <c r="M1351" s="166"/>
    </row>
    <row r="1352" spans="1:13" x14ac:dyDescent="0.25">
      <c r="A1352" s="126"/>
      <c r="B1352" s="129"/>
      <c r="C1352" s="124"/>
      <c r="D1352" s="149"/>
      <c r="E1352" s="150"/>
      <c r="F1352" s="150"/>
      <c r="G1352" s="128"/>
      <c r="H1352" s="128"/>
      <c r="I1352" s="140"/>
      <c r="J1352" s="193" t="s">
        <v>43</v>
      </c>
      <c r="K1352" s="223"/>
      <c r="L1352" s="111"/>
      <c r="M1352" s="166"/>
    </row>
    <row r="1353" spans="1:13" x14ac:dyDescent="0.25">
      <c r="A1353" s="126"/>
      <c r="B1353" s="129"/>
      <c r="C1353" s="124"/>
      <c r="D1353" s="149"/>
      <c r="E1353" s="150"/>
      <c r="F1353" s="150"/>
      <c r="G1353" s="128"/>
      <c r="H1353" s="128"/>
      <c r="I1353" s="140"/>
      <c r="J1353" s="112"/>
      <c r="K1353" s="166"/>
      <c r="L1353" s="111"/>
      <c r="M1353" s="166"/>
    </row>
    <row r="1354" spans="1:13" x14ac:dyDescent="0.25">
      <c r="A1354" s="126"/>
      <c r="B1354" s="129"/>
      <c r="C1354" s="124"/>
      <c r="D1354" s="149"/>
      <c r="E1354" s="150"/>
      <c r="F1354" s="150"/>
      <c r="G1354" s="128"/>
      <c r="H1354" s="128"/>
      <c r="I1354" s="140"/>
      <c r="J1354" s="194" t="s">
        <v>44</v>
      </c>
      <c r="K1354" s="224"/>
      <c r="L1354" s="111"/>
      <c r="M1354" s="166"/>
    </row>
    <row r="1355" spans="1:13" x14ac:dyDescent="0.25">
      <c r="A1355" s="126"/>
      <c r="B1355" s="129"/>
      <c r="C1355" s="124"/>
      <c r="D1355" s="149"/>
      <c r="E1355" s="150"/>
      <c r="F1355" s="150"/>
      <c r="G1355" s="128"/>
      <c r="H1355" s="128"/>
      <c r="I1355" s="140"/>
      <c r="J1355" s="112"/>
      <c r="K1355" s="166"/>
      <c r="L1355" s="111"/>
      <c r="M1355" s="166"/>
    </row>
    <row r="1356" spans="1:13" x14ac:dyDescent="0.25">
      <c r="A1356" s="130"/>
      <c r="B1356" s="129"/>
      <c r="C1356" s="124"/>
      <c r="D1356" s="149"/>
      <c r="E1356" s="150"/>
      <c r="F1356" s="150"/>
      <c r="G1356" s="128"/>
      <c r="H1356" s="128"/>
      <c r="I1356" s="140"/>
      <c r="J1356" s="194" t="s">
        <v>45</v>
      </c>
      <c r="K1356" s="224"/>
      <c r="L1356" s="111"/>
      <c r="M1356" s="166"/>
    </row>
    <row r="1357" spans="1:13" ht="5.0999999999999996" customHeight="1" x14ac:dyDescent="0.25">
      <c r="A1357" s="140"/>
      <c r="B1357" s="140"/>
      <c r="C1357" s="140"/>
      <c r="D1357" s="140"/>
      <c r="E1357" s="140"/>
      <c r="F1357" s="140"/>
      <c r="G1357" s="140"/>
      <c r="H1357" s="140"/>
      <c r="I1357" s="140"/>
      <c r="J1357" s="112"/>
      <c r="K1357" s="166"/>
      <c r="L1357" s="111"/>
      <c r="M1357" s="166"/>
    </row>
    <row r="1358" spans="1:13" ht="16.5" thickBot="1" x14ac:dyDescent="0.3">
      <c r="A1358" s="113"/>
      <c r="B1358" s="114"/>
      <c r="C1358" s="115"/>
      <c r="D1358" s="115"/>
      <c r="E1358" s="116"/>
      <c r="F1358" s="116"/>
      <c r="G1358" s="164"/>
      <c r="H1358" s="120"/>
      <c r="I1358" s="140"/>
      <c r="J1358" s="120"/>
      <c r="K1358" s="121"/>
      <c r="L1358" s="221"/>
      <c r="M1358" s="191"/>
    </row>
    <row r="1359" spans="1:13" ht="5.0999999999999996" customHeight="1" thickBot="1" x14ac:dyDescent="0.3">
      <c r="A1359" s="217"/>
      <c r="B1359" s="212"/>
      <c r="C1359" s="213"/>
      <c r="D1359" s="213"/>
      <c r="E1359" s="214"/>
      <c r="F1359" s="214"/>
      <c r="G1359" s="215"/>
      <c r="H1359" s="218"/>
      <c r="I1359" s="140"/>
      <c r="J1359" s="218"/>
      <c r="K1359" s="220"/>
      <c r="L1359" s="221"/>
      <c r="M1359" s="191"/>
    </row>
    <row r="1360" spans="1:13" ht="15.75" thickBot="1" x14ac:dyDescent="0.3">
      <c r="A1360" s="125"/>
      <c r="B1360" s="148"/>
      <c r="C1360" s="124"/>
      <c r="D1360" s="149"/>
      <c r="E1360" s="150"/>
      <c r="F1360" s="150"/>
      <c r="G1360" s="127"/>
      <c r="H1360" s="189"/>
      <c r="I1360" s="140"/>
      <c r="J1360" s="209"/>
      <c r="K1360" s="223"/>
      <c r="L1360" s="112"/>
      <c r="M1360" s="166"/>
    </row>
    <row r="1361" spans="1:13" ht="15.75" thickBot="1" x14ac:dyDescent="0.3">
      <c r="A1361" s="126"/>
      <c r="B1361" s="129"/>
      <c r="C1361" s="124"/>
      <c r="D1361" s="149"/>
      <c r="E1361" s="150"/>
      <c r="F1361" s="150"/>
      <c r="G1361" s="128"/>
      <c r="H1361" s="128"/>
      <c r="I1361" s="140"/>
      <c r="J1361" s="112"/>
      <c r="K1361" s="166"/>
      <c r="L1361" s="118"/>
      <c r="M1361" s="166"/>
    </row>
    <row r="1362" spans="1:13" x14ac:dyDescent="0.25">
      <c r="A1362" s="126"/>
      <c r="B1362" s="129"/>
      <c r="C1362" s="124"/>
      <c r="D1362" s="149"/>
      <c r="E1362" s="150"/>
      <c r="F1362" s="150"/>
      <c r="G1362" s="128"/>
      <c r="H1362" s="128"/>
      <c r="I1362" s="140"/>
      <c r="J1362" s="194" t="s">
        <v>39</v>
      </c>
      <c r="K1362" s="223"/>
      <c r="L1362" s="118"/>
      <c r="M1362" s="166"/>
    </row>
    <row r="1363" spans="1:13" ht="15.75" thickBot="1" x14ac:dyDescent="0.3">
      <c r="A1363" s="126"/>
      <c r="B1363" s="129"/>
      <c r="C1363" s="124"/>
      <c r="D1363" s="149"/>
      <c r="E1363" s="150"/>
      <c r="F1363" s="150"/>
      <c r="G1363" s="128"/>
      <c r="H1363" s="128"/>
      <c r="I1363" s="140"/>
      <c r="J1363" s="112"/>
      <c r="K1363" s="166"/>
      <c r="L1363" s="118"/>
      <c r="M1363" s="166"/>
    </row>
    <row r="1364" spans="1:13" x14ac:dyDescent="0.25">
      <c r="A1364" s="126"/>
      <c r="B1364" s="129"/>
      <c r="C1364" s="124"/>
      <c r="D1364" s="149"/>
      <c r="E1364" s="150"/>
      <c r="F1364" s="150"/>
      <c r="G1364" s="128"/>
      <c r="H1364" s="128"/>
      <c r="I1364" s="140"/>
      <c r="J1364" s="194" t="s">
        <v>40</v>
      </c>
      <c r="K1364" s="223"/>
      <c r="L1364" s="118"/>
      <c r="M1364" s="166"/>
    </row>
    <row r="1365" spans="1:13" ht="15.75" thickBot="1" x14ac:dyDescent="0.3">
      <c r="A1365" s="126"/>
      <c r="B1365" s="129"/>
      <c r="C1365" s="124"/>
      <c r="D1365" s="149"/>
      <c r="E1365" s="150"/>
      <c r="F1365" s="150"/>
      <c r="G1365" s="128"/>
      <c r="H1365" s="128"/>
      <c r="I1365" s="140"/>
      <c r="J1365" s="112"/>
      <c r="K1365" s="166"/>
      <c r="L1365" s="118"/>
      <c r="M1365" s="166"/>
    </row>
    <row r="1366" spans="1:13" x14ac:dyDescent="0.25">
      <c r="A1366" s="126"/>
      <c r="B1366" s="129"/>
      <c r="C1366" s="124"/>
      <c r="D1366" s="149"/>
      <c r="E1366" s="150"/>
      <c r="F1366" s="150"/>
      <c r="G1366" s="128"/>
      <c r="H1366" s="128"/>
      <c r="I1366" s="140"/>
      <c r="J1366" s="194" t="s">
        <v>41</v>
      </c>
      <c r="K1366" s="223"/>
      <c r="L1366" s="118"/>
      <c r="M1366" s="166"/>
    </row>
    <row r="1367" spans="1:13" ht="15.75" thickBot="1" x14ac:dyDescent="0.3">
      <c r="A1367" s="126"/>
      <c r="B1367" s="129"/>
      <c r="C1367" s="124"/>
      <c r="D1367" s="149"/>
      <c r="E1367" s="150"/>
      <c r="F1367" s="150"/>
      <c r="G1367" s="128"/>
      <c r="H1367" s="128"/>
      <c r="I1367" s="140"/>
      <c r="J1367" s="112"/>
      <c r="K1367" s="166"/>
      <c r="L1367" s="118"/>
      <c r="M1367" s="166"/>
    </row>
    <row r="1368" spans="1:13" x14ac:dyDescent="0.25">
      <c r="A1368" s="126"/>
      <c r="B1368" s="129"/>
      <c r="C1368" s="124"/>
      <c r="D1368" s="149"/>
      <c r="E1368" s="150"/>
      <c r="F1368" s="150"/>
      <c r="G1368" s="128"/>
      <c r="H1368" s="128"/>
      <c r="I1368" s="140"/>
      <c r="J1368" s="194" t="s">
        <v>42</v>
      </c>
      <c r="K1368" s="223"/>
      <c r="L1368" s="111"/>
      <c r="M1368" s="166"/>
    </row>
    <row r="1369" spans="1:13" ht="15.75" thickBot="1" x14ac:dyDescent="0.3">
      <c r="A1369" s="126"/>
      <c r="B1369" s="129"/>
      <c r="C1369" s="124"/>
      <c r="D1369" s="149"/>
      <c r="E1369" s="150"/>
      <c r="F1369" s="150"/>
      <c r="G1369" s="128"/>
      <c r="H1369" s="128"/>
      <c r="I1369" s="140"/>
      <c r="J1369" s="112"/>
      <c r="K1369" s="166"/>
      <c r="L1369" s="111"/>
      <c r="M1369" s="166"/>
    </row>
    <row r="1370" spans="1:13" x14ac:dyDescent="0.25">
      <c r="A1370" s="126"/>
      <c r="B1370" s="129"/>
      <c r="C1370" s="124"/>
      <c r="D1370" s="149"/>
      <c r="E1370" s="150"/>
      <c r="F1370" s="150"/>
      <c r="G1370" s="128"/>
      <c r="H1370" s="128"/>
      <c r="I1370" s="140"/>
      <c r="J1370" s="193" t="s">
        <v>43</v>
      </c>
      <c r="K1370" s="223"/>
      <c r="L1370" s="111"/>
      <c r="M1370" s="166"/>
    </row>
    <row r="1371" spans="1:13" x14ac:dyDescent="0.25">
      <c r="A1371" s="126"/>
      <c r="B1371" s="129"/>
      <c r="C1371" s="124"/>
      <c r="D1371" s="149"/>
      <c r="E1371" s="150"/>
      <c r="F1371" s="150"/>
      <c r="G1371" s="128"/>
      <c r="H1371" s="128"/>
      <c r="I1371" s="140"/>
      <c r="J1371" s="112"/>
      <c r="K1371" s="166"/>
      <c r="L1371" s="111"/>
      <c r="M1371" s="166"/>
    </row>
    <row r="1372" spans="1:13" x14ac:dyDescent="0.25">
      <c r="A1372" s="126"/>
      <c r="B1372" s="129"/>
      <c r="C1372" s="124"/>
      <c r="D1372" s="149"/>
      <c r="E1372" s="150"/>
      <c r="F1372" s="150"/>
      <c r="G1372" s="128"/>
      <c r="H1372" s="128"/>
      <c r="I1372" s="140"/>
      <c r="J1372" s="194" t="s">
        <v>44</v>
      </c>
      <c r="K1372" s="224"/>
      <c r="L1372" s="111"/>
      <c r="M1372" s="166"/>
    </row>
    <row r="1373" spans="1:13" x14ac:dyDescent="0.25">
      <c r="A1373" s="126"/>
      <c r="B1373" s="129"/>
      <c r="C1373" s="124"/>
      <c r="D1373" s="149"/>
      <c r="E1373" s="150"/>
      <c r="F1373" s="150"/>
      <c r="G1373" s="128"/>
      <c r="H1373" s="128"/>
      <c r="I1373" s="140"/>
      <c r="J1373" s="112"/>
      <c r="K1373" s="166"/>
      <c r="L1373" s="111"/>
      <c r="M1373" s="166"/>
    </row>
    <row r="1374" spans="1:13" x14ac:dyDescent="0.25">
      <c r="A1374" s="130"/>
      <c r="B1374" s="129"/>
      <c r="C1374" s="124"/>
      <c r="D1374" s="149"/>
      <c r="E1374" s="150"/>
      <c r="F1374" s="150"/>
      <c r="G1374" s="128"/>
      <c r="H1374" s="128"/>
      <c r="I1374" s="140"/>
      <c r="J1374" s="194" t="s">
        <v>45</v>
      </c>
      <c r="K1374" s="224"/>
      <c r="L1374" s="111"/>
      <c r="M1374" s="166"/>
    </row>
    <row r="1375" spans="1:13" ht="5.0999999999999996" customHeight="1" x14ac:dyDescent="0.25">
      <c r="A1375" s="140"/>
      <c r="B1375" s="140"/>
      <c r="C1375" s="140"/>
      <c r="D1375" s="140"/>
      <c r="E1375" s="140"/>
      <c r="F1375" s="140"/>
      <c r="G1375" s="140"/>
      <c r="H1375" s="140"/>
      <c r="I1375" s="140"/>
      <c r="J1375" s="112"/>
      <c r="K1375" s="166"/>
      <c r="L1375" s="111"/>
      <c r="M1375" s="166"/>
    </row>
    <row r="1376" spans="1:13" ht="16.5" thickBot="1" x14ac:dyDescent="0.3">
      <c r="A1376" s="113"/>
      <c r="B1376" s="114"/>
      <c r="C1376" s="115"/>
      <c r="D1376" s="115"/>
      <c r="E1376" s="116"/>
      <c r="F1376" s="116"/>
      <c r="G1376" s="164"/>
      <c r="H1376" s="120"/>
      <c r="I1376" s="140"/>
      <c r="J1376" s="120"/>
      <c r="K1376" s="121"/>
      <c r="L1376" s="221"/>
      <c r="M1376" s="191"/>
    </row>
    <row r="1377" spans="1:13" ht="5.0999999999999996" customHeight="1" thickBot="1" x14ac:dyDescent="0.3">
      <c r="A1377" s="217"/>
      <c r="B1377" s="212"/>
      <c r="C1377" s="213"/>
      <c r="D1377" s="213"/>
      <c r="E1377" s="214"/>
      <c r="F1377" s="214"/>
      <c r="G1377" s="215"/>
      <c r="H1377" s="218"/>
      <c r="I1377" s="140"/>
      <c r="J1377" s="218"/>
      <c r="K1377" s="220"/>
      <c r="L1377" s="221"/>
      <c r="M1377" s="191"/>
    </row>
    <row r="1378" spans="1:13" ht="15.75" thickBot="1" x14ac:dyDescent="0.3">
      <c r="A1378" s="125"/>
      <c r="B1378" s="148"/>
      <c r="C1378" s="124"/>
      <c r="D1378" s="149"/>
      <c r="E1378" s="150"/>
      <c r="F1378" s="150"/>
      <c r="G1378" s="127"/>
      <c r="H1378" s="189"/>
      <c r="I1378" s="140"/>
      <c r="J1378" s="209"/>
      <c r="K1378" s="223"/>
      <c r="L1378" s="112"/>
      <c r="M1378" s="166"/>
    </row>
    <row r="1379" spans="1:13" ht="15.75" thickBot="1" x14ac:dyDescent="0.3">
      <c r="A1379" s="126"/>
      <c r="B1379" s="129"/>
      <c r="C1379" s="124"/>
      <c r="D1379" s="149"/>
      <c r="E1379" s="150"/>
      <c r="F1379" s="150"/>
      <c r="G1379" s="128"/>
      <c r="H1379" s="128"/>
      <c r="I1379" s="140"/>
      <c r="J1379" s="112"/>
      <c r="K1379" s="166"/>
      <c r="L1379" s="118"/>
      <c r="M1379" s="166"/>
    </row>
    <row r="1380" spans="1:13" x14ac:dyDescent="0.25">
      <c r="A1380" s="126"/>
      <c r="B1380" s="129"/>
      <c r="C1380" s="124"/>
      <c r="D1380" s="149"/>
      <c r="E1380" s="150"/>
      <c r="F1380" s="150"/>
      <c r="G1380" s="128"/>
      <c r="H1380" s="128"/>
      <c r="I1380" s="140"/>
      <c r="J1380" s="194" t="s">
        <v>39</v>
      </c>
      <c r="K1380" s="223"/>
      <c r="L1380" s="118"/>
      <c r="M1380" s="166"/>
    </row>
    <row r="1381" spans="1:13" ht="15.75" thickBot="1" x14ac:dyDescent="0.3">
      <c r="A1381" s="126"/>
      <c r="B1381" s="129"/>
      <c r="C1381" s="124"/>
      <c r="D1381" s="149"/>
      <c r="E1381" s="150"/>
      <c r="F1381" s="150"/>
      <c r="G1381" s="128"/>
      <c r="H1381" s="128"/>
      <c r="I1381" s="140"/>
      <c r="J1381" s="112"/>
      <c r="K1381" s="166"/>
      <c r="L1381" s="118"/>
      <c r="M1381" s="166"/>
    </row>
    <row r="1382" spans="1:13" x14ac:dyDescent="0.25">
      <c r="A1382" s="126"/>
      <c r="B1382" s="129"/>
      <c r="C1382" s="124"/>
      <c r="D1382" s="149"/>
      <c r="E1382" s="150"/>
      <c r="F1382" s="150"/>
      <c r="G1382" s="128"/>
      <c r="H1382" s="128"/>
      <c r="I1382" s="140"/>
      <c r="J1382" s="194" t="s">
        <v>40</v>
      </c>
      <c r="K1382" s="223"/>
      <c r="L1382" s="118"/>
      <c r="M1382" s="166"/>
    </row>
    <row r="1383" spans="1:13" ht="15.75" thickBot="1" x14ac:dyDescent="0.3">
      <c r="A1383" s="126"/>
      <c r="B1383" s="129"/>
      <c r="C1383" s="124"/>
      <c r="D1383" s="149"/>
      <c r="E1383" s="150"/>
      <c r="F1383" s="150"/>
      <c r="G1383" s="128"/>
      <c r="H1383" s="128"/>
      <c r="I1383" s="140"/>
      <c r="J1383" s="112"/>
      <c r="K1383" s="166"/>
      <c r="L1383" s="118"/>
      <c r="M1383" s="166"/>
    </row>
    <row r="1384" spans="1:13" x14ac:dyDescent="0.25">
      <c r="A1384" s="126"/>
      <c r="B1384" s="129"/>
      <c r="C1384" s="124"/>
      <c r="D1384" s="149"/>
      <c r="E1384" s="150"/>
      <c r="F1384" s="150"/>
      <c r="G1384" s="128"/>
      <c r="H1384" s="128"/>
      <c r="I1384" s="140"/>
      <c r="J1384" s="194" t="s">
        <v>41</v>
      </c>
      <c r="K1384" s="223"/>
      <c r="L1384" s="118"/>
      <c r="M1384" s="166"/>
    </row>
    <row r="1385" spans="1:13" ht="15.75" thickBot="1" x14ac:dyDescent="0.3">
      <c r="A1385" s="126"/>
      <c r="B1385" s="129"/>
      <c r="C1385" s="124"/>
      <c r="D1385" s="149"/>
      <c r="E1385" s="150"/>
      <c r="F1385" s="150"/>
      <c r="G1385" s="128"/>
      <c r="H1385" s="128"/>
      <c r="I1385" s="140"/>
      <c r="J1385" s="112"/>
      <c r="K1385" s="166"/>
      <c r="L1385" s="118"/>
      <c r="M1385" s="166"/>
    </row>
    <row r="1386" spans="1:13" x14ac:dyDescent="0.25">
      <c r="A1386" s="126"/>
      <c r="B1386" s="129"/>
      <c r="C1386" s="124"/>
      <c r="D1386" s="149"/>
      <c r="E1386" s="150"/>
      <c r="F1386" s="150"/>
      <c r="G1386" s="128"/>
      <c r="H1386" s="128"/>
      <c r="I1386" s="140"/>
      <c r="J1386" s="194" t="s">
        <v>42</v>
      </c>
      <c r="K1386" s="223"/>
      <c r="L1386" s="111"/>
      <c r="M1386" s="166"/>
    </row>
    <row r="1387" spans="1:13" ht="15.75" thickBot="1" x14ac:dyDescent="0.3">
      <c r="A1387" s="126"/>
      <c r="B1387" s="129"/>
      <c r="C1387" s="124"/>
      <c r="D1387" s="149"/>
      <c r="E1387" s="150"/>
      <c r="F1387" s="150"/>
      <c r="G1387" s="128"/>
      <c r="H1387" s="128"/>
      <c r="I1387" s="140"/>
      <c r="J1387" s="112"/>
      <c r="K1387" s="166"/>
      <c r="L1387" s="111"/>
      <c r="M1387" s="166"/>
    </row>
    <row r="1388" spans="1:13" x14ac:dyDescent="0.25">
      <c r="A1388" s="126"/>
      <c r="B1388" s="129"/>
      <c r="C1388" s="124"/>
      <c r="D1388" s="149"/>
      <c r="E1388" s="150"/>
      <c r="F1388" s="150"/>
      <c r="G1388" s="128"/>
      <c r="H1388" s="128"/>
      <c r="I1388" s="140"/>
      <c r="J1388" s="193" t="s">
        <v>43</v>
      </c>
      <c r="K1388" s="223"/>
      <c r="L1388" s="111"/>
      <c r="M1388" s="166"/>
    </row>
    <row r="1389" spans="1:13" x14ac:dyDescent="0.25">
      <c r="A1389" s="126"/>
      <c r="B1389" s="129"/>
      <c r="C1389" s="124"/>
      <c r="D1389" s="149"/>
      <c r="E1389" s="150"/>
      <c r="F1389" s="150"/>
      <c r="G1389" s="128"/>
      <c r="H1389" s="128"/>
      <c r="I1389" s="140"/>
      <c r="J1389" s="112"/>
      <c r="K1389" s="166"/>
      <c r="L1389" s="111"/>
      <c r="M1389" s="166"/>
    </row>
    <row r="1390" spans="1:13" x14ac:dyDescent="0.25">
      <c r="A1390" s="126"/>
      <c r="B1390" s="129"/>
      <c r="C1390" s="124"/>
      <c r="D1390" s="149"/>
      <c r="E1390" s="150"/>
      <c r="F1390" s="150"/>
      <c r="G1390" s="128"/>
      <c r="H1390" s="128"/>
      <c r="I1390" s="140"/>
      <c r="J1390" s="194" t="s">
        <v>44</v>
      </c>
      <c r="K1390" s="224"/>
      <c r="L1390" s="111"/>
      <c r="M1390" s="166"/>
    </row>
    <row r="1391" spans="1:13" x14ac:dyDescent="0.25">
      <c r="A1391" s="126"/>
      <c r="B1391" s="129"/>
      <c r="C1391" s="124"/>
      <c r="D1391" s="149"/>
      <c r="E1391" s="150"/>
      <c r="F1391" s="150"/>
      <c r="G1391" s="128"/>
      <c r="H1391" s="128"/>
      <c r="I1391" s="140"/>
      <c r="J1391" s="112"/>
      <c r="K1391" s="166"/>
      <c r="L1391" s="111"/>
      <c r="M1391" s="166"/>
    </row>
    <row r="1392" spans="1:13" x14ac:dyDescent="0.25">
      <c r="A1392" s="130"/>
      <c r="B1392" s="129"/>
      <c r="C1392" s="124"/>
      <c r="D1392" s="149"/>
      <c r="E1392" s="150"/>
      <c r="F1392" s="150"/>
      <c r="G1392" s="128"/>
      <c r="H1392" s="128"/>
      <c r="I1392" s="140"/>
      <c r="J1392" s="194" t="s">
        <v>45</v>
      </c>
      <c r="K1392" s="224"/>
      <c r="L1392" s="111"/>
      <c r="M1392" s="166"/>
    </row>
    <row r="1393" spans="1:13" ht="5.0999999999999996" customHeight="1" x14ac:dyDescent="0.25">
      <c r="A1393" s="140"/>
      <c r="B1393" s="140"/>
      <c r="C1393" s="140"/>
      <c r="D1393" s="140"/>
      <c r="E1393" s="140"/>
      <c r="F1393" s="140"/>
      <c r="G1393" s="140"/>
      <c r="H1393" s="140"/>
      <c r="I1393" s="140"/>
      <c r="J1393" s="112"/>
      <c r="K1393" s="166"/>
      <c r="L1393" s="111"/>
      <c r="M1393" s="166"/>
    </row>
    <row r="1394" spans="1:13" ht="16.5" thickBot="1" x14ac:dyDescent="0.3">
      <c r="A1394" s="113"/>
      <c r="B1394" s="114"/>
      <c r="C1394" s="115"/>
      <c r="D1394" s="115"/>
      <c r="E1394" s="116"/>
      <c r="F1394" s="116"/>
      <c r="G1394" s="164"/>
      <c r="H1394" s="120"/>
      <c r="I1394" s="140"/>
      <c r="J1394" s="120"/>
      <c r="K1394" s="121"/>
      <c r="L1394" s="221"/>
      <c r="M1394" s="191"/>
    </row>
    <row r="1395" spans="1:13" ht="5.0999999999999996" customHeight="1" thickBot="1" x14ac:dyDescent="0.3">
      <c r="A1395" s="217"/>
      <c r="B1395" s="212"/>
      <c r="C1395" s="213"/>
      <c r="D1395" s="213"/>
      <c r="E1395" s="214"/>
      <c r="F1395" s="214"/>
      <c r="G1395" s="215"/>
      <c r="H1395" s="218"/>
      <c r="I1395" s="140"/>
      <c r="J1395" s="218"/>
      <c r="K1395" s="220"/>
      <c r="L1395" s="221"/>
      <c r="M1395" s="191"/>
    </row>
    <row r="1396" spans="1:13" ht="15.75" thickBot="1" x14ac:dyDescent="0.3">
      <c r="A1396" s="125"/>
      <c r="B1396" s="148"/>
      <c r="C1396" s="124"/>
      <c r="D1396" s="149"/>
      <c r="E1396" s="150"/>
      <c r="F1396" s="150"/>
      <c r="G1396" s="127"/>
      <c r="H1396" s="189"/>
      <c r="I1396" s="140"/>
      <c r="J1396" s="209"/>
      <c r="K1396" s="223"/>
      <c r="L1396" s="112"/>
      <c r="M1396" s="166"/>
    </row>
    <row r="1397" spans="1:13" ht="15.75" thickBot="1" x14ac:dyDescent="0.3">
      <c r="A1397" s="126"/>
      <c r="B1397" s="129"/>
      <c r="C1397" s="124"/>
      <c r="D1397" s="149"/>
      <c r="E1397" s="150"/>
      <c r="F1397" s="150"/>
      <c r="G1397" s="128"/>
      <c r="H1397" s="128"/>
      <c r="I1397" s="140"/>
      <c r="J1397" s="112"/>
      <c r="K1397" s="166"/>
      <c r="L1397" s="118"/>
      <c r="M1397" s="166"/>
    </row>
    <row r="1398" spans="1:13" x14ac:dyDescent="0.25">
      <c r="A1398" s="126"/>
      <c r="B1398" s="129"/>
      <c r="C1398" s="124"/>
      <c r="D1398" s="149"/>
      <c r="E1398" s="150"/>
      <c r="F1398" s="150"/>
      <c r="G1398" s="128"/>
      <c r="H1398" s="128"/>
      <c r="I1398" s="140"/>
      <c r="J1398" s="194" t="s">
        <v>39</v>
      </c>
      <c r="K1398" s="223"/>
      <c r="L1398" s="118"/>
      <c r="M1398" s="166"/>
    </row>
    <row r="1399" spans="1:13" ht="15.75" thickBot="1" x14ac:dyDescent="0.3">
      <c r="A1399" s="126"/>
      <c r="B1399" s="129"/>
      <c r="C1399" s="124"/>
      <c r="D1399" s="149"/>
      <c r="E1399" s="150"/>
      <c r="F1399" s="150"/>
      <c r="G1399" s="128"/>
      <c r="H1399" s="128"/>
      <c r="I1399" s="140"/>
      <c r="J1399" s="112"/>
      <c r="K1399" s="166"/>
      <c r="L1399" s="118"/>
      <c r="M1399" s="166"/>
    </row>
    <row r="1400" spans="1:13" x14ac:dyDescent="0.25">
      <c r="A1400" s="126"/>
      <c r="B1400" s="129"/>
      <c r="C1400" s="124"/>
      <c r="D1400" s="149"/>
      <c r="E1400" s="150"/>
      <c r="F1400" s="150"/>
      <c r="G1400" s="128"/>
      <c r="H1400" s="128"/>
      <c r="I1400" s="140"/>
      <c r="J1400" s="194" t="s">
        <v>40</v>
      </c>
      <c r="K1400" s="223"/>
      <c r="L1400" s="118"/>
      <c r="M1400" s="166"/>
    </row>
    <row r="1401" spans="1:13" ht="15.75" thickBot="1" x14ac:dyDescent="0.3">
      <c r="A1401" s="126"/>
      <c r="B1401" s="129"/>
      <c r="C1401" s="124"/>
      <c r="D1401" s="149"/>
      <c r="E1401" s="150"/>
      <c r="F1401" s="150"/>
      <c r="G1401" s="128"/>
      <c r="H1401" s="128"/>
      <c r="I1401" s="140"/>
      <c r="J1401" s="112"/>
      <c r="K1401" s="166"/>
      <c r="L1401" s="118"/>
      <c r="M1401" s="166"/>
    </row>
    <row r="1402" spans="1:13" x14ac:dyDescent="0.25">
      <c r="A1402" s="126"/>
      <c r="B1402" s="129"/>
      <c r="C1402" s="124"/>
      <c r="D1402" s="149"/>
      <c r="E1402" s="150"/>
      <c r="F1402" s="150"/>
      <c r="G1402" s="128"/>
      <c r="H1402" s="128"/>
      <c r="I1402" s="140"/>
      <c r="J1402" s="194" t="s">
        <v>41</v>
      </c>
      <c r="K1402" s="223"/>
      <c r="L1402" s="118"/>
      <c r="M1402" s="166"/>
    </row>
    <row r="1403" spans="1:13" ht="15.75" thickBot="1" x14ac:dyDescent="0.3">
      <c r="A1403" s="126"/>
      <c r="B1403" s="129"/>
      <c r="C1403" s="124"/>
      <c r="D1403" s="149"/>
      <c r="E1403" s="150"/>
      <c r="F1403" s="150"/>
      <c r="G1403" s="128"/>
      <c r="H1403" s="128"/>
      <c r="I1403" s="140"/>
      <c r="J1403" s="112"/>
      <c r="K1403" s="166"/>
      <c r="L1403" s="118"/>
      <c r="M1403" s="166"/>
    </row>
    <row r="1404" spans="1:13" x14ac:dyDescent="0.25">
      <c r="A1404" s="126"/>
      <c r="B1404" s="129"/>
      <c r="C1404" s="124"/>
      <c r="D1404" s="149"/>
      <c r="E1404" s="150"/>
      <c r="F1404" s="150"/>
      <c r="G1404" s="128"/>
      <c r="H1404" s="128"/>
      <c r="I1404" s="140"/>
      <c r="J1404" s="194" t="s">
        <v>42</v>
      </c>
      <c r="K1404" s="223"/>
      <c r="L1404" s="111"/>
      <c r="M1404" s="166"/>
    </row>
    <row r="1405" spans="1:13" ht="15.75" thickBot="1" x14ac:dyDescent="0.3">
      <c r="A1405" s="126"/>
      <c r="B1405" s="129"/>
      <c r="C1405" s="124"/>
      <c r="D1405" s="149"/>
      <c r="E1405" s="150"/>
      <c r="F1405" s="150"/>
      <c r="G1405" s="128"/>
      <c r="H1405" s="128"/>
      <c r="I1405" s="140"/>
      <c r="J1405" s="112"/>
      <c r="K1405" s="166"/>
      <c r="L1405" s="111"/>
      <c r="M1405" s="166"/>
    </row>
    <row r="1406" spans="1:13" x14ac:dyDescent="0.25">
      <c r="A1406" s="126"/>
      <c r="B1406" s="129"/>
      <c r="C1406" s="124"/>
      <c r="D1406" s="149"/>
      <c r="E1406" s="150"/>
      <c r="F1406" s="150"/>
      <c r="G1406" s="128"/>
      <c r="H1406" s="128"/>
      <c r="I1406" s="140"/>
      <c r="J1406" s="193" t="s">
        <v>43</v>
      </c>
      <c r="K1406" s="223"/>
      <c r="L1406" s="111"/>
      <c r="M1406" s="166"/>
    </row>
    <row r="1407" spans="1:13" x14ac:dyDescent="0.25">
      <c r="A1407" s="126"/>
      <c r="B1407" s="129"/>
      <c r="C1407" s="124"/>
      <c r="D1407" s="149"/>
      <c r="E1407" s="150"/>
      <c r="F1407" s="150"/>
      <c r="G1407" s="128"/>
      <c r="H1407" s="128"/>
      <c r="I1407" s="140"/>
      <c r="J1407" s="112"/>
      <c r="K1407" s="166"/>
      <c r="L1407" s="111"/>
      <c r="M1407" s="166"/>
    </row>
    <row r="1408" spans="1:13" x14ac:dyDescent="0.25">
      <c r="A1408" s="126"/>
      <c r="B1408" s="129"/>
      <c r="C1408" s="124"/>
      <c r="D1408" s="149"/>
      <c r="E1408" s="150"/>
      <c r="F1408" s="150"/>
      <c r="G1408" s="128"/>
      <c r="H1408" s="128"/>
      <c r="I1408" s="140"/>
      <c r="J1408" s="194" t="s">
        <v>44</v>
      </c>
      <c r="K1408" s="224"/>
      <c r="L1408" s="111"/>
      <c r="M1408" s="166"/>
    </row>
    <row r="1409" spans="1:13" x14ac:dyDescent="0.25">
      <c r="A1409" s="126"/>
      <c r="B1409" s="129"/>
      <c r="C1409" s="124"/>
      <c r="D1409" s="149"/>
      <c r="E1409" s="150"/>
      <c r="F1409" s="150"/>
      <c r="G1409" s="128"/>
      <c r="H1409" s="128"/>
      <c r="I1409" s="140"/>
      <c r="J1409" s="112"/>
      <c r="K1409" s="166"/>
      <c r="L1409" s="111"/>
      <c r="M1409" s="166"/>
    </row>
    <row r="1410" spans="1:13" x14ac:dyDescent="0.25">
      <c r="A1410" s="130"/>
      <c r="B1410" s="129"/>
      <c r="C1410" s="124"/>
      <c r="D1410" s="149"/>
      <c r="E1410" s="150"/>
      <c r="F1410" s="150"/>
      <c r="G1410" s="128"/>
      <c r="H1410" s="128"/>
      <c r="I1410" s="140"/>
      <c r="J1410" s="194" t="s">
        <v>45</v>
      </c>
      <c r="K1410" s="224"/>
      <c r="L1410" s="111"/>
      <c r="M1410" s="166"/>
    </row>
    <row r="1411" spans="1:13" ht="5.0999999999999996" customHeight="1" x14ac:dyDescent="0.25">
      <c r="A1411" s="140"/>
      <c r="B1411" s="140"/>
      <c r="C1411" s="140"/>
      <c r="D1411" s="140"/>
      <c r="E1411" s="140"/>
      <c r="F1411" s="140"/>
      <c r="G1411" s="140"/>
      <c r="H1411" s="140"/>
      <c r="I1411" s="140"/>
      <c r="J1411" s="112"/>
      <c r="K1411" s="166"/>
      <c r="L1411" s="111"/>
      <c r="M1411" s="166"/>
    </row>
    <row r="1412" spans="1:13" ht="16.5" thickBot="1" x14ac:dyDescent="0.3">
      <c r="A1412" s="113"/>
      <c r="B1412" s="114"/>
      <c r="C1412" s="115"/>
      <c r="D1412" s="115"/>
      <c r="E1412" s="116"/>
      <c r="F1412" s="116"/>
      <c r="G1412" s="164"/>
      <c r="H1412" s="120"/>
      <c r="I1412" s="140"/>
      <c r="J1412" s="120"/>
      <c r="K1412" s="121"/>
      <c r="L1412" s="221"/>
      <c r="M1412" s="191"/>
    </row>
    <row r="1413" spans="1:13" ht="5.0999999999999996" customHeight="1" thickBot="1" x14ac:dyDescent="0.3">
      <c r="A1413" s="217"/>
      <c r="B1413" s="212"/>
      <c r="C1413" s="213"/>
      <c r="D1413" s="213"/>
      <c r="E1413" s="214"/>
      <c r="F1413" s="214"/>
      <c r="G1413" s="215"/>
      <c r="H1413" s="218"/>
      <c r="I1413" s="140"/>
      <c r="J1413" s="218"/>
      <c r="K1413" s="220"/>
      <c r="L1413" s="221"/>
      <c r="M1413" s="191"/>
    </row>
    <row r="1414" spans="1:13" ht="15.75" thickBot="1" x14ac:dyDescent="0.3">
      <c r="A1414" s="125"/>
      <c r="B1414" s="148"/>
      <c r="C1414" s="124"/>
      <c r="D1414" s="149"/>
      <c r="E1414" s="150"/>
      <c r="F1414" s="150"/>
      <c r="G1414" s="127"/>
      <c r="H1414" s="189"/>
      <c r="I1414" s="140"/>
      <c r="J1414" s="209"/>
      <c r="K1414" s="223"/>
      <c r="L1414" s="112"/>
      <c r="M1414" s="166"/>
    </row>
    <row r="1415" spans="1:13" ht="15.75" thickBot="1" x14ac:dyDescent="0.3">
      <c r="A1415" s="126"/>
      <c r="B1415" s="129"/>
      <c r="C1415" s="124"/>
      <c r="D1415" s="149"/>
      <c r="E1415" s="150"/>
      <c r="F1415" s="150"/>
      <c r="G1415" s="128"/>
      <c r="H1415" s="128"/>
      <c r="I1415" s="140"/>
      <c r="J1415" s="112"/>
      <c r="K1415" s="166"/>
      <c r="L1415" s="118"/>
      <c r="M1415" s="166"/>
    </row>
    <row r="1416" spans="1:13" x14ac:dyDescent="0.25">
      <c r="A1416" s="126"/>
      <c r="B1416" s="129"/>
      <c r="C1416" s="124"/>
      <c r="D1416" s="149"/>
      <c r="E1416" s="150"/>
      <c r="F1416" s="150"/>
      <c r="G1416" s="128"/>
      <c r="H1416" s="128"/>
      <c r="I1416" s="140"/>
      <c r="J1416" s="194" t="s">
        <v>39</v>
      </c>
      <c r="K1416" s="223"/>
      <c r="L1416" s="118"/>
      <c r="M1416" s="166"/>
    </row>
    <row r="1417" spans="1:13" ht="15.75" thickBot="1" x14ac:dyDescent="0.3">
      <c r="A1417" s="126"/>
      <c r="B1417" s="129"/>
      <c r="C1417" s="124"/>
      <c r="D1417" s="149"/>
      <c r="E1417" s="150"/>
      <c r="F1417" s="150"/>
      <c r="G1417" s="128"/>
      <c r="H1417" s="128"/>
      <c r="I1417" s="140"/>
      <c r="J1417" s="112"/>
      <c r="K1417" s="166"/>
      <c r="L1417" s="118"/>
      <c r="M1417" s="166"/>
    </row>
    <row r="1418" spans="1:13" x14ac:dyDescent="0.25">
      <c r="A1418" s="126"/>
      <c r="B1418" s="129"/>
      <c r="C1418" s="124"/>
      <c r="D1418" s="149"/>
      <c r="E1418" s="150"/>
      <c r="F1418" s="150"/>
      <c r="G1418" s="128"/>
      <c r="H1418" s="128"/>
      <c r="I1418" s="140"/>
      <c r="J1418" s="194" t="s">
        <v>40</v>
      </c>
      <c r="K1418" s="223"/>
      <c r="L1418" s="118"/>
      <c r="M1418" s="166"/>
    </row>
    <row r="1419" spans="1:13" ht="15.75" thickBot="1" x14ac:dyDescent="0.3">
      <c r="A1419" s="126"/>
      <c r="B1419" s="129"/>
      <c r="C1419" s="124"/>
      <c r="D1419" s="149"/>
      <c r="E1419" s="150"/>
      <c r="F1419" s="150"/>
      <c r="G1419" s="128"/>
      <c r="H1419" s="128"/>
      <c r="I1419" s="140"/>
      <c r="J1419" s="112"/>
      <c r="K1419" s="166"/>
      <c r="L1419" s="118"/>
      <c r="M1419" s="166"/>
    </row>
    <row r="1420" spans="1:13" x14ac:dyDescent="0.25">
      <c r="A1420" s="126"/>
      <c r="B1420" s="129"/>
      <c r="C1420" s="124"/>
      <c r="D1420" s="149"/>
      <c r="E1420" s="150"/>
      <c r="F1420" s="150"/>
      <c r="G1420" s="128"/>
      <c r="H1420" s="128"/>
      <c r="I1420" s="140"/>
      <c r="J1420" s="194" t="s">
        <v>41</v>
      </c>
      <c r="K1420" s="223"/>
      <c r="L1420" s="118"/>
      <c r="M1420" s="166"/>
    </row>
    <row r="1421" spans="1:13" ht="15.75" thickBot="1" x14ac:dyDescent="0.3">
      <c r="A1421" s="126"/>
      <c r="B1421" s="129"/>
      <c r="C1421" s="124"/>
      <c r="D1421" s="149"/>
      <c r="E1421" s="150"/>
      <c r="F1421" s="150"/>
      <c r="G1421" s="128"/>
      <c r="H1421" s="128"/>
      <c r="I1421" s="140"/>
      <c r="J1421" s="112"/>
      <c r="K1421" s="166"/>
      <c r="L1421" s="118"/>
      <c r="M1421" s="166"/>
    </row>
    <row r="1422" spans="1:13" x14ac:dyDescent="0.25">
      <c r="A1422" s="126"/>
      <c r="B1422" s="129"/>
      <c r="C1422" s="124"/>
      <c r="D1422" s="149"/>
      <c r="E1422" s="150"/>
      <c r="F1422" s="150"/>
      <c r="G1422" s="128"/>
      <c r="H1422" s="128"/>
      <c r="I1422" s="140"/>
      <c r="J1422" s="194" t="s">
        <v>42</v>
      </c>
      <c r="K1422" s="223"/>
      <c r="L1422" s="111"/>
      <c r="M1422" s="166"/>
    </row>
    <row r="1423" spans="1:13" ht="15.75" thickBot="1" x14ac:dyDescent="0.3">
      <c r="A1423" s="126"/>
      <c r="B1423" s="129"/>
      <c r="C1423" s="124"/>
      <c r="D1423" s="149"/>
      <c r="E1423" s="150"/>
      <c r="F1423" s="150"/>
      <c r="G1423" s="128"/>
      <c r="H1423" s="128"/>
      <c r="I1423" s="140"/>
      <c r="J1423" s="112"/>
      <c r="K1423" s="166"/>
      <c r="L1423" s="111"/>
      <c r="M1423" s="166"/>
    </row>
    <row r="1424" spans="1:13" x14ac:dyDescent="0.25">
      <c r="A1424" s="126"/>
      <c r="B1424" s="129"/>
      <c r="C1424" s="124"/>
      <c r="D1424" s="149"/>
      <c r="E1424" s="150"/>
      <c r="F1424" s="150"/>
      <c r="G1424" s="128"/>
      <c r="H1424" s="128"/>
      <c r="I1424" s="140"/>
      <c r="J1424" s="193" t="s">
        <v>43</v>
      </c>
      <c r="K1424" s="223"/>
      <c r="L1424" s="111"/>
      <c r="M1424" s="166"/>
    </row>
    <row r="1425" spans="1:13" x14ac:dyDescent="0.25">
      <c r="A1425" s="126"/>
      <c r="B1425" s="129"/>
      <c r="C1425" s="124"/>
      <c r="D1425" s="149"/>
      <c r="E1425" s="150"/>
      <c r="F1425" s="150"/>
      <c r="G1425" s="128"/>
      <c r="H1425" s="128"/>
      <c r="I1425" s="140"/>
      <c r="J1425" s="112"/>
      <c r="K1425" s="166"/>
      <c r="L1425" s="111"/>
      <c r="M1425" s="166"/>
    </row>
    <row r="1426" spans="1:13" x14ac:dyDescent="0.25">
      <c r="A1426" s="126"/>
      <c r="B1426" s="129"/>
      <c r="C1426" s="124"/>
      <c r="D1426" s="149"/>
      <c r="E1426" s="150"/>
      <c r="F1426" s="150"/>
      <c r="G1426" s="128"/>
      <c r="H1426" s="128"/>
      <c r="I1426" s="140"/>
      <c r="J1426" s="194" t="s">
        <v>44</v>
      </c>
      <c r="K1426" s="224"/>
      <c r="L1426" s="111"/>
      <c r="M1426" s="166"/>
    </row>
    <row r="1427" spans="1:13" x14ac:dyDescent="0.25">
      <c r="A1427" s="126"/>
      <c r="B1427" s="129"/>
      <c r="C1427" s="124"/>
      <c r="D1427" s="149"/>
      <c r="E1427" s="150"/>
      <c r="F1427" s="150"/>
      <c r="G1427" s="128"/>
      <c r="H1427" s="128"/>
      <c r="I1427" s="140"/>
      <c r="J1427" s="112"/>
      <c r="K1427" s="166"/>
      <c r="L1427" s="111"/>
      <c r="M1427" s="166"/>
    </row>
    <row r="1428" spans="1:13" x14ac:dyDescent="0.25">
      <c r="A1428" s="130"/>
      <c r="B1428" s="129"/>
      <c r="C1428" s="124"/>
      <c r="D1428" s="149"/>
      <c r="E1428" s="150"/>
      <c r="F1428" s="150"/>
      <c r="G1428" s="128"/>
      <c r="H1428" s="128"/>
      <c r="I1428" s="140"/>
      <c r="J1428" s="194" t="s">
        <v>45</v>
      </c>
      <c r="K1428" s="224"/>
      <c r="L1428" s="111"/>
      <c r="M1428" s="166"/>
    </row>
    <row r="1429" spans="1:13" ht="5.0999999999999996" customHeight="1" x14ac:dyDescent="0.25">
      <c r="A1429" s="140"/>
      <c r="B1429" s="140"/>
      <c r="C1429" s="140"/>
      <c r="D1429" s="140"/>
      <c r="E1429" s="140"/>
      <c r="F1429" s="140"/>
      <c r="G1429" s="140"/>
      <c r="H1429" s="140"/>
      <c r="I1429" s="140"/>
      <c r="J1429" s="112"/>
      <c r="K1429" s="166"/>
      <c r="L1429" s="111"/>
      <c r="M1429" s="166"/>
    </row>
    <row r="1430" spans="1:13" ht="16.5" thickBot="1" x14ac:dyDescent="0.3">
      <c r="A1430" s="113"/>
      <c r="B1430" s="114"/>
      <c r="C1430" s="115"/>
      <c r="D1430" s="115"/>
      <c r="E1430" s="116"/>
      <c r="F1430" s="116"/>
      <c r="G1430" s="164"/>
      <c r="H1430" s="120"/>
      <c r="I1430" s="140"/>
      <c r="J1430" s="120"/>
      <c r="K1430" s="121"/>
      <c r="L1430" s="221"/>
      <c r="M1430" s="191"/>
    </row>
    <row r="1431" spans="1:13" ht="5.0999999999999996" customHeight="1" thickBot="1" x14ac:dyDescent="0.3">
      <c r="A1431" s="217"/>
      <c r="B1431" s="212"/>
      <c r="C1431" s="213"/>
      <c r="D1431" s="213"/>
      <c r="E1431" s="214"/>
      <c r="F1431" s="214"/>
      <c r="G1431" s="215"/>
      <c r="H1431" s="218"/>
      <c r="I1431" s="140"/>
      <c r="J1431" s="218"/>
      <c r="K1431" s="220"/>
      <c r="L1431" s="221"/>
      <c r="M1431" s="191"/>
    </row>
    <row r="1432" spans="1:13" ht="15.75" thickBot="1" x14ac:dyDescent="0.3">
      <c r="A1432" s="125"/>
      <c r="B1432" s="148"/>
      <c r="C1432" s="124"/>
      <c r="D1432" s="149"/>
      <c r="E1432" s="150"/>
      <c r="F1432" s="150"/>
      <c r="G1432" s="127"/>
      <c r="H1432" s="189"/>
      <c r="I1432" s="140"/>
      <c r="J1432" s="209"/>
      <c r="K1432" s="223"/>
      <c r="L1432" s="112"/>
      <c r="M1432" s="166"/>
    </row>
    <row r="1433" spans="1:13" ht="15.75" thickBot="1" x14ac:dyDescent="0.3">
      <c r="A1433" s="126"/>
      <c r="B1433" s="129"/>
      <c r="C1433" s="124"/>
      <c r="D1433" s="149"/>
      <c r="E1433" s="150"/>
      <c r="F1433" s="150"/>
      <c r="G1433" s="128"/>
      <c r="H1433" s="128"/>
      <c r="I1433" s="140"/>
      <c r="J1433" s="112"/>
      <c r="K1433" s="166"/>
      <c r="L1433" s="118"/>
      <c r="M1433" s="166"/>
    </row>
    <row r="1434" spans="1:13" x14ac:dyDescent="0.25">
      <c r="A1434" s="126"/>
      <c r="B1434" s="129"/>
      <c r="C1434" s="124"/>
      <c r="D1434" s="149"/>
      <c r="E1434" s="150"/>
      <c r="F1434" s="150"/>
      <c r="G1434" s="128"/>
      <c r="H1434" s="128"/>
      <c r="I1434" s="140"/>
      <c r="J1434" s="194" t="s">
        <v>39</v>
      </c>
      <c r="K1434" s="223"/>
      <c r="L1434" s="118"/>
      <c r="M1434" s="166"/>
    </row>
    <row r="1435" spans="1:13" ht="15.75" thickBot="1" x14ac:dyDescent="0.3">
      <c r="A1435" s="126"/>
      <c r="B1435" s="129"/>
      <c r="C1435" s="124"/>
      <c r="D1435" s="149"/>
      <c r="E1435" s="150"/>
      <c r="F1435" s="150"/>
      <c r="G1435" s="128"/>
      <c r="H1435" s="128"/>
      <c r="I1435" s="140"/>
      <c r="J1435" s="112"/>
      <c r="K1435" s="166"/>
      <c r="L1435" s="118"/>
      <c r="M1435" s="166"/>
    </row>
    <row r="1436" spans="1:13" x14ac:dyDescent="0.25">
      <c r="A1436" s="126"/>
      <c r="B1436" s="129"/>
      <c r="C1436" s="124"/>
      <c r="D1436" s="149"/>
      <c r="E1436" s="150"/>
      <c r="F1436" s="150"/>
      <c r="G1436" s="128"/>
      <c r="H1436" s="128"/>
      <c r="I1436" s="140"/>
      <c r="J1436" s="194" t="s">
        <v>40</v>
      </c>
      <c r="K1436" s="223"/>
      <c r="L1436" s="118"/>
      <c r="M1436" s="166"/>
    </row>
    <row r="1437" spans="1:13" ht="15.75" thickBot="1" x14ac:dyDescent="0.3">
      <c r="A1437" s="126"/>
      <c r="B1437" s="129"/>
      <c r="C1437" s="124"/>
      <c r="D1437" s="149"/>
      <c r="E1437" s="150"/>
      <c r="F1437" s="150"/>
      <c r="G1437" s="128"/>
      <c r="H1437" s="128"/>
      <c r="I1437" s="140"/>
      <c r="J1437" s="112"/>
      <c r="K1437" s="166"/>
      <c r="L1437" s="118"/>
      <c r="M1437" s="166"/>
    </row>
    <row r="1438" spans="1:13" x14ac:dyDescent="0.25">
      <c r="A1438" s="126"/>
      <c r="B1438" s="129"/>
      <c r="C1438" s="124"/>
      <c r="D1438" s="149"/>
      <c r="E1438" s="150"/>
      <c r="F1438" s="150"/>
      <c r="G1438" s="128"/>
      <c r="H1438" s="128"/>
      <c r="I1438" s="140"/>
      <c r="J1438" s="194" t="s">
        <v>41</v>
      </c>
      <c r="K1438" s="223"/>
      <c r="L1438" s="118"/>
      <c r="M1438" s="166"/>
    </row>
    <row r="1439" spans="1:13" ht="15.75" thickBot="1" x14ac:dyDescent="0.3">
      <c r="A1439" s="126"/>
      <c r="B1439" s="129"/>
      <c r="C1439" s="124"/>
      <c r="D1439" s="149"/>
      <c r="E1439" s="150"/>
      <c r="F1439" s="150"/>
      <c r="G1439" s="128"/>
      <c r="H1439" s="128"/>
      <c r="I1439" s="140"/>
      <c r="J1439" s="112"/>
      <c r="K1439" s="166"/>
      <c r="L1439" s="118"/>
      <c r="M1439" s="166"/>
    </row>
    <row r="1440" spans="1:13" x14ac:dyDescent="0.25">
      <c r="A1440" s="126"/>
      <c r="B1440" s="129"/>
      <c r="C1440" s="124"/>
      <c r="D1440" s="149"/>
      <c r="E1440" s="150"/>
      <c r="F1440" s="150"/>
      <c r="G1440" s="128"/>
      <c r="H1440" s="128"/>
      <c r="I1440" s="140"/>
      <c r="J1440" s="194" t="s">
        <v>42</v>
      </c>
      <c r="K1440" s="223"/>
      <c r="L1440" s="111"/>
      <c r="M1440" s="166"/>
    </row>
    <row r="1441" spans="1:13" ht="15.75" thickBot="1" x14ac:dyDescent="0.3">
      <c r="A1441" s="126"/>
      <c r="B1441" s="129"/>
      <c r="C1441" s="124"/>
      <c r="D1441" s="149"/>
      <c r="E1441" s="150"/>
      <c r="F1441" s="150"/>
      <c r="G1441" s="128"/>
      <c r="H1441" s="128"/>
      <c r="I1441" s="140"/>
      <c r="J1441" s="112"/>
      <c r="K1441" s="166"/>
      <c r="L1441" s="111"/>
      <c r="M1441" s="166"/>
    </row>
    <row r="1442" spans="1:13" x14ac:dyDescent="0.25">
      <c r="A1442" s="126"/>
      <c r="B1442" s="129"/>
      <c r="C1442" s="124"/>
      <c r="D1442" s="149"/>
      <c r="E1442" s="150"/>
      <c r="F1442" s="150"/>
      <c r="G1442" s="128"/>
      <c r="H1442" s="128"/>
      <c r="I1442" s="140"/>
      <c r="J1442" s="193" t="s">
        <v>43</v>
      </c>
      <c r="K1442" s="223"/>
      <c r="L1442" s="111"/>
      <c r="M1442" s="166"/>
    </row>
    <row r="1443" spans="1:13" x14ac:dyDescent="0.25">
      <c r="A1443" s="126"/>
      <c r="B1443" s="129"/>
      <c r="C1443" s="124"/>
      <c r="D1443" s="149"/>
      <c r="E1443" s="150"/>
      <c r="F1443" s="150"/>
      <c r="G1443" s="128"/>
      <c r="H1443" s="128"/>
      <c r="I1443" s="140"/>
      <c r="J1443" s="112"/>
      <c r="K1443" s="166"/>
      <c r="L1443" s="111"/>
      <c r="M1443" s="166"/>
    </row>
    <row r="1444" spans="1:13" x14ac:dyDescent="0.25">
      <c r="A1444" s="126"/>
      <c r="B1444" s="129"/>
      <c r="C1444" s="124"/>
      <c r="D1444" s="149"/>
      <c r="E1444" s="150"/>
      <c r="F1444" s="150"/>
      <c r="G1444" s="128"/>
      <c r="H1444" s="128"/>
      <c r="I1444" s="140"/>
      <c r="J1444" s="194" t="s">
        <v>44</v>
      </c>
      <c r="K1444" s="224"/>
      <c r="L1444" s="111"/>
      <c r="M1444" s="166"/>
    </row>
    <row r="1445" spans="1:13" x14ac:dyDescent="0.25">
      <c r="A1445" s="126"/>
      <c r="B1445" s="129"/>
      <c r="C1445" s="124"/>
      <c r="D1445" s="149"/>
      <c r="E1445" s="150"/>
      <c r="F1445" s="150"/>
      <c r="G1445" s="128"/>
      <c r="H1445" s="128"/>
      <c r="I1445" s="140"/>
      <c r="J1445" s="112"/>
      <c r="K1445" s="166"/>
      <c r="L1445" s="111"/>
      <c r="M1445" s="166"/>
    </row>
    <row r="1446" spans="1:13" x14ac:dyDescent="0.25">
      <c r="A1446" s="130"/>
      <c r="B1446" s="129"/>
      <c r="C1446" s="124"/>
      <c r="D1446" s="149"/>
      <c r="E1446" s="150"/>
      <c r="F1446" s="150"/>
      <c r="G1446" s="128"/>
      <c r="H1446" s="128"/>
      <c r="I1446" s="140"/>
      <c r="J1446" s="194" t="s">
        <v>45</v>
      </c>
      <c r="K1446" s="224"/>
      <c r="L1446" s="111"/>
      <c r="M1446" s="166"/>
    </row>
    <row r="1447" spans="1:13" ht="5.0999999999999996" customHeight="1" x14ac:dyDescent="0.25">
      <c r="A1447" s="140"/>
      <c r="B1447" s="140"/>
      <c r="C1447" s="140"/>
      <c r="D1447" s="140"/>
      <c r="E1447" s="140"/>
      <c r="F1447" s="140"/>
      <c r="G1447" s="140"/>
      <c r="H1447" s="140"/>
      <c r="I1447" s="140"/>
      <c r="J1447" s="112"/>
      <c r="K1447" s="166"/>
      <c r="L1447" s="111"/>
      <c r="M1447" s="166"/>
    </row>
    <row r="1448" spans="1:13" ht="16.5" thickBot="1" x14ac:dyDescent="0.3">
      <c r="A1448" s="113"/>
      <c r="B1448" s="114"/>
      <c r="C1448" s="115"/>
      <c r="D1448" s="115"/>
      <c r="E1448" s="116"/>
      <c r="F1448" s="116"/>
      <c r="G1448" s="164"/>
      <c r="H1448" s="120"/>
      <c r="I1448" s="140"/>
      <c r="J1448" s="120"/>
      <c r="K1448" s="121"/>
      <c r="L1448" s="221"/>
      <c r="M1448" s="191"/>
    </row>
    <row r="1449" spans="1:13" ht="5.0999999999999996" customHeight="1" thickBot="1" x14ac:dyDescent="0.3">
      <c r="A1449" s="217"/>
      <c r="B1449" s="212"/>
      <c r="C1449" s="213"/>
      <c r="D1449" s="213"/>
      <c r="E1449" s="214"/>
      <c r="F1449" s="214"/>
      <c r="G1449" s="215"/>
      <c r="H1449" s="218"/>
      <c r="I1449" s="140"/>
      <c r="J1449" s="218"/>
      <c r="K1449" s="220"/>
      <c r="L1449" s="221"/>
      <c r="M1449" s="191"/>
    </row>
    <row r="1450" spans="1:13" ht="15.75" thickBot="1" x14ac:dyDescent="0.3">
      <c r="A1450" s="125"/>
      <c r="B1450" s="148"/>
      <c r="C1450" s="124"/>
      <c r="D1450" s="149"/>
      <c r="E1450" s="150"/>
      <c r="F1450" s="150"/>
      <c r="G1450" s="127"/>
      <c r="H1450" s="189"/>
      <c r="I1450" s="140"/>
      <c r="J1450" s="209"/>
      <c r="K1450" s="223"/>
      <c r="L1450" s="112"/>
      <c r="M1450" s="166"/>
    </row>
    <row r="1451" spans="1:13" ht="15.75" thickBot="1" x14ac:dyDescent="0.3">
      <c r="A1451" s="126"/>
      <c r="B1451" s="129"/>
      <c r="C1451" s="124"/>
      <c r="D1451" s="149"/>
      <c r="E1451" s="150"/>
      <c r="F1451" s="150"/>
      <c r="G1451" s="128"/>
      <c r="H1451" s="128"/>
      <c r="I1451" s="140"/>
      <c r="J1451" s="112"/>
      <c r="K1451" s="166"/>
      <c r="L1451" s="118"/>
      <c r="M1451" s="166"/>
    </row>
    <row r="1452" spans="1:13" x14ac:dyDescent="0.25">
      <c r="A1452" s="126"/>
      <c r="B1452" s="129"/>
      <c r="C1452" s="124"/>
      <c r="D1452" s="149"/>
      <c r="E1452" s="150"/>
      <c r="F1452" s="150"/>
      <c r="G1452" s="128"/>
      <c r="H1452" s="128"/>
      <c r="I1452" s="140"/>
      <c r="J1452" s="194" t="s">
        <v>39</v>
      </c>
      <c r="K1452" s="223"/>
      <c r="L1452" s="118"/>
      <c r="M1452" s="166"/>
    </row>
    <row r="1453" spans="1:13" ht="15.75" thickBot="1" x14ac:dyDescent="0.3">
      <c r="A1453" s="126"/>
      <c r="B1453" s="129"/>
      <c r="C1453" s="124"/>
      <c r="D1453" s="149"/>
      <c r="E1453" s="150"/>
      <c r="F1453" s="150"/>
      <c r="G1453" s="128"/>
      <c r="H1453" s="128"/>
      <c r="I1453" s="140"/>
      <c r="J1453" s="112"/>
      <c r="K1453" s="166"/>
      <c r="L1453" s="118"/>
      <c r="M1453" s="166"/>
    </row>
    <row r="1454" spans="1:13" x14ac:dyDescent="0.25">
      <c r="A1454" s="126"/>
      <c r="B1454" s="129"/>
      <c r="C1454" s="124"/>
      <c r="D1454" s="149"/>
      <c r="E1454" s="150"/>
      <c r="F1454" s="150"/>
      <c r="G1454" s="128"/>
      <c r="H1454" s="128"/>
      <c r="I1454" s="140"/>
      <c r="J1454" s="194" t="s">
        <v>40</v>
      </c>
      <c r="K1454" s="223"/>
      <c r="L1454" s="118"/>
      <c r="M1454" s="166"/>
    </row>
    <row r="1455" spans="1:13" ht="15.75" thickBot="1" x14ac:dyDescent="0.3">
      <c r="A1455" s="126"/>
      <c r="B1455" s="129"/>
      <c r="C1455" s="124"/>
      <c r="D1455" s="149"/>
      <c r="E1455" s="150"/>
      <c r="F1455" s="150"/>
      <c r="G1455" s="128"/>
      <c r="H1455" s="128"/>
      <c r="I1455" s="140"/>
      <c r="J1455" s="112"/>
      <c r="K1455" s="166"/>
      <c r="L1455" s="118"/>
      <c r="M1455" s="166"/>
    </row>
    <row r="1456" spans="1:13" x14ac:dyDescent="0.25">
      <c r="A1456" s="126"/>
      <c r="B1456" s="129"/>
      <c r="C1456" s="124"/>
      <c r="D1456" s="149"/>
      <c r="E1456" s="150"/>
      <c r="F1456" s="150"/>
      <c r="G1456" s="128"/>
      <c r="H1456" s="128"/>
      <c r="I1456" s="140"/>
      <c r="J1456" s="194" t="s">
        <v>41</v>
      </c>
      <c r="K1456" s="223"/>
      <c r="L1456" s="118"/>
      <c r="M1456" s="166"/>
    </row>
    <row r="1457" spans="1:13" ht="15.75" thickBot="1" x14ac:dyDescent="0.3">
      <c r="A1457" s="126"/>
      <c r="B1457" s="129"/>
      <c r="C1457" s="124"/>
      <c r="D1457" s="149"/>
      <c r="E1457" s="150"/>
      <c r="F1457" s="150"/>
      <c r="G1457" s="128"/>
      <c r="H1457" s="128"/>
      <c r="I1457" s="140"/>
      <c r="J1457" s="112"/>
      <c r="K1457" s="166"/>
      <c r="L1457" s="118"/>
      <c r="M1457" s="166"/>
    </row>
    <row r="1458" spans="1:13" x14ac:dyDescent="0.25">
      <c r="A1458" s="126"/>
      <c r="B1458" s="129"/>
      <c r="C1458" s="124"/>
      <c r="D1458" s="149"/>
      <c r="E1458" s="150"/>
      <c r="F1458" s="150"/>
      <c r="G1458" s="128"/>
      <c r="H1458" s="128"/>
      <c r="I1458" s="140"/>
      <c r="J1458" s="194" t="s">
        <v>42</v>
      </c>
      <c r="K1458" s="223"/>
      <c r="L1458" s="111"/>
      <c r="M1458" s="166"/>
    </row>
    <row r="1459" spans="1:13" ht="15.75" thickBot="1" x14ac:dyDescent="0.3">
      <c r="A1459" s="126"/>
      <c r="B1459" s="129"/>
      <c r="C1459" s="124"/>
      <c r="D1459" s="149"/>
      <c r="E1459" s="150"/>
      <c r="F1459" s="150"/>
      <c r="G1459" s="128"/>
      <c r="H1459" s="128"/>
      <c r="I1459" s="140"/>
      <c r="J1459" s="112"/>
      <c r="K1459" s="166"/>
      <c r="L1459" s="111"/>
      <c r="M1459" s="166"/>
    </row>
    <row r="1460" spans="1:13" x14ac:dyDescent="0.25">
      <c r="A1460" s="126"/>
      <c r="B1460" s="129"/>
      <c r="C1460" s="124"/>
      <c r="D1460" s="149"/>
      <c r="E1460" s="150"/>
      <c r="F1460" s="150"/>
      <c r="G1460" s="128"/>
      <c r="H1460" s="128"/>
      <c r="I1460" s="140"/>
      <c r="J1460" s="193" t="s">
        <v>43</v>
      </c>
      <c r="K1460" s="223"/>
      <c r="L1460" s="111"/>
      <c r="M1460" s="166"/>
    </row>
    <row r="1461" spans="1:13" x14ac:dyDescent="0.25">
      <c r="A1461" s="126"/>
      <c r="B1461" s="129"/>
      <c r="C1461" s="124"/>
      <c r="D1461" s="149"/>
      <c r="E1461" s="150"/>
      <c r="F1461" s="150"/>
      <c r="G1461" s="128"/>
      <c r="H1461" s="128"/>
      <c r="I1461" s="140"/>
      <c r="J1461" s="112"/>
      <c r="K1461" s="166"/>
      <c r="L1461" s="111"/>
      <c r="M1461" s="166"/>
    </row>
    <row r="1462" spans="1:13" x14ac:dyDescent="0.25">
      <c r="A1462" s="126"/>
      <c r="B1462" s="129"/>
      <c r="C1462" s="124"/>
      <c r="D1462" s="149"/>
      <c r="E1462" s="150"/>
      <c r="F1462" s="150"/>
      <c r="G1462" s="128"/>
      <c r="H1462" s="128"/>
      <c r="I1462" s="140"/>
      <c r="J1462" s="194" t="s">
        <v>44</v>
      </c>
      <c r="K1462" s="224"/>
      <c r="L1462" s="111"/>
      <c r="M1462" s="166"/>
    </row>
    <row r="1463" spans="1:13" x14ac:dyDescent="0.25">
      <c r="A1463" s="126"/>
      <c r="B1463" s="129"/>
      <c r="C1463" s="124"/>
      <c r="D1463" s="149"/>
      <c r="E1463" s="150"/>
      <c r="F1463" s="150"/>
      <c r="G1463" s="128"/>
      <c r="H1463" s="128"/>
      <c r="I1463" s="140"/>
      <c r="J1463" s="112"/>
      <c r="K1463" s="166"/>
      <c r="L1463" s="111"/>
      <c r="M1463" s="166"/>
    </row>
    <row r="1464" spans="1:13" x14ac:dyDescent="0.25">
      <c r="A1464" s="130"/>
      <c r="B1464" s="129"/>
      <c r="C1464" s="124"/>
      <c r="D1464" s="149"/>
      <c r="E1464" s="150"/>
      <c r="F1464" s="150"/>
      <c r="G1464" s="128"/>
      <c r="H1464" s="128"/>
      <c r="I1464" s="140"/>
      <c r="J1464" s="194" t="s">
        <v>45</v>
      </c>
      <c r="K1464" s="224"/>
      <c r="L1464" s="111"/>
      <c r="M1464" s="166"/>
    </row>
    <row r="1465" spans="1:13" ht="5.0999999999999996" customHeight="1" x14ac:dyDescent="0.25">
      <c r="A1465" s="140"/>
      <c r="B1465" s="140"/>
      <c r="C1465" s="140"/>
      <c r="D1465" s="140"/>
      <c r="E1465" s="140"/>
      <c r="F1465" s="140"/>
      <c r="G1465" s="140"/>
      <c r="H1465" s="140"/>
      <c r="I1465" s="140"/>
      <c r="J1465" s="112"/>
      <c r="K1465" s="166"/>
      <c r="L1465" s="111"/>
      <c r="M1465" s="166"/>
    </row>
    <row r="1466" spans="1:13" ht="16.5" thickBot="1" x14ac:dyDescent="0.3">
      <c r="A1466" s="113"/>
      <c r="B1466" s="114"/>
      <c r="C1466" s="115"/>
      <c r="D1466" s="115"/>
      <c r="E1466" s="116"/>
      <c r="F1466" s="116"/>
      <c r="G1466" s="164"/>
      <c r="H1466" s="120"/>
      <c r="I1466" s="140"/>
      <c r="J1466" s="120"/>
      <c r="K1466" s="121"/>
      <c r="L1466" s="221"/>
      <c r="M1466" s="191"/>
    </row>
    <row r="1467" spans="1:13" ht="5.0999999999999996" customHeight="1" thickBot="1" x14ac:dyDescent="0.3">
      <c r="A1467" s="217"/>
      <c r="B1467" s="212"/>
      <c r="C1467" s="213"/>
      <c r="D1467" s="213"/>
      <c r="E1467" s="214"/>
      <c r="F1467" s="214"/>
      <c r="G1467" s="215"/>
      <c r="H1467" s="218"/>
      <c r="I1467" s="140"/>
      <c r="J1467" s="218"/>
      <c r="K1467" s="220"/>
      <c r="L1467" s="221"/>
      <c r="M1467" s="191"/>
    </row>
    <row r="1468" spans="1:13" ht="15.75" thickBot="1" x14ac:dyDescent="0.3">
      <c r="A1468" s="125"/>
      <c r="B1468" s="148"/>
      <c r="C1468" s="124"/>
      <c r="D1468" s="149"/>
      <c r="E1468" s="150"/>
      <c r="F1468" s="150"/>
      <c r="G1468" s="127"/>
      <c r="H1468" s="189"/>
      <c r="I1468" s="140"/>
      <c r="J1468" s="209"/>
      <c r="K1468" s="223"/>
      <c r="L1468" s="112"/>
      <c r="M1468" s="166"/>
    </row>
    <row r="1469" spans="1:13" ht="15.75" thickBot="1" x14ac:dyDescent="0.3">
      <c r="A1469" s="126"/>
      <c r="B1469" s="129"/>
      <c r="C1469" s="124"/>
      <c r="D1469" s="149"/>
      <c r="E1469" s="150"/>
      <c r="F1469" s="150"/>
      <c r="G1469" s="128"/>
      <c r="H1469" s="128"/>
      <c r="I1469" s="140"/>
      <c r="J1469" s="112"/>
      <c r="K1469" s="166"/>
      <c r="L1469" s="118"/>
      <c r="M1469" s="166"/>
    </row>
    <row r="1470" spans="1:13" x14ac:dyDescent="0.25">
      <c r="A1470" s="126"/>
      <c r="B1470" s="129"/>
      <c r="C1470" s="124"/>
      <c r="D1470" s="149"/>
      <c r="E1470" s="150"/>
      <c r="F1470" s="150"/>
      <c r="G1470" s="128"/>
      <c r="H1470" s="128"/>
      <c r="I1470" s="140"/>
      <c r="J1470" s="194" t="s">
        <v>39</v>
      </c>
      <c r="K1470" s="223"/>
      <c r="L1470" s="118"/>
      <c r="M1470" s="166"/>
    </row>
    <row r="1471" spans="1:13" ht="15.75" thickBot="1" x14ac:dyDescent="0.3">
      <c r="A1471" s="126"/>
      <c r="B1471" s="129"/>
      <c r="C1471" s="124"/>
      <c r="D1471" s="149"/>
      <c r="E1471" s="150"/>
      <c r="F1471" s="150"/>
      <c r="G1471" s="128"/>
      <c r="H1471" s="128"/>
      <c r="I1471" s="140"/>
      <c r="J1471" s="112"/>
      <c r="K1471" s="166"/>
      <c r="L1471" s="118"/>
      <c r="M1471" s="166"/>
    </row>
    <row r="1472" spans="1:13" x14ac:dyDescent="0.25">
      <c r="A1472" s="126"/>
      <c r="B1472" s="129"/>
      <c r="C1472" s="124"/>
      <c r="D1472" s="149"/>
      <c r="E1472" s="150"/>
      <c r="F1472" s="150"/>
      <c r="G1472" s="128"/>
      <c r="H1472" s="128"/>
      <c r="I1472" s="140"/>
      <c r="J1472" s="194" t="s">
        <v>40</v>
      </c>
      <c r="K1472" s="223"/>
      <c r="L1472" s="118"/>
      <c r="M1472" s="166"/>
    </row>
    <row r="1473" spans="1:13" ht="15.75" thickBot="1" x14ac:dyDescent="0.3">
      <c r="A1473" s="126"/>
      <c r="B1473" s="129"/>
      <c r="C1473" s="124"/>
      <c r="D1473" s="149"/>
      <c r="E1473" s="150"/>
      <c r="F1473" s="150"/>
      <c r="G1473" s="128"/>
      <c r="H1473" s="128"/>
      <c r="I1473" s="140"/>
      <c r="J1473" s="112"/>
      <c r="K1473" s="166"/>
      <c r="L1473" s="118"/>
      <c r="M1473" s="166"/>
    </row>
    <row r="1474" spans="1:13" x14ac:dyDescent="0.25">
      <c r="A1474" s="126"/>
      <c r="B1474" s="129"/>
      <c r="C1474" s="124"/>
      <c r="D1474" s="149"/>
      <c r="E1474" s="150"/>
      <c r="F1474" s="150"/>
      <c r="G1474" s="128"/>
      <c r="H1474" s="128"/>
      <c r="I1474" s="140"/>
      <c r="J1474" s="194" t="s">
        <v>41</v>
      </c>
      <c r="K1474" s="223"/>
      <c r="L1474" s="118"/>
      <c r="M1474" s="166"/>
    </row>
    <row r="1475" spans="1:13" ht="15.75" thickBot="1" x14ac:dyDescent="0.3">
      <c r="A1475" s="126"/>
      <c r="B1475" s="129"/>
      <c r="C1475" s="124"/>
      <c r="D1475" s="149"/>
      <c r="E1475" s="150"/>
      <c r="F1475" s="150"/>
      <c r="G1475" s="128"/>
      <c r="H1475" s="128"/>
      <c r="I1475" s="140"/>
      <c r="J1475" s="112"/>
      <c r="K1475" s="166"/>
      <c r="L1475" s="118"/>
      <c r="M1475" s="166"/>
    </row>
    <row r="1476" spans="1:13" x14ac:dyDescent="0.25">
      <c r="A1476" s="126"/>
      <c r="B1476" s="129"/>
      <c r="C1476" s="124"/>
      <c r="D1476" s="149"/>
      <c r="E1476" s="150"/>
      <c r="F1476" s="150"/>
      <c r="G1476" s="128"/>
      <c r="H1476" s="128"/>
      <c r="I1476" s="140"/>
      <c r="J1476" s="194" t="s">
        <v>42</v>
      </c>
      <c r="K1476" s="223"/>
      <c r="L1476" s="111"/>
      <c r="M1476" s="166"/>
    </row>
    <row r="1477" spans="1:13" ht="15.75" thickBot="1" x14ac:dyDescent="0.3">
      <c r="A1477" s="126"/>
      <c r="B1477" s="129"/>
      <c r="C1477" s="124"/>
      <c r="D1477" s="149"/>
      <c r="E1477" s="150"/>
      <c r="F1477" s="150"/>
      <c r="G1477" s="128"/>
      <c r="H1477" s="128"/>
      <c r="I1477" s="140"/>
      <c r="J1477" s="112"/>
      <c r="K1477" s="166"/>
      <c r="L1477" s="111"/>
      <c r="M1477" s="166"/>
    </row>
    <row r="1478" spans="1:13" x14ac:dyDescent="0.25">
      <c r="A1478" s="126"/>
      <c r="B1478" s="129"/>
      <c r="C1478" s="124"/>
      <c r="D1478" s="149"/>
      <c r="E1478" s="150"/>
      <c r="F1478" s="150"/>
      <c r="G1478" s="128"/>
      <c r="H1478" s="128"/>
      <c r="I1478" s="140"/>
      <c r="J1478" s="193" t="s">
        <v>43</v>
      </c>
      <c r="K1478" s="223"/>
      <c r="L1478" s="111"/>
      <c r="M1478" s="166"/>
    </row>
    <row r="1479" spans="1:13" x14ac:dyDescent="0.25">
      <c r="A1479" s="126"/>
      <c r="B1479" s="129"/>
      <c r="C1479" s="124"/>
      <c r="D1479" s="149"/>
      <c r="E1479" s="150"/>
      <c r="F1479" s="150"/>
      <c r="G1479" s="128"/>
      <c r="H1479" s="128"/>
      <c r="I1479" s="140"/>
      <c r="J1479" s="112"/>
      <c r="K1479" s="166"/>
      <c r="L1479" s="111"/>
      <c r="M1479" s="166"/>
    </row>
    <row r="1480" spans="1:13" x14ac:dyDescent="0.25">
      <c r="A1480" s="126"/>
      <c r="B1480" s="129"/>
      <c r="C1480" s="124"/>
      <c r="D1480" s="149"/>
      <c r="E1480" s="150"/>
      <c r="F1480" s="150"/>
      <c r="G1480" s="128"/>
      <c r="H1480" s="128"/>
      <c r="I1480" s="140"/>
      <c r="J1480" s="194" t="s">
        <v>44</v>
      </c>
      <c r="K1480" s="224"/>
      <c r="L1480" s="111"/>
      <c r="M1480" s="166"/>
    </row>
    <row r="1481" spans="1:13" x14ac:dyDescent="0.25">
      <c r="A1481" s="126"/>
      <c r="B1481" s="129"/>
      <c r="C1481" s="124"/>
      <c r="D1481" s="149"/>
      <c r="E1481" s="150"/>
      <c r="F1481" s="150"/>
      <c r="G1481" s="128"/>
      <c r="H1481" s="128"/>
      <c r="I1481" s="140"/>
      <c r="J1481" s="112"/>
      <c r="K1481" s="166"/>
      <c r="L1481" s="111"/>
      <c r="M1481" s="166"/>
    </row>
    <row r="1482" spans="1:13" x14ac:dyDescent="0.25">
      <c r="A1482" s="130"/>
      <c r="B1482" s="129"/>
      <c r="C1482" s="124"/>
      <c r="D1482" s="149"/>
      <c r="E1482" s="150"/>
      <c r="F1482" s="150"/>
      <c r="G1482" s="128"/>
      <c r="H1482" s="128"/>
      <c r="I1482" s="140"/>
      <c r="J1482" s="194" t="s">
        <v>45</v>
      </c>
      <c r="K1482" s="224"/>
      <c r="L1482" s="111"/>
      <c r="M1482" s="166"/>
    </row>
    <row r="1483" spans="1:13" ht="5.0999999999999996" customHeight="1" x14ac:dyDescent="0.25">
      <c r="A1483" s="140"/>
      <c r="B1483" s="140"/>
      <c r="C1483" s="140"/>
      <c r="D1483" s="140"/>
      <c r="E1483" s="140"/>
      <c r="F1483" s="140"/>
      <c r="G1483" s="140"/>
      <c r="H1483" s="140"/>
      <c r="I1483" s="140"/>
      <c r="J1483" s="112"/>
      <c r="K1483" s="166"/>
      <c r="L1483" s="111"/>
      <c r="M1483" s="166"/>
    </row>
    <row r="1484" spans="1:13" ht="16.5" thickBot="1" x14ac:dyDescent="0.3">
      <c r="A1484" s="113"/>
      <c r="B1484" s="114"/>
      <c r="C1484" s="115"/>
      <c r="D1484" s="115"/>
      <c r="E1484" s="116"/>
      <c r="F1484" s="116"/>
      <c r="G1484" s="164"/>
      <c r="H1484" s="120"/>
      <c r="I1484" s="140"/>
      <c r="J1484" s="120"/>
      <c r="K1484" s="121"/>
      <c r="L1484" s="221"/>
      <c r="M1484" s="191"/>
    </row>
    <row r="1485" spans="1:13" ht="5.0999999999999996" customHeight="1" thickBot="1" x14ac:dyDescent="0.3">
      <c r="A1485" s="217"/>
      <c r="B1485" s="212"/>
      <c r="C1485" s="213"/>
      <c r="D1485" s="213"/>
      <c r="E1485" s="214"/>
      <c r="F1485" s="214"/>
      <c r="G1485" s="215"/>
      <c r="H1485" s="218"/>
      <c r="I1485" s="140"/>
      <c r="J1485" s="218"/>
      <c r="K1485" s="220"/>
      <c r="L1485" s="221"/>
      <c r="M1485" s="191"/>
    </row>
    <row r="1486" spans="1:13" ht="15.75" thickBot="1" x14ac:dyDescent="0.3">
      <c r="A1486" s="125"/>
      <c r="B1486" s="148"/>
      <c r="C1486" s="124"/>
      <c r="D1486" s="149"/>
      <c r="E1486" s="150"/>
      <c r="F1486" s="150"/>
      <c r="G1486" s="127"/>
      <c r="H1486" s="189"/>
      <c r="I1486" s="140"/>
      <c r="J1486" s="209"/>
      <c r="K1486" s="223"/>
      <c r="L1486" s="112"/>
      <c r="M1486" s="166"/>
    </row>
    <row r="1487" spans="1:13" ht="15.75" thickBot="1" x14ac:dyDescent="0.3">
      <c r="A1487" s="126"/>
      <c r="B1487" s="129"/>
      <c r="C1487" s="124"/>
      <c r="D1487" s="149"/>
      <c r="E1487" s="150"/>
      <c r="F1487" s="150"/>
      <c r="G1487" s="128"/>
      <c r="H1487" s="128"/>
      <c r="I1487" s="140"/>
      <c r="J1487" s="112"/>
      <c r="K1487" s="166"/>
      <c r="L1487" s="118"/>
      <c r="M1487" s="166"/>
    </row>
    <row r="1488" spans="1:13" x14ac:dyDescent="0.25">
      <c r="A1488" s="126"/>
      <c r="B1488" s="129"/>
      <c r="C1488" s="124"/>
      <c r="D1488" s="149"/>
      <c r="E1488" s="150"/>
      <c r="F1488" s="150"/>
      <c r="G1488" s="128"/>
      <c r="H1488" s="128"/>
      <c r="I1488" s="140"/>
      <c r="J1488" s="194" t="s">
        <v>39</v>
      </c>
      <c r="K1488" s="223"/>
      <c r="L1488" s="118"/>
      <c r="M1488" s="166"/>
    </row>
    <row r="1489" spans="1:13" ht="15.75" thickBot="1" x14ac:dyDescent="0.3">
      <c r="A1489" s="126"/>
      <c r="B1489" s="129"/>
      <c r="C1489" s="124"/>
      <c r="D1489" s="149"/>
      <c r="E1489" s="150"/>
      <c r="F1489" s="150"/>
      <c r="G1489" s="128"/>
      <c r="H1489" s="128"/>
      <c r="I1489" s="140"/>
      <c r="J1489" s="112"/>
      <c r="K1489" s="166"/>
      <c r="L1489" s="118"/>
      <c r="M1489" s="166"/>
    </row>
    <row r="1490" spans="1:13" x14ac:dyDescent="0.25">
      <c r="A1490" s="126"/>
      <c r="B1490" s="129"/>
      <c r="C1490" s="124"/>
      <c r="D1490" s="149"/>
      <c r="E1490" s="150"/>
      <c r="F1490" s="150"/>
      <c r="G1490" s="128"/>
      <c r="H1490" s="128"/>
      <c r="I1490" s="140"/>
      <c r="J1490" s="194" t="s">
        <v>40</v>
      </c>
      <c r="K1490" s="223"/>
      <c r="L1490" s="118"/>
      <c r="M1490" s="166"/>
    </row>
    <row r="1491" spans="1:13" ht="15.75" thickBot="1" x14ac:dyDescent="0.3">
      <c r="A1491" s="126"/>
      <c r="B1491" s="129"/>
      <c r="C1491" s="124"/>
      <c r="D1491" s="149"/>
      <c r="E1491" s="150"/>
      <c r="F1491" s="150"/>
      <c r="G1491" s="128"/>
      <c r="H1491" s="128"/>
      <c r="I1491" s="140"/>
      <c r="J1491" s="112"/>
      <c r="K1491" s="166"/>
      <c r="L1491" s="118"/>
      <c r="M1491" s="166"/>
    </row>
    <row r="1492" spans="1:13" x14ac:dyDescent="0.25">
      <c r="A1492" s="126"/>
      <c r="B1492" s="129"/>
      <c r="C1492" s="124"/>
      <c r="D1492" s="149"/>
      <c r="E1492" s="150"/>
      <c r="F1492" s="150"/>
      <c r="G1492" s="128"/>
      <c r="H1492" s="128"/>
      <c r="I1492" s="140"/>
      <c r="J1492" s="194" t="s">
        <v>41</v>
      </c>
      <c r="K1492" s="223"/>
      <c r="L1492" s="118"/>
      <c r="M1492" s="166"/>
    </row>
    <row r="1493" spans="1:13" ht="15.75" thickBot="1" x14ac:dyDescent="0.3">
      <c r="A1493" s="126"/>
      <c r="B1493" s="129"/>
      <c r="C1493" s="124"/>
      <c r="D1493" s="149"/>
      <c r="E1493" s="150"/>
      <c r="F1493" s="150"/>
      <c r="G1493" s="128"/>
      <c r="H1493" s="128"/>
      <c r="I1493" s="140"/>
      <c r="J1493" s="112"/>
      <c r="K1493" s="166"/>
      <c r="L1493" s="118"/>
      <c r="M1493" s="166"/>
    </row>
    <row r="1494" spans="1:13" x14ac:dyDescent="0.25">
      <c r="A1494" s="126"/>
      <c r="B1494" s="129"/>
      <c r="C1494" s="124"/>
      <c r="D1494" s="149"/>
      <c r="E1494" s="150"/>
      <c r="F1494" s="150"/>
      <c r="G1494" s="128"/>
      <c r="H1494" s="128"/>
      <c r="I1494" s="140"/>
      <c r="J1494" s="194" t="s">
        <v>42</v>
      </c>
      <c r="K1494" s="223"/>
      <c r="L1494" s="111"/>
      <c r="M1494" s="166"/>
    </row>
    <row r="1495" spans="1:13" ht="15.75" thickBot="1" x14ac:dyDescent="0.3">
      <c r="A1495" s="126"/>
      <c r="B1495" s="129"/>
      <c r="C1495" s="124"/>
      <c r="D1495" s="149"/>
      <c r="E1495" s="150"/>
      <c r="F1495" s="150"/>
      <c r="G1495" s="128"/>
      <c r="H1495" s="128"/>
      <c r="I1495" s="140"/>
      <c r="J1495" s="112"/>
      <c r="K1495" s="166"/>
      <c r="L1495" s="111"/>
      <c r="M1495" s="166"/>
    </row>
    <row r="1496" spans="1:13" x14ac:dyDescent="0.25">
      <c r="A1496" s="126"/>
      <c r="B1496" s="129"/>
      <c r="C1496" s="124"/>
      <c r="D1496" s="149"/>
      <c r="E1496" s="150"/>
      <c r="F1496" s="150"/>
      <c r="G1496" s="128"/>
      <c r="H1496" s="128"/>
      <c r="I1496" s="140"/>
      <c r="J1496" s="193" t="s">
        <v>43</v>
      </c>
      <c r="K1496" s="223"/>
      <c r="L1496" s="111"/>
      <c r="M1496" s="166"/>
    </row>
    <row r="1497" spans="1:13" x14ac:dyDescent="0.25">
      <c r="A1497" s="126"/>
      <c r="B1497" s="129"/>
      <c r="C1497" s="124"/>
      <c r="D1497" s="149"/>
      <c r="E1497" s="150"/>
      <c r="F1497" s="150"/>
      <c r="G1497" s="128"/>
      <c r="H1497" s="128"/>
      <c r="I1497" s="140"/>
      <c r="J1497" s="112"/>
      <c r="K1497" s="166"/>
      <c r="L1497" s="111"/>
      <c r="M1497" s="166"/>
    </row>
    <row r="1498" spans="1:13" x14ac:dyDescent="0.25">
      <c r="A1498" s="126"/>
      <c r="B1498" s="129"/>
      <c r="C1498" s="124"/>
      <c r="D1498" s="149"/>
      <c r="E1498" s="150"/>
      <c r="F1498" s="150"/>
      <c r="G1498" s="128"/>
      <c r="H1498" s="128"/>
      <c r="I1498" s="140"/>
      <c r="J1498" s="194" t="s">
        <v>44</v>
      </c>
      <c r="K1498" s="224"/>
      <c r="L1498" s="111"/>
      <c r="M1498" s="166"/>
    </row>
    <row r="1499" spans="1:13" x14ac:dyDescent="0.25">
      <c r="A1499" s="126"/>
      <c r="B1499" s="129"/>
      <c r="C1499" s="124"/>
      <c r="D1499" s="149"/>
      <c r="E1499" s="150"/>
      <c r="F1499" s="150"/>
      <c r="G1499" s="128"/>
      <c r="H1499" s="128"/>
      <c r="I1499" s="140"/>
      <c r="J1499" s="112"/>
      <c r="K1499" s="166"/>
      <c r="L1499" s="111"/>
      <c r="M1499" s="166"/>
    </row>
    <row r="1500" spans="1:13" x14ac:dyDescent="0.25">
      <c r="A1500" s="130"/>
      <c r="B1500" s="129"/>
      <c r="C1500" s="124"/>
      <c r="D1500" s="149"/>
      <c r="E1500" s="150"/>
      <c r="F1500" s="150"/>
      <c r="G1500" s="128"/>
      <c r="H1500" s="128"/>
      <c r="I1500" s="140"/>
      <c r="J1500" s="194" t="s">
        <v>45</v>
      </c>
      <c r="K1500" s="224"/>
      <c r="L1500" s="111"/>
      <c r="M1500" s="166"/>
    </row>
    <row r="1501" spans="1:13" ht="5.0999999999999996" customHeight="1" x14ac:dyDescent="0.25">
      <c r="A1501" s="140"/>
      <c r="B1501" s="140"/>
      <c r="C1501" s="140"/>
      <c r="D1501" s="140"/>
      <c r="E1501" s="140"/>
      <c r="F1501" s="140"/>
      <c r="G1501" s="140"/>
      <c r="H1501" s="140"/>
      <c r="I1501" s="140"/>
      <c r="J1501" s="112"/>
      <c r="K1501" s="166"/>
      <c r="L1501" s="111"/>
      <c r="M1501" s="166"/>
    </row>
    <row r="1502" spans="1:13" ht="16.5" thickBot="1" x14ac:dyDescent="0.3">
      <c r="A1502" s="113"/>
      <c r="B1502" s="114"/>
      <c r="C1502" s="115"/>
      <c r="D1502" s="115"/>
      <c r="E1502" s="116"/>
      <c r="F1502" s="116"/>
      <c r="G1502" s="164"/>
      <c r="H1502" s="120"/>
      <c r="I1502" s="140"/>
      <c r="J1502" s="120"/>
      <c r="K1502" s="121"/>
      <c r="L1502" s="221"/>
      <c r="M1502" s="191"/>
    </row>
    <row r="1503" spans="1:13" ht="5.0999999999999996" customHeight="1" thickBot="1" x14ac:dyDescent="0.3">
      <c r="A1503" s="217"/>
      <c r="B1503" s="212"/>
      <c r="C1503" s="213"/>
      <c r="D1503" s="213"/>
      <c r="E1503" s="214"/>
      <c r="F1503" s="214"/>
      <c r="G1503" s="215"/>
      <c r="H1503" s="218"/>
      <c r="I1503" s="140"/>
      <c r="J1503" s="218"/>
      <c r="K1503" s="220"/>
      <c r="L1503" s="221"/>
      <c r="M1503" s="191"/>
    </row>
    <row r="1504" spans="1:13" ht="15.75" thickBot="1" x14ac:dyDescent="0.3">
      <c r="A1504" s="125"/>
      <c r="B1504" s="148"/>
      <c r="C1504" s="124"/>
      <c r="D1504" s="149"/>
      <c r="E1504" s="150"/>
      <c r="F1504" s="150"/>
      <c r="G1504" s="127"/>
      <c r="H1504" s="189"/>
      <c r="I1504" s="140"/>
      <c r="J1504" s="209"/>
      <c r="K1504" s="223"/>
      <c r="L1504" s="112"/>
      <c r="M1504" s="166"/>
    </row>
    <row r="1505" spans="1:13" ht="15.75" thickBot="1" x14ac:dyDescent="0.3">
      <c r="A1505" s="126"/>
      <c r="B1505" s="129"/>
      <c r="C1505" s="124"/>
      <c r="D1505" s="149"/>
      <c r="E1505" s="150"/>
      <c r="F1505" s="150"/>
      <c r="G1505" s="128"/>
      <c r="H1505" s="128"/>
      <c r="I1505" s="140"/>
      <c r="J1505" s="112"/>
      <c r="K1505" s="166"/>
      <c r="L1505" s="118"/>
      <c r="M1505" s="166"/>
    </row>
    <row r="1506" spans="1:13" x14ac:dyDescent="0.25">
      <c r="A1506" s="126"/>
      <c r="B1506" s="129"/>
      <c r="C1506" s="124"/>
      <c r="D1506" s="149"/>
      <c r="E1506" s="150"/>
      <c r="F1506" s="150"/>
      <c r="G1506" s="128"/>
      <c r="H1506" s="128"/>
      <c r="I1506" s="140"/>
      <c r="J1506" s="194" t="s">
        <v>39</v>
      </c>
      <c r="K1506" s="223"/>
      <c r="L1506" s="118"/>
      <c r="M1506" s="166"/>
    </row>
    <row r="1507" spans="1:13" ht="15.75" thickBot="1" x14ac:dyDescent="0.3">
      <c r="A1507" s="126"/>
      <c r="B1507" s="129"/>
      <c r="C1507" s="124"/>
      <c r="D1507" s="149"/>
      <c r="E1507" s="150"/>
      <c r="F1507" s="150"/>
      <c r="G1507" s="128"/>
      <c r="H1507" s="128"/>
      <c r="I1507" s="140"/>
      <c r="J1507" s="112"/>
      <c r="K1507" s="166"/>
      <c r="L1507" s="118"/>
      <c r="M1507" s="166"/>
    </row>
    <row r="1508" spans="1:13" x14ac:dyDescent="0.25">
      <c r="A1508" s="126"/>
      <c r="B1508" s="129"/>
      <c r="C1508" s="124"/>
      <c r="D1508" s="149"/>
      <c r="E1508" s="150"/>
      <c r="F1508" s="150"/>
      <c r="G1508" s="128"/>
      <c r="H1508" s="128"/>
      <c r="I1508" s="140"/>
      <c r="J1508" s="194" t="s">
        <v>40</v>
      </c>
      <c r="K1508" s="223"/>
      <c r="L1508" s="118"/>
      <c r="M1508" s="166"/>
    </row>
    <row r="1509" spans="1:13" ht="15.75" thickBot="1" x14ac:dyDescent="0.3">
      <c r="A1509" s="126"/>
      <c r="B1509" s="129"/>
      <c r="C1509" s="124"/>
      <c r="D1509" s="149"/>
      <c r="E1509" s="150"/>
      <c r="F1509" s="150"/>
      <c r="G1509" s="128"/>
      <c r="H1509" s="128"/>
      <c r="I1509" s="140"/>
      <c r="J1509" s="112"/>
      <c r="K1509" s="166"/>
      <c r="L1509" s="118"/>
      <c r="M1509" s="166"/>
    </row>
    <row r="1510" spans="1:13" x14ac:dyDescent="0.25">
      <c r="A1510" s="126"/>
      <c r="B1510" s="129"/>
      <c r="C1510" s="124"/>
      <c r="D1510" s="149"/>
      <c r="E1510" s="150"/>
      <c r="F1510" s="150"/>
      <c r="G1510" s="128"/>
      <c r="H1510" s="128"/>
      <c r="I1510" s="140"/>
      <c r="J1510" s="194" t="s">
        <v>41</v>
      </c>
      <c r="K1510" s="223"/>
      <c r="L1510" s="118"/>
      <c r="M1510" s="166"/>
    </row>
    <row r="1511" spans="1:13" ht="15.75" thickBot="1" x14ac:dyDescent="0.3">
      <c r="A1511" s="126"/>
      <c r="B1511" s="129"/>
      <c r="C1511" s="124"/>
      <c r="D1511" s="149"/>
      <c r="E1511" s="150"/>
      <c r="F1511" s="150"/>
      <c r="G1511" s="128"/>
      <c r="H1511" s="128"/>
      <c r="I1511" s="140"/>
      <c r="J1511" s="112"/>
      <c r="K1511" s="166"/>
      <c r="L1511" s="118"/>
      <c r="M1511" s="166"/>
    </row>
    <row r="1512" spans="1:13" x14ac:dyDescent="0.25">
      <c r="A1512" s="126"/>
      <c r="B1512" s="129"/>
      <c r="C1512" s="124"/>
      <c r="D1512" s="149"/>
      <c r="E1512" s="150"/>
      <c r="F1512" s="150"/>
      <c r="G1512" s="128"/>
      <c r="H1512" s="128"/>
      <c r="I1512" s="140"/>
      <c r="J1512" s="194" t="s">
        <v>42</v>
      </c>
      <c r="K1512" s="223"/>
      <c r="L1512" s="111"/>
      <c r="M1512" s="166"/>
    </row>
    <row r="1513" spans="1:13" ht="15.75" thickBot="1" x14ac:dyDescent="0.3">
      <c r="A1513" s="126"/>
      <c r="B1513" s="129"/>
      <c r="C1513" s="124"/>
      <c r="D1513" s="149"/>
      <c r="E1513" s="150"/>
      <c r="F1513" s="150"/>
      <c r="G1513" s="128"/>
      <c r="H1513" s="128"/>
      <c r="I1513" s="140"/>
      <c r="J1513" s="112"/>
      <c r="K1513" s="166"/>
      <c r="L1513" s="111"/>
      <c r="M1513" s="166"/>
    </row>
    <row r="1514" spans="1:13" x14ac:dyDescent="0.25">
      <c r="A1514" s="126"/>
      <c r="B1514" s="129"/>
      <c r="C1514" s="124"/>
      <c r="D1514" s="149"/>
      <c r="E1514" s="150"/>
      <c r="F1514" s="150"/>
      <c r="G1514" s="128"/>
      <c r="H1514" s="128"/>
      <c r="I1514" s="140"/>
      <c r="J1514" s="193" t="s">
        <v>43</v>
      </c>
      <c r="K1514" s="223"/>
      <c r="L1514" s="111"/>
      <c r="M1514" s="166"/>
    </row>
    <row r="1515" spans="1:13" x14ac:dyDescent="0.25">
      <c r="A1515" s="126"/>
      <c r="B1515" s="129"/>
      <c r="C1515" s="124"/>
      <c r="D1515" s="149"/>
      <c r="E1515" s="150"/>
      <c r="F1515" s="150"/>
      <c r="G1515" s="128"/>
      <c r="H1515" s="128"/>
      <c r="I1515" s="140"/>
      <c r="J1515" s="112"/>
      <c r="K1515" s="166"/>
      <c r="L1515" s="111"/>
      <c r="M1515" s="166"/>
    </row>
    <row r="1516" spans="1:13" x14ac:dyDescent="0.25">
      <c r="A1516" s="126"/>
      <c r="B1516" s="129"/>
      <c r="C1516" s="124"/>
      <c r="D1516" s="149"/>
      <c r="E1516" s="150"/>
      <c r="F1516" s="150"/>
      <c r="G1516" s="128"/>
      <c r="H1516" s="128"/>
      <c r="I1516" s="140"/>
      <c r="J1516" s="194" t="s">
        <v>44</v>
      </c>
      <c r="K1516" s="224"/>
      <c r="L1516" s="111"/>
      <c r="M1516" s="166"/>
    </row>
    <row r="1517" spans="1:13" x14ac:dyDescent="0.25">
      <c r="A1517" s="126"/>
      <c r="B1517" s="129"/>
      <c r="C1517" s="124"/>
      <c r="D1517" s="149"/>
      <c r="E1517" s="150"/>
      <c r="F1517" s="150"/>
      <c r="G1517" s="128"/>
      <c r="H1517" s="128"/>
      <c r="I1517" s="140"/>
      <c r="J1517" s="112"/>
      <c r="K1517" s="166"/>
      <c r="L1517" s="111"/>
      <c r="M1517" s="166"/>
    </row>
    <row r="1518" spans="1:13" x14ac:dyDescent="0.25">
      <c r="A1518" s="130"/>
      <c r="B1518" s="129"/>
      <c r="C1518" s="124"/>
      <c r="D1518" s="149"/>
      <c r="E1518" s="150"/>
      <c r="F1518" s="150"/>
      <c r="G1518" s="128"/>
      <c r="H1518" s="128"/>
      <c r="I1518" s="140"/>
      <c r="J1518" s="194" t="s">
        <v>45</v>
      </c>
      <c r="K1518" s="224"/>
      <c r="L1518" s="111"/>
      <c r="M1518" s="166"/>
    </row>
    <row r="1519" spans="1:13" ht="5.0999999999999996" customHeight="1" x14ac:dyDescent="0.25">
      <c r="A1519" s="140"/>
      <c r="B1519" s="140"/>
      <c r="C1519" s="140"/>
      <c r="D1519" s="140"/>
      <c r="E1519" s="140"/>
      <c r="F1519" s="140"/>
      <c r="G1519" s="140"/>
      <c r="H1519" s="140"/>
      <c r="I1519" s="140"/>
      <c r="J1519" s="112"/>
      <c r="K1519" s="166"/>
      <c r="L1519" s="111"/>
      <c r="M1519" s="166"/>
    </row>
    <row r="1520" spans="1:13" ht="16.5" thickBot="1" x14ac:dyDescent="0.3">
      <c r="A1520" s="113"/>
      <c r="B1520" s="114"/>
      <c r="C1520" s="115"/>
      <c r="D1520" s="115"/>
      <c r="E1520" s="116"/>
      <c r="F1520" s="116"/>
      <c r="G1520" s="164"/>
      <c r="H1520" s="120"/>
      <c r="I1520" s="140"/>
      <c r="J1520" s="120"/>
      <c r="K1520" s="121"/>
      <c r="L1520" s="221"/>
      <c r="M1520" s="191"/>
    </row>
    <row r="1521" spans="1:13" ht="5.0999999999999996" customHeight="1" thickBot="1" x14ac:dyDescent="0.3">
      <c r="A1521" s="217"/>
      <c r="B1521" s="212"/>
      <c r="C1521" s="213"/>
      <c r="D1521" s="213"/>
      <c r="E1521" s="214"/>
      <c r="F1521" s="214"/>
      <c r="G1521" s="215"/>
      <c r="H1521" s="218"/>
      <c r="I1521" s="140"/>
      <c r="J1521" s="218"/>
      <c r="K1521" s="220"/>
      <c r="L1521" s="221"/>
      <c r="M1521" s="191"/>
    </row>
    <row r="1522" spans="1:13" ht="15.75" thickBot="1" x14ac:dyDescent="0.3">
      <c r="A1522" s="125"/>
      <c r="B1522" s="148"/>
      <c r="C1522" s="124"/>
      <c r="D1522" s="149"/>
      <c r="E1522" s="150"/>
      <c r="F1522" s="150"/>
      <c r="G1522" s="127"/>
      <c r="H1522" s="189"/>
      <c r="I1522" s="140"/>
      <c r="J1522" s="209"/>
      <c r="K1522" s="223"/>
      <c r="L1522" s="112"/>
      <c r="M1522" s="166"/>
    </row>
    <row r="1523" spans="1:13" ht="15.75" thickBot="1" x14ac:dyDescent="0.3">
      <c r="A1523" s="126"/>
      <c r="B1523" s="129"/>
      <c r="C1523" s="124"/>
      <c r="D1523" s="149"/>
      <c r="E1523" s="150"/>
      <c r="F1523" s="150"/>
      <c r="G1523" s="128"/>
      <c r="H1523" s="128"/>
      <c r="I1523" s="140"/>
      <c r="J1523" s="112"/>
      <c r="K1523" s="166"/>
      <c r="L1523" s="118"/>
      <c r="M1523" s="166"/>
    </row>
    <row r="1524" spans="1:13" x14ac:dyDescent="0.25">
      <c r="A1524" s="126"/>
      <c r="B1524" s="129"/>
      <c r="C1524" s="124"/>
      <c r="D1524" s="149"/>
      <c r="E1524" s="150"/>
      <c r="F1524" s="150"/>
      <c r="G1524" s="128"/>
      <c r="H1524" s="128"/>
      <c r="I1524" s="140"/>
      <c r="J1524" s="194" t="s">
        <v>39</v>
      </c>
      <c r="K1524" s="223"/>
      <c r="L1524" s="118"/>
      <c r="M1524" s="166"/>
    </row>
    <row r="1525" spans="1:13" ht="15.75" thickBot="1" x14ac:dyDescent="0.3">
      <c r="A1525" s="126"/>
      <c r="B1525" s="129"/>
      <c r="C1525" s="124"/>
      <c r="D1525" s="149"/>
      <c r="E1525" s="150"/>
      <c r="F1525" s="150"/>
      <c r="G1525" s="128"/>
      <c r="H1525" s="128"/>
      <c r="I1525" s="140"/>
      <c r="J1525" s="112"/>
      <c r="K1525" s="166"/>
      <c r="L1525" s="118"/>
      <c r="M1525" s="166"/>
    </row>
    <row r="1526" spans="1:13" x14ac:dyDescent="0.25">
      <c r="A1526" s="126"/>
      <c r="B1526" s="129"/>
      <c r="C1526" s="124"/>
      <c r="D1526" s="149"/>
      <c r="E1526" s="150"/>
      <c r="F1526" s="150"/>
      <c r="G1526" s="128"/>
      <c r="H1526" s="128"/>
      <c r="I1526" s="140"/>
      <c r="J1526" s="194" t="s">
        <v>40</v>
      </c>
      <c r="K1526" s="223"/>
      <c r="L1526" s="118"/>
      <c r="M1526" s="166"/>
    </row>
    <row r="1527" spans="1:13" ht="15.75" thickBot="1" x14ac:dyDescent="0.3">
      <c r="A1527" s="126"/>
      <c r="B1527" s="129"/>
      <c r="C1527" s="124"/>
      <c r="D1527" s="149"/>
      <c r="E1527" s="150"/>
      <c r="F1527" s="150"/>
      <c r="G1527" s="128"/>
      <c r="H1527" s="128"/>
      <c r="I1527" s="140"/>
      <c r="J1527" s="112"/>
      <c r="K1527" s="166"/>
      <c r="L1527" s="118"/>
      <c r="M1527" s="166"/>
    </row>
    <row r="1528" spans="1:13" x14ac:dyDescent="0.25">
      <c r="A1528" s="126"/>
      <c r="B1528" s="129"/>
      <c r="C1528" s="124"/>
      <c r="D1528" s="149"/>
      <c r="E1528" s="150"/>
      <c r="F1528" s="150"/>
      <c r="G1528" s="128"/>
      <c r="H1528" s="128"/>
      <c r="I1528" s="140"/>
      <c r="J1528" s="194" t="s">
        <v>41</v>
      </c>
      <c r="K1528" s="223"/>
      <c r="L1528" s="118"/>
      <c r="M1528" s="166"/>
    </row>
    <row r="1529" spans="1:13" ht="15.75" thickBot="1" x14ac:dyDescent="0.3">
      <c r="A1529" s="126"/>
      <c r="B1529" s="129"/>
      <c r="C1529" s="124"/>
      <c r="D1529" s="149"/>
      <c r="E1529" s="150"/>
      <c r="F1529" s="150"/>
      <c r="G1529" s="128"/>
      <c r="H1529" s="128"/>
      <c r="I1529" s="140"/>
      <c r="J1529" s="112"/>
      <c r="K1529" s="166"/>
      <c r="L1529" s="118"/>
      <c r="M1529" s="166"/>
    </row>
    <row r="1530" spans="1:13" x14ac:dyDescent="0.25">
      <c r="A1530" s="126"/>
      <c r="B1530" s="129"/>
      <c r="C1530" s="124"/>
      <c r="D1530" s="149"/>
      <c r="E1530" s="150"/>
      <c r="F1530" s="150"/>
      <c r="G1530" s="128"/>
      <c r="H1530" s="128"/>
      <c r="I1530" s="140"/>
      <c r="J1530" s="194" t="s">
        <v>42</v>
      </c>
      <c r="K1530" s="223"/>
      <c r="L1530" s="111"/>
      <c r="M1530" s="166"/>
    </row>
    <row r="1531" spans="1:13" ht="15.75" thickBot="1" x14ac:dyDescent="0.3">
      <c r="A1531" s="126"/>
      <c r="B1531" s="129"/>
      <c r="C1531" s="124"/>
      <c r="D1531" s="149"/>
      <c r="E1531" s="150"/>
      <c r="F1531" s="150"/>
      <c r="G1531" s="128"/>
      <c r="H1531" s="128"/>
      <c r="I1531" s="140"/>
      <c r="J1531" s="112"/>
      <c r="K1531" s="166"/>
      <c r="L1531" s="111"/>
      <c r="M1531" s="166"/>
    </row>
    <row r="1532" spans="1:13" x14ac:dyDescent="0.25">
      <c r="A1532" s="126"/>
      <c r="B1532" s="129"/>
      <c r="C1532" s="124"/>
      <c r="D1532" s="149"/>
      <c r="E1532" s="150"/>
      <c r="F1532" s="150"/>
      <c r="G1532" s="128"/>
      <c r="H1532" s="128"/>
      <c r="I1532" s="140"/>
      <c r="J1532" s="193" t="s">
        <v>43</v>
      </c>
      <c r="K1532" s="223"/>
      <c r="L1532" s="111"/>
      <c r="M1532" s="166"/>
    </row>
    <row r="1533" spans="1:13" x14ac:dyDescent="0.25">
      <c r="A1533" s="126"/>
      <c r="B1533" s="129"/>
      <c r="C1533" s="124"/>
      <c r="D1533" s="149"/>
      <c r="E1533" s="150"/>
      <c r="F1533" s="150"/>
      <c r="G1533" s="128"/>
      <c r="H1533" s="128"/>
      <c r="I1533" s="140"/>
      <c r="J1533" s="112"/>
      <c r="K1533" s="166"/>
      <c r="L1533" s="111"/>
      <c r="M1533" s="166"/>
    </row>
    <row r="1534" spans="1:13" x14ac:dyDescent="0.25">
      <c r="A1534" s="126"/>
      <c r="B1534" s="129"/>
      <c r="C1534" s="124"/>
      <c r="D1534" s="149"/>
      <c r="E1534" s="150"/>
      <c r="F1534" s="150"/>
      <c r="G1534" s="128"/>
      <c r="H1534" s="128"/>
      <c r="I1534" s="140"/>
      <c r="J1534" s="194" t="s">
        <v>44</v>
      </c>
      <c r="K1534" s="224"/>
      <c r="L1534" s="111"/>
      <c r="M1534" s="166"/>
    </row>
    <row r="1535" spans="1:13" x14ac:dyDescent="0.25">
      <c r="A1535" s="126"/>
      <c r="B1535" s="129"/>
      <c r="C1535" s="124"/>
      <c r="D1535" s="149"/>
      <c r="E1535" s="150"/>
      <c r="F1535" s="150"/>
      <c r="G1535" s="128"/>
      <c r="H1535" s="128"/>
      <c r="I1535" s="140"/>
      <c r="J1535" s="112"/>
      <c r="K1535" s="166"/>
      <c r="L1535" s="111"/>
      <c r="M1535" s="166"/>
    </row>
    <row r="1536" spans="1:13" x14ac:dyDescent="0.25">
      <c r="A1536" s="130"/>
      <c r="B1536" s="129"/>
      <c r="C1536" s="124"/>
      <c r="D1536" s="149"/>
      <c r="E1536" s="150"/>
      <c r="F1536" s="150"/>
      <c r="G1536" s="128"/>
      <c r="H1536" s="128"/>
      <c r="I1536" s="140"/>
      <c r="J1536" s="194" t="s">
        <v>45</v>
      </c>
      <c r="K1536" s="224"/>
      <c r="L1536" s="111"/>
      <c r="M1536" s="166"/>
    </row>
    <row r="1537" spans="1:13" ht="5.0999999999999996" customHeight="1" x14ac:dyDescent="0.25">
      <c r="A1537" s="140"/>
      <c r="B1537" s="140"/>
      <c r="C1537" s="140"/>
      <c r="D1537" s="140"/>
      <c r="E1537" s="140"/>
      <c r="F1537" s="140"/>
      <c r="G1537" s="140"/>
      <c r="H1537" s="140"/>
      <c r="I1537" s="140"/>
      <c r="J1537" s="112"/>
      <c r="K1537" s="166"/>
      <c r="L1537" s="111"/>
      <c r="M1537" s="166"/>
    </row>
    <row r="1538" spans="1:13" ht="16.5" thickBot="1" x14ac:dyDescent="0.3">
      <c r="A1538" s="113"/>
      <c r="B1538" s="114"/>
      <c r="C1538" s="115"/>
      <c r="D1538" s="115"/>
      <c r="E1538" s="116"/>
      <c r="F1538" s="116"/>
      <c r="G1538" s="164"/>
      <c r="H1538" s="120"/>
      <c r="I1538" s="140"/>
      <c r="J1538" s="120"/>
      <c r="K1538" s="121"/>
      <c r="L1538" s="221"/>
      <c r="M1538" s="191"/>
    </row>
    <row r="1539" spans="1:13" ht="5.0999999999999996" customHeight="1" thickBot="1" x14ac:dyDescent="0.3">
      <c r="A1539" s="217"/>
      <c r="B1539" s="212"/>
      <c r="C1539" s="213"/>
      <c r="D1539" s="213"/>
      <c r="E1539" s="214"/>
      <c r="F1539" s="214"/>
      <c r="G1539" s="215"/>
      <c r="H1539" s="218"/>
      <c r="I1539" s="140"/>
      <c r="J1539" s="218"/>
      <c r="K1539" s="220"/>
      <c r="L1539" s="221"/>
      <c r="M1539" s="191"/>
    </row>
    <row r="1540" spans="1:13" ht="15.75" thickBot="1" x14ac:dyDescent="0.3">
      <c r="A1540" s="125"/>
      <c r="B1540" s="148"/>
      <c r="C1540" s="124"/>
      <c r="D1540" s="149"/>
      <c r="E1540" s="150"/>
      <c r="F1540" s="150"/>
      <c r="G1540" s="127"/>
      <c r="H1540" s="189"/>
      <c r="I1540" s="140"/>
      <c r="J1540" s="209"/>
      <c r="K1540" s="223"/>
      <c r="L1540" s="112"/>
      <c r="M1540" s="166"/>
    </row>
    <row r="1541" spans="1:13" ht="15.75" thickBot="1" x14ac:dyDescent="0.3">
      <c r="A1541" s="126"/>
      <c r="B1541" s="129"/>
      <c r="C1541" s="124"/>
      <c r="D1541" s="149"/>
      <c r="E1541" s="150"/>
      <c r="F1541" s="150"/>
      <c r="G1541" s="128"/>
      <c r="H1541" s="128"/>
      <c r="I1541" s="140"/>
      <c r="J1541" s="112"/>
      <c r="K1541" s="166"/>
      <c r="L1541" s="118"/>
      <c r="M1541" s="166"/>
    </row>
    <row r="1542" spans="1:13" x14ac:dyDescent="0.25">
      <c r="A1542" s="126"/>
      <c r="B1542" s="129"/>
      <c r="C1542" s="124"/>
      <c r="D1542" s="149"/>
      <c r="E1542" s="150"/>
      <c r="F1542" s="150"/>
      <c r="G1542" s="128"/>
      <c r="H1542" s="128"/>
      <c r="I1542" s="140"/>
      <c r="J1542" s="194" t="s">
        <v>39</v>
      </c>
      <c r="K1542" s="223"/>
      <c r="L1542" s="118"/>
      <c r="M1542" s="166"/>
    </row>
    <row r="1543" spans="1:13" ht="15.75" thickBot="1" x14ac:dyDescent="0.3">
      <c r="A1543" s="126"/>
      <c r="B1543" s="129"/>
      <c r="C1543" s="124"/>
      <c r="D1543" s="149"/>
      <c r="E1543" s="150"/>
      <c r="F1543" s="150"/>
      <c r="G1543" s="128"/>
      <c r="H1543" s="128"/>
      <c r="I1543" s="140"/>
      <c r="J1543" s="112"/>
      <c r="K1543" s="166"/>
      <c r="L1543" s="118"/>
      <c r="M1543" s="166"/>
    </row>
    <row r="1544" spans="1:13" x14ac:dyDescent="0.25">
      <c r="A1544" s="126"/>
      <c r="B1544" s="129"/>
      <c r="C1544" s="124"/>
      <c r="D1544" s="149"/>
      <c r="E1544" s="150"/>
      <c r="F1544" s="150"/>
      <c r="G1544" s="128"/>
      <c r="H1544" s="128"/>
      <c r="I1544" s="140"/>
      <c r="J1544" s="194" t="s">
        <v>40</v>
      </c>
      <c r="K1544" s="223"/>
      <c r="L1544" s="118"/>
      <c r="M1544" s="166"/>
    </row>
    <row r="1545" spans="1:13" ht="15.75" thickBot="1" x14ac:dyDescent="0.3">
      <c r="A1545" s="126"/>
      <c r="B1545" s="129"/>
      <c r="C1545" s="124"/>
      <c r="D1545" s="149"/>
      <c r="E1545" s="150"/>
      <c r="F1545" s="150"/>
      <c r="G1545" s="128"/>
      <c r="H1545" s="128"/>
      <c r="I1545" s="140"/>
      <c r="J1545" s="112"/>
      <c r="K1545" s="166"/>
      <c r="L1545" s="118"/>
      <c r="M1545" s="166"/>
    </row>
    <row r="1546" spans="1:13" x14ac:dyDescent="0.25">
      <c r="A1546" s="126"/>
      <c r="B1546" s="129"/>
      <c r="C1546" s="124"/>
      <c r="D1546" s="149"/>
      <c r="E1546" s="150"/>
      <c r="F1546" s="150"/>
      <c r="G1546" s="128"/>
      <c r="H1546" s="128"/>
      <c r="I1546" s="140"/>
      <c r="J1546" s="194" t="s">
        <v>41</v>
      </c>
      <c r="K1546" s="223"/>
      <c r="L1546" s="118"/>
      <c r="M1546" s="166"/>
    </row>
    <row r="1547" spans="1:13" ht="15.75" thickBot="1" x14ac:dyDescent="0.3">
      <c r="A1547" s="126"/>
      <c r="B1547" s="129"/>
      <c r="C1547" s="124"/>
      <c r="D1547" s="149"/>
      <c r="E1547" s="150"/>
      <c r="F1547" s="150"/>
      <c r="G1547" s="128"/>
      <c r="H1547" s="128"/>
      <c r="I1547" s="140"/>
      <c r="J1547" s="112"/>
      <c r="K1547" s="166"/>
      <c r="L1547" s="118"/>
      <c r="M1547" s="166"/>
    </row>
    <row r="1548" spans="1:13" x14ac:dyDescent="0.25">
      <c r="A1548" s="126"/>
      <c r="B1548" s="129"/>
      <c r="C1548" s="124"/>
      <c r="D1548" s="149"/>
      <c r="E1548" s="150"/>
      <c r="F1548" s="150"/>
      <c r="G1548" s="128"/>
      <c r="H1548" s="128"/>
      <c r="I1548" s="140"/>
      <c r="J1548" s="194" t="s">
        <v>42</v>
      </c>
      <c r="K1548" s="223"/>
      <c r="L1548" s="111"/>
      <c r="M1548" s="166"/>
    </row>
    <row r="1549" spans="1:13" ht="15.75" thickBot="1" x14ac:dyDescent="0.3">
      <c r="A1549" s="126"/>
      <c r="B1549" s="129"/>
      <c r="C1549" s="124"/>
      <c r="D1549" s="149"/>
      <c r="E1549" s="150"/>
      <c r="F1549" s="150"/>
      <c r="G1549" s="128"/>
      <c r="H1549" s="128"/>
      <c r="I1549" s="140"/>
      <c r="J1549" s="112"/>
      <c r="K1549" s="166"/>
      <c r="L1549" s="111"/>
      <c r="M1549" s="166"/>
    </row>
    <row r="1550" spans="1:13" x14ac:dyDescent="0.25">
      <c r="A1550" s="126"/>
      <c r="B1550" s="129"/>
      <c r="C1550" s="124"/>
      <c r="D1550" s="149"/>
      <c r="E1550" s="150"/>
      <c r="F1550" s="150"/>
      <c r="G1550" s="128"/>
      <c r="H1550" s="128"/>
      <c r="I1550" s="140"/>
      <c r="J1550" s="193" t="s">
        <v>43</v>
      </c>
      <c r="K1550" s="223"/>
      <c r="L1550" s="111"/>
      <c r="M1550" s="166"/>
    </row>
    <row r="1551" spans="1:13" x14ac:dyDescent="0.25">
      <c r="A1551" s="126"/>
      <c r="B1551" s="129"/>
      <c r="C1551" s="124"/>
      <c r="D1551" s="149"/>
      <c r="E1551" s="150"/>
      <c r="F1551" s="150"/>
      <c r="G1551" s="128"/>
      <c r="H1551" s="128"/>
      <c r="I1551" s="140"/>
      <c r="J1551" s="112"/>
      <c r="K1551" s="166"/>
      <c r="L1551" s="111"/>
      <c r="M1551" s="166"/>
    </row>
    <row r="1552" spans="1:13" x14ac:dyDescent="0.25">
      <c r="A1552" s="126"/>
      <c r="B1552" s="129"/>
      <c r="C1552" s="124"/>
      <c r="D1552" s="149"/>
      <c r="E1552" s="150"/>
      <c r="F1552" s="150"/>
      <c r="G1552" s="128"/>
      <c r="H1552" s="128"/>
      <c r="I1552" s="140"/>
      <c r="J1552" s="194" t="s">
        <v>44</v>
      </c>
      <c r="K1552" s="224"/>
      <c r="L1552" s="111"/>
      <c r="M1552" s="166"/>
    </row>
    <row r="1553" spans="1:13" x14ac:dyDescent="0.25">
      <c r="A1553" s="126"/>
      <c r="B1553" s="129"/>
      <c r="C1553" s="124"/>
      <c r="D1553" s="149"/>
      <c r="E1553" s="150"/>
      <c r="F1553" s="150"/>
      <c r="G1553" s="128"/>
      <c r="H1553" s="128"/>
      <c r="I1553" s="140"/>
      <c r="J1553" s="112"/>
      <c r="K1553" s="166"/>
      <c r="L1553" s="111"/>
      <c r="M1553" s="166"/>
    </row>
    <row r="1554" spans="1:13" x14ac:dyDescent="0.25">
      <c r="A1554" s="130"/>
      <c r="B1554" s="129"/>
      <c r="C1554" s="124"/>
      <c r="D1554" s="149"/>
      <c r="E1554" s="150"/>
      <c r="F1554" s="150"/>
      <c r="G1554" s="128"/>
      <c r="H1554" s="128"/>
      <c r="I1554" s="140"/>
      <c r="J1554" s="194" t="s">
        <v>45</v>
      </c>
      <c r="K1554" s="224"/>
      <c r="L1554" s="111"/>
      <c r="M1554" s="166"/>
    </row>
    <row r="1555" spans="1:13" ht="5.0999999999999996" customHeight="1" x14ac:dyDescent="0.25">
      <c r="A1555" s="140"/>
      <c r="B1555" s="140"/>
      <c r="C1555" s="140"/>
      <c r="D1555" s="140"/>
      <c r="E1555" s="140"/>
      <c r="F1555" s="140"/>
      <c r="G1555" s="140"/>
      <c r="H1555" s="140"/>
      <c r="I1555" s="140"/>
      <c r="J1555" s="112"/>
      <c r="K1555" s="166"/>
      <c r="L1555" s="111"/>
      <c r="M1555" s="166"/>
    </row>
    <row r="1556" spans="1:13" ht="16.5" thickBot="1" x14ac:dyDescent="0.3">
      <c r="A1556" s="113"/>
      <c r="B1556" s="114"/>
      <c r="C1556" s="115"/>
      <c r="D1556" s="115"/>
      <c r="E1556" s="116"/>
      <c r="F1556" s="116"/>
      <c r="G1556" s="164"/>
      <c r="H1556" s="120"/>
      <c r="I1556" s="140"/>
      <c r="J1556" s="120"/>
      <c r="K1556" s="121"/>
      <c r="L1556" s="221"/>
      <c r="M1556" s="191"/>
    </row>
    <row r="1557" spans="1:13" ht="5.0999999999999996" customHeight="1" thickBot="1" x14ac:dyDescent="0.3">
      <c r="A1557" s="217"/>
      <c r="B1557" s="212"/>
      <c r="C1557" s="213"/>
      <c r="D1557" s="213"/>
      <c r="E1557" s="214"/>
      <c r="F1557" s="214"/>
      <c r="G1557" s="215"/>
      <c r="H1557" s="218"/>
      <c r="I1557" s="140"/>
      <c r="J1557" s="218"/>
      <c r="K1557" s="220"/>
      <c r="L1557" s="221"/>
      <c r="M1557" s="191"/>
    </row>
    <row r="1558" spans="1:13" ht="15.75" thickBot="1" x14ac:dyDescent="0.3">
      <c r="A1558" s="125"/>
      <c r="B1558" s="148"/>
      <c r="C1558" s="124"/>
      <c r="D1558" s="149"/>
      <c r="E1558" s="150"/>
      <c r="F1558" s="150"/>
      <c r="G1558" s="127"/>
      <c r="H1558" s="189"/>
      <c r="I1558" s="140"/>
      <c r="J1558" s="209"/>
      <c r="K1558" s="223"/>
      <c r="L1558" s="112"/>
      <c r="M1558" s="166"/>
    </row>
    <row r="1559" spans="1:13" ht="15.75" thickBot="1" x14ac:dyDescent="0.3">
      <c r="A1559" s="126"/>
      <c r="B1559" s="129"/>
      <c r="C1559" s="124"/>
      <c r="D1559" s="149"/>
      <c r="E1559" s="150"/>
      <c r="F1559" s="150"/>
      <c r="G1559" s="128"/>
      <c r="H1559" s="128"/>
      <c r="I1559" s="140"/>
      <c r="J1559" s="112"/>
      <c r="K1559" s="166"/>
      <c r="L1559" s="118"/>
      <c r="M1559" s="166"/>
    </row>
    <row r="1560" spans="1:13" x14ac:dyDescent="0.25">
      <c r="A1560" s="126"/>
      <c r="B1560" s="129"/>
      <c r="C1560" s="124"/>
      <c r="D1560" s="149"/>
      <c r="E1560" s="150"/>
      <c r="F1560" s="150"/>
      <c r="G1560" s="128"/>
      <c r="H1560" s="128"/>
      <c r="I1560" s="140"/>
      <c r="J1560" s="194" t="s">
        <v>39</v>
      </c>
      <c r="K1560" s="223"/>
      <c r="L1560" s="118"/>
      <c r="M1560" s="166"/>
    </row>
    <row r="1561" spans="1:13" ht="15.75" thickBot="1" x14ac:dyDescent="0.3">
      <c r="A1561" s="126"/>
      <c r="B1561" s="129"/>
      <c r="C1561" s="124"/>
      <c r="D1561" s="149"/>
      <c r="E1561" s="150"/>
      <c r="F1561" s="150"/>
      <c r="G1561" s="128"/>
      <c r="H1561" s="128"/>
      <c r="I1561" s="140"/>
      <c r="J1561" s="112"/>
      <c r="K1561" s="166"/>
      <c r="L1561" s="118"/>
      <c r="M1561" s="166"/>
    </row>
    <row r="1562" spans="1:13" x14ac:dyDescent="0.25">
      <c r="A1562" s="126"/>
      <c r="B1562" s="129"/>
      <c r="C1562" s="124"/>
      <c r="D1562" s="149"/>
      <c r="E1562" s="150"/>
      <c r="F1562" s="150"/>
      <c r="G1562" s="128"/>
      <c r="H1562" s="128"/>
      <c r="I1562" s="140"/>
      <c r="J1562" s="194" t="s">
        <v>40</v>
      </c>
      <c r="K1562" s="223"/>
      <c r="L1562" s="118"/>
      <c r="M1562" s="166"/>
    </row>
    <row r="1563" spans="1:13" ht="15.75" thickBot="1" x14ac:dyDescent="0.3">
      <c r="A1563" s="126"/>
      <c r="B1563" s="129"/>
      <c r="C1563" s="124"/>
      <c r="D1563" s="149"/>
      <c r="E1563" s="150"/>
      <c r="F1563" s="150"/>
      <c r="G1563" s="128"/>
      <c r="H1563" s="128"/>
      <c r="I1563" s="140"/>
      <c r="J1563" s="112"/>
      <c r="K1563" s="166"/>
      <c r="L1563" s="118"/>
      <c r="M1563" s="166"/>
    </row>
    <row r="1564" spans="1:13" x14ac:dyDescent="0.25">
      <c r="A1564" s="126"/>
      <c r="B1564" s="129"/>
      <c r="C1564" s="124"/>
      <c r="D1564" s="149"/>
      <c r="E1564" s="150"/>
      <c r="F1564" s="150"/>
      <c r="G1564" s="128"/>
      <c r="H1564" s="128"/>
      <c r="I1564" s="140"/>
      <c r="J1564" s="194" t="s">
        <v>41</v>
      </c>
      <c r="K1564" s="223"/>
      <c r="L1564" s="118"/>
      <c r="M1564" s="166"/>
    </row>
    <row r="1565" spans="1:13" ht="15.75" thickBot="1" x14ac:dyDescent="0.3">
      <c r="A1565" s="126"/>
      <c r="B1565" s="129"/>
      <c r="C1565" s="124"/>
      <c r="D1565" s="149"/>
      <c r="E1565" s="150"/>
      <c r="F1565" s="150"/>
      <c r="G1565" s="128"/>
      <c r="H1565" s="128"/>
      <c r="I1565" s="140"/>
      <c r="J1565" s="112"/>
      <c r="K1565" s="166"/>
      <c r="L1565" s="118"/>
      <c r="M1565" s="166"/>
    </row>
    <row r="1566" spans="1:13" x14ac:dyDescent="0.25">
      <c r="A1566" s="126"/>
      <c r="B1566" s="129"/>
      <c r="C1566" s="124"/>
      <c r="D1566" s="149"/>
      <c r="E1566" s="150"/>
      <c r="F1566" s="150"/>
      <c r="G1566" s="128"/>
      <c r="H1566" s="128"/>
      <c r="I1566" s="140"/>
      <c r="J1566" s="194" t="s">
        <v>42</v>
      </c>
      <c r="K1566" s="223"/>
      <c r="L1566" s="111"/>
      <c r="M1566" s="166"/>
    </row>
    <row r="1567" spans="1:13" ht="15.75" thickBot="1" x14ac:dyDescent="0.3">
      <c r="A1567" s="126"/>
      <c r="B1567" s="129"/>
      <c r="C1567" s="124"/>
      <c r="D1567" s="149"/>
      <c r="E1567" s="150"/>
      <c r="F1567" s="150"/>
      <c r="G1567" s="128"/>
      <c r="H1567" s="128"/>
      <c r="I1567" s="140"/>
      <c r="J1567" s="112"/>
      <c r="K1567" s="166"/>
      <c r="L1567" s="111"/>
      <c r="M1567" s="166"/>
    </row>
    <row r="1568" spans="1:13" x14ac:dyDescent="0.25">
      <c r="A1568" s="126"/>
      <c r="B1568" s="129"/>
      <c r="C1568" s="124"/>
      <c r="D1568" s="149"/>
      <c r="E1568" s="150"/>
      <c r="F1568" s="150"/>
      <c r="G1568" s="128"/>
      <c r="H1568" s="128"/>
      <c r="I1568" s="140"/>
      <c r="J1568" s="193" t="s">
        <v>43</v>
      </c>
      <c r="K1568" s="223"/>
      <c r="L1568" s="111"/>
      <c r="M1568" s="166"/>
    </row>
    <row r="1569" spans="1:13" x14ac:dyDescent="0.25">
      <c r="A1569" s="126"/>
      <c r="B1569" s="129"/>
      <c r="C1569" s="124"/>
      <c r="D1569" s="149"/>
      <c r="E1569" s="150"/>
      <c r="F1569" s="150"/>
      <c r="G1569" s="128"/>
      <c r="H1569" s="128"/>
      <c r="I1569" s="140"/>
      <c r="J1569" s="112"/>
      <c r="K1569" s="166"/>
      <c r="L1569" s="111"/>
      <c r="M1569" s="166"/>
    </row>
    <row r="1570" spans="1:13" x14ac:dyDescent="0.25">
      <c r="A1570" s="126"/>
      <c r="B1570" s="129"/>
      <c r="C1570" s="124"/>
      <c r="D1570" s="149"/>
      <c r="E1570" s="150"/>
      <c r="F1570" s="150"/>
      <c r="G1570" s="128"/>
      <c r="H1570" s="128"/>
      <c r="I1570" s="140"/>
      <c r="J1570" s="194" t="s">
        <v>44</v>
      </c>
      <c r="K1570" s="224"/>
      <c r="L1570" s="111"/>
      <c r="M1570" s="166"/>
    </row>
    <row r="1571" spans="1:13" x14ac:dyDescent="0.25">
      <c r="A1571" s="126"/>
      <c r="B1571" s="129"/>
      <c r="C1571" s="124"/>
      <c r="D1571" s="149"/>
      <c r="E1571" s="150"/>
      <c r="F1571" s="150"/>
      <c r="G1571" s="128"/>
      <c r="H1571" s="128"/>
      <c r="I1571" s="140"/>
      <c r="J1571" s="112"/>
      <c r="K1571" s="166"/>
      <c r="L1571" s="111"/>
      <c r="M1571" s="166"/>
    </row>
    <row r="1572" spans="1:13" x14ac:dyDescent="0.25">
      <c r="A1572" s="130"/>
      <c r="B1572" s="129"/>
      <c r="C1572" s="124"/>
      <c r="D1572" s="149"/>
      <c r="E1572" s="150"/>
      <c r="F1572" s="150"/>
      <c r="G1572" s="128"/>
      <c r="H1572" s="128"/>
      <c r="I1572" s="140"/>
      <c r="J1572" s="194" t="s">
        <v>45</v>
      </c>
      <c r="K1572" s="224"/>
      <c r="L1572" s="111"/>
      <c r="M1572" s="166"/>
    </row>
    <row r="1573" spans="1:13" ht="5.0999999999999996" customHeight="1" x14ac:dyDescent="0.25">
      <c r="A1573" s="140"/>
      <c r="B1573" s="140"/>
      <c r="C1573" s="140"/>
      <c r="D1573" s="140"/>
      <c r="E1573" s="140"/>
      <c r="F1573" s="140"/>
      <c r="G1573" s="140"/>
      <c r="H1573" s="140"/>
      <c r="I1573" s="140"/>
      <c r="J1573" s="112"/>
      <c r="K1573" s="166"/>
      <c r="L1573" s="111"/>
      <c r="M1573" s="166"/>
    </row>
    <row r="1574" spans="1:13" ht="16.5" thickBot="1" x14ac:dyDescent="0.3">
      <c r="A1574" s="113"/>
      <c r="B1574" s="114"/>
      <c r="C1574" s="115"/>
      <c r="D1574" s="115"/>
      <c r="E1574" s="116"/>
      <c r="F1574" s="116"/>
      <c r="G1574" s="164"/>
      <c r="H1574" s="120"/>
      <c r="I1574" s="140"/>
      <c r="J1574" s="120"/>
      <c r="K1574" s="121"/>
      <c r="L1574" s="221"/>
      <c r="M1574" s="191"/>
    </row>
    <row r="1575" spans="1:13" ht="5.0999999999999996" customHeight="1" thickBot="1" x14ac:dyDescent="0.3">
      <c r="A1575" s="217"/>
      <c r="B1575" s="212"/>
      <c r="C1575" s="213"/>
      <c r="D1575" s="213"/>
      <c r="E1575" s="214"/>
      <c r="F1575" s="214"/>
      <c r="G1575" s="215"/>
      <c r="H1575" s="218"/>
      <c r="I1575" s="140"/>
      <c r="J1575" s="218"/>
      <c r="K1575" s="220"/>
      <c r="L1575" s="221"/>
      <c r="M1575" s="191"/>
    </row>
    <row r="1576" spans="1:13" ht="15.75" thickBot="1" x14ac:dyDescent="0.3">
      <c r="A1576" s="125"/>
      <c r="B1576" s="148"/>
      <c r="C1576" s="124"/>
      <c r="D1576" s="149"/>
      <c r="E1576" s="150"/>
      <c r="F1576" s="150"/>
      <c r="G1576" s="127"/>
      <c r="H1576" s="189"/>
      <c r="I1576" s="140"/>
      <c r="J1576" s="209"/>
      <c r="K1576" s="223"/>
      <c r="L1576" s="112"/>
      <c r="M1576" s="166"/>
    </row>
    <row r="1577" spans="1:13" ht="15.75" thickBot="1" x14ac:dyDescent="0.3">
      <c r="A1577" s="126"/>
      <c r="B1577" s="129"/>
      <c r="C1577" s="124"/>
      <c r="D1577" s="149"/>
      <c r="E1577" s="150"/>
      <c r="F1577" s="150"/>
      <c r="G1577" s="128"/>
      <c r="H1577" s="128"/>
      <c r="I1577" s="140"/>
      <c r="J1577" s="112"/>
      <c r="K1577" s="166"/>
      <c r="L1577" s="118"/>
      <c r="M1577" s="166"/>
    </row>
    <row r="1578" spans="1:13" x14ac:dyDescent="0.25">
      <c r="A1578" s="126"/>
      <c r="B1578" s="129"/>
      <c r="C1578" s="124"/>
      <c r="D1578" s="149"/>
      <c r="E1578" s="150"/>
      <c r="F1578" s="150"/>
      <c r="G1578" s="128"/>
      <c r="H1578" s="128"/>
      <c r="I1578" s="140"/>
      <c r="J1578" s="194" t="s">
        <v>39</v>
      </c>
      <c r="K1578" s="223"/>
      <c r="L1578" s="118"/>
      <c r="M1578" s="166"/>
    </row>
    <row r="1579" spans="1:13" ht="15.75" thickBot="1" x14ac:dyDescent="0.3">
      <c r="A1579" s="126"/>
      <c r="B1579" s="129"/>
      <c r="C1579" s="124"/>
      <c r="D1579" s="149"/>
      <c r="E1579" s="150"/>
      <c r="F1579" s="150"/>
      <c r="G1579" s="128"/>
      <c r="H1579" s="128"/>
      <c r="I1579" s="140"/>
      <c r="J1579" s="112"/>
      <c r="K1579" s="166"/>
      <c r="L1579" s="118"/>
      <c r="M1579" s="166"/>
    </row>
    <row r="1580" spans="1:13" x14ac:dyDescent="0.25">
      <c r="A1580" s="126"/>
      <c r="B1580" s="129"/>
      <c r="C1580" s="124"/>
      <c r="D1580" s="149"/>
      <c r="E1580" s="150"/>
      <c r="F1580" s="150"/>
      <c r="G1580" s="128"/>
      <c r="H1580" s="128"/>
      <c r="I1580" s="140"/>
      <c r="J1580" s="194" t="s">
        <v>40</v>
      </c>
      <c r="K1580" s="223"/>
      <c r="L1580" s="118"/>
      <c r="M1580" s="166"/>
    </row>
    <row r="1581" spans="1:13" ht="15.75" thickBot="1" x14ac:dyDescent="0.3">
      <c r="A1581" s="126"/>
      <c r="B1581" s="129"/>
      <c r="C1581" s="124"/>
      <c r="D1581" s="149"/>
      <c r="E1581" s="150"/>
      <c r="F1581" s="150"/>
      <c r="G1581" s="128"/>
      <c r="H1581" s="128"/>
      <c r="I1581" s="140"/>
      <c r="J1581" s="112"/>
      <c r="K1581" s="166"/>
      <c r="L1581" s="118"/>
      <c r="M1581" s="166"/>
    </row>
    <row r="1582" spans="1:13" x14ac:dyDescent="0.25">
      <c r="A1582" s="126"/>
      <c r="B1582" s="129"/>
      <c r="C1582" s="124"/>
      <c r="D1582" s="149"/>
      <c r="E1582" s="150"/>
      <c r="F1582" s="150"/>
      <c r="G1582" s="128"/>
      <c r="H1582" s="128"/>
      <c r="I1582" s="140"/>
      <c r="J1582" s="194" t="s">
        <v>41</v>
      </c>
      <c r="K1582" s="223"/>
      <c r="L1582" s="118"/>
      <c r="M1582" s="166"/>
    </row>
    <row r="1583" spans="1:13" ht="15.75" thickBot="1" x14ac:dyDescent="0.3">
      <c r="A1583" s="126"/>
      <c r="B1583" s="129"/>
      <c r="C1583" s="124"/>
      <c r="D1583" s="149"/>
      <c r="E1583" s="150"/>
      <c r="F1583" s="150"/>
      <c r="G1583" s="128"/>
      <c r="H1583" s="128"/>
      <c r="I1583" s="140"/>
      <c r="J1583" s="112"/>
      <c r="K1583" s="166"/>
      <c r="L1583" s="118"/>
      <c r="M1583" s="166"/>
    </row>
    <row r="1584" spans="1:13" x14ac:dyDescent="0.25">
      <c r="A1584" s="126"/>
      <c r="B1584" s="129"/>
      <c r="C1584" s="124"/>
      <c r="D1584" s="149"/>
      <c r="E1584" s="150"/>
      <c r="F1584" s="150"/>
      <c r="G1584" s="128"/>
      <c r="H1584" s="128"/>
      <c r="I1584" s="140"/>
      <c r="J1584" s="194" t="s">
        <v>42</v>
      </c>
      <c r="K1584" s="223"/>
      <c r="L1584" s="111"/>
      <c r="M1584" s="166"/>
    </row>
    <row r="1585" spans="1:13" ht="15.75" thickBot="1" x14ac:dyDescent="0.3">
      <c r="A1585" s="126"/>
      <c r="B1585" s="129"/>
      <c r="C1585" s="124"/>
      <c r="D1585" s="149"/>
      <c r="E1585" s="150"/>
      <c r="F1585" s="150"/>
      <c r="G1585" s="128"/>
      <c r="H1585" s="128"/>
      <c r="I1585" s="140"/>
      <c r="J1585" s="112"/>
      <c r="K1585" s="166"/>
      <c r="L1585" s="111"/>
      <c r="M1585" s="166"/>
    </row>
    <row r="1586" spans="1:13" x14ac:dyDescent="0.25">
      <c r="A1586" s="126"/>
      <c r="B1586" s="129"/>
      <c r="C1586" s="124"/>
      <c r="D1586" s="149"/>
      <c r="E1586" s="150"/>
      <c r="F1586" s="150"/>
      <c r="G1586" s="128"/>
      <c r="H1586" s="128"/>
      <c r="I1586" s="140"/>
      <c r="J1586" s="193" t="s">
        <v>43</v>
      </c>
      <c r="K1586" s="223"/>
      <c r="L1586" s="111"/>
      <c r="M1586" s="166"/>
    </row>
    <row r="1587" spans="1:13" x14ac:dyDescent="0.25">
      <c r="A1587" s="126"/>
      <c r="B1587" s="129"/>
      <c r="C1587" s="124"/>
      <c r="D1587" s="149"/>
      <c r="E1587" s="150"/>
      <c r="F1587" s="150"/>
      <c r="G1587" s="128"/>
      <c r="H1587" s="128"/>
      <c r="I1587" s="140"/>
      <c r="J1587" s="112"/>
      <c r="K1587" s="166"/>
      <c r="L1587" s="111"/>
      <c r="M1587" s="166"/>
    </row>
    <row r="1588" spans="1:13" x14ac:dyDescent="0.25">
      <c r="A1588" s="126"/>
      <c r="B1588" s="129"/>
      <c r="C1588" s="124"/>
      <c r="D1588" s="149"/>
      <c r="E1588" s="150"/>
      <c r="F1588" s="150"/>
      <c r="G1588" s="128"/>
      <c r="H1588" s="128"/>
      <c r="I1588" s="140"/>
      <c r="J1588" s="194" t="s">
        <v>44</v>
      </c>
      <c r="K1588" s="224"/>
      <c r="L1588" s="111"/>
      <c r="M1588" s="166"/>
    </row>
    <row r="1589" spans="1:13" x14ac:dyDescent="0.25">
      <c r="A1589" s="126"/>
      <c r="B1589" s="129"/>
      <c r="C1589" s="124"/>
      <c r="D1589" s="149"/>
      <c r="E1589" s="150"/>
      <c r="F1589" s="150"/>
      <c r="G1589" s="128"/>
      <c r="H1589" s="128"/>
      <c r="I1589" s="140"/>
      <c r="J1589" s="112"/>
      <c r="K1589" s="166"/>
      <c r="L1589" s="111"/>
      <c r="M1589" s="166"/>
    </row>
    <row r="1590" spans="1:13" x14ac:dyDescent="0.25">
      <c r="A1590" s="130"/>
      <c r="B1590" s="129"/>
      <c r="C1590" s="124"/>
      <c r="D1590" s="149"/>
      <c r="E1590" s="150"/>
      <c r="F1590" s="150"/>
      <c r="G1590" s="128"/>
      <c r="H1590" s="128"/>
      <c r="I1590" s="140"/>
      <c r="J1590" s="194" t="s">
        <v>45</v>
      </c>
      <c r="K1590" s="224"/>
      <c r="L1590" s="111"/>
      <c r="M1590" s="166"/>
    </row>
    <row r="1591" spans="1:13" ht="5.0999999999999996" customHeight="1" x14ac:dyDescent="0.25">
      <c r="A1591" s="140"/>
      <c r="B1591" s="140"/>
      <c r="C1591" s="140"/>
      <c r="D1591" s="140"/>
      <c r="E1591" s="140"/>
      <c r="F1591" s="140"/>
      <c r="G1591" s="140"/>
      <c r="H1591" s="140"/>
      <c r="I1591" s="140"/>
      <c r="J1591" s="112"/>
      <c r="K1591" s="166"/>
      <c r="L1591" s="111"/>
      <c r="M1591" s="166"/>
    </row>
    <row r="1592" spans="1:13" ht="16.5" thickBot="1" x14ac:dyDescent="0.3">
      <c r="A1592" s="113"/>
      <c r="B1592" s="114"/>
      <c r="C1592" s="115"/>
      <c r="D1592" s="115"/>
      <c r="E1592" s="116"/>
      <c r="F1592" s="116"/>
      <c r="G1592" s="164"/>
      <c r="H1592" s="120"/>
      <c r="I1592" s="140"/>
      <c r="J1592" s="120"/>
      <c r="K1592" s="121"/>
      <c r="L1592" s="221"/>
      <c r="M1592" s="191"/>
    </row>
    <row r="1593" spans="1:13" ht="5.0999999999999996" customHeight="1" thickBot="1" x14ac:dyDescent="0.3">
      <c r="A1593" s="217"/>
      <c r="B1593" s="212"/>
      <c r="C1593" s="213"/>
      <c r="D1593" s="213"/>
      <c r="E1593" s="214"/>
      <c r="F1593" s="214"/>
      <c r="G1593" s="215"/>
      <c r="H1593" s="218"/>
      <c r="I1593" s="140"/>
      <c r="J1593" s="218"/>
      <c r="K1593" s="220"/>
      <c r="L1593" s="221"/>
      <c r="M1593" s="191"/>
    </row>
    <row r="1594" spans="1:13" ht="15.75" thickBot="1" x14ac:dyDescent="0.3">
      <c r="A1594" s="125"/>
      <c r="B1594" s="148"/>
      <c r="C1594" s="124"/>
      <c r="D1594" s="149"/>
      <c r="E1594" s="150"/>
      <c r="F1594" s="150"/>
      <c r="G1594" s="127"/>
      <c r="H1594" s="189"/>
      <c r="I1594" s="140"/>
      <c r="J1594" s="209"/>
      <c r="K1594" s="223"/>
      <c r="L1594" s="112"/>
      <c r="M1594" s="166"/>
    </row>
    <row r="1595" spans="1:13" ht="15.75" thickBot="1" x14ac:dyDescent="0.3">
      <c r="A1595" s="126"/>
      <c r="B1595" s="129"/>
      <c r="C1595" s="124"/>
      <c r="D1595" s="149"/>
      <c r="E1595" s="150"/>
      <c r="F1595" s="150"/>
      <c r="G1595" s="128"/>
      <c r="H1595" s="128"/>
      <c r="I1595" s="140"/>
      <c r="J1595" s="112"/>
      <c r="K1595" s="166"/>
      <c r="L1595" s="118"/>
      <c r="M1595" s="166"/>
    </row>
    <row r="1596" spans="1:13" x14ac:dyDescent="0.25">
      <c r="A1596" s="126"/>
      <c r="B1596" s="129"/>
      <c r="C1596" s="124"/>
      <c r="D1596" s="149"/>
      <c r="E1596" s="150"/>
      <c r="F1596" s="150"/>
      <c r="G1596" s="128"/>
      <c r="H1596" s="128"/>
      <c r="I1596" s="140"/>
      <c r="J1596" s="194" t="s">
        <v>39</v>
      </c>
      <c r="K1596" s="223"/>
      <c r="L1596" s="118"/>
      <c r="M1596" s="166"/>
    </row>
    <row r="1597" spans="1:13" ht="15.75" thickBot="1" x14ac:dyDescent="0.3">
      <c r="A1597" s="126"/>
      <c r="B1597" s="129"/>
      <c r="C1597" s="124"/>
      <c r="D1597" s="149"/>
      <c r="E1597" s="150"/>
      <c r="F1597" s="150"/>
      <c r="G1597" s="128"/>
      <c r="H1597" s="128"/>
      <c r="I1597" s="140"/>
      <c r="J1597" s="112"/>
      <c r="K1597" s="166"/>
      <c r="L1597" s="118"/>
      <c r="M1597" s="166"/>
    </row>
    <row r="1598" spans="1:13" x14ac:dyDescent="0.25">
      <c r="A1598" s="126"/>
      <c r="B1598" s="129"/>
      <c r="C1598" s="124"/>
      <c r="D1598" s="149"/>
      <c r="E1598" s="150"/>
      <c r="F1598" s="150"/>
      <c r="G1598" s="128"/>
      <c r="H1598" s="128"/>
      <c r="I1598" s="140"/>
      <c r="J1598" s="194" t="s">
        <v>40</v>
      </c>
      <c r="K1598" s="223"/>
      <c r="L1598" s="118"/>
      <c r="M1598" s="166"/>
    </row>
    <row r="1599" spans="1:13" ht="15.75" thickBot="1" x14ac:dyDescent="0.3">
      <c r="A1599" s="126"/>
      <c r="B1599" s="129"/>
      <c r="C1599" s="124"/>
      <c r="D1599" s="149"/>
      <c r="E1599" s="150"/>
      <c r="F1599" s="150"/>
      <c r="G1599" s="128"/>
      <c r="H1599" s="128"/>
      <c r="I1599" s="140"/>
      <c r="J1599" s="112"/>
      <c r="K1599" s="166"/>
      <c r="L1599" s="118"/>
      <c r="M1599" s="166"/>
    </row>
    <row r="1600" spans="1:13" x14ac:dyDescent="0.25">
      <c r="A1600" s="126"/>
      <c r="B1600" s="129"/>
      <c r="C1600" s="124"/>
      <c r="D1600" s="149"/>
      <c r="E1600" s="150"/>
      <c r="F1600" s="150"/>
      <c r="G1600" s="128"/>
      <c r="H1600" s="128"/>
      <c r="I1600" s="140"/>
      <c r="J1600" s="194" t="s">
        <v>41</v>
      </c>
      <c r="K1600" s="223"/>
      <c r="L1600" s="118"/>
      <c r="M1600" s="166"/>
    </row>
    <row r="1601" spans="1:13" ht="15.75" thickBot="1" x14ac:dyDescent="0.3">
      <c r="A1601" s="126"/>
      <c r="B1601" s="129"/>
      <c r="C1601" s="124"/>
      <c r="D1601" s="149"/>
      <c r="E1601" s="150"/>
      <c r="F1601" s="150"/>
      <c r="G1601" s="128"/>
      <c r="H1601" s="128"/>
      <c r="I1601" s="140"/>
      <c r="J1601" s="112"/>
      <c r="K1601" s="166"/>
      <c r="L1601" s="118"/>
      <c r="M1601" s="166"/>
    </row>
    <row r="1602" spans="1:13" x14ac:dyDescent="0.25">
      <c r="A1602" s="126"/>
      <c r="B1602" s="129"/>
      <c r="C1602" s="124"/>
      <c r="D1602" s="149"/>
      <c r="E1602" s="150"/>
      <c r="F1602" s="150"/>
      <c r="G1602" s="128"/>
      <c r="H1602" s="128"/>
      <c r="I1602" s="140"/>
      <c r="J1602" s="194" t="s">
        <v>42</v>
      </c>
      <c r="K1602" s="223"/>
      <c r="L1602" s="111"/>
      <c r="M1602" s="166"/>
    </row>
    <row r="1603" spans="1:13" ht="15.75" thickBot="1" x14ac:dyDescent="0.3">
      <c r="A1603" s="126"/>
      <c r="B1603" s="129"/>
      <c r="C1603" s="124"/>
      <c r="D1603" s="149"/>
      <c r="E1603" s="150"/>
      <c r="F1603" s="150"/>
      <c r="G1603" s="128"/>
      <c r="H1603" s="128"/>
      <c r="I1603" s="140"/>
      <c r="J1603" s="112"/>
      <c r="K1603" s="166"/>
      <c r="L1603" s="111"/>
      <c r="M1603" s="166"/>
    </row>
    <row r="1604" spans="1:13" x14ac:dyDescent="0.25">
      <c r="A1604" s="126"/>
      <c r="B1604" s="129"/>
      <c r="C1604" s="124"/>
      <c r="D1604" s="149"/>
      <c r="E1604" s="150"/>
      <c r="F1604" s="150"/>
      <c r="G1604" s="128"/>
      <c r="H1604" s="128"/>
      <c r="I1604" s="140"/>
      <c r="J1604" s="193" t="s">
        <v>43</v>
      </c>
      <c r="K1604" s="223"/>
      <c r="L1604" s="111"/>
      <c r="M1604" s="166"/>
    </row>
    <row r="1605" spans="1:13" x14ac:dyDescent="0.25">
      <c r="A1605" s="126"/>
      <c r="B1605" s="129"/>
      <c r="C1605" s="124"/>
      <c r="D1605" s="149"/>
      <c r="E1605" s="150"/>
      <c r="F1605" s="150"/>
      <c r="G1605" s="128"/>
      <c r="H1605" s="128"/>
      <c r="I1605" s="140"/>
      <c r="J1605" s="112"/>
      <c r="K1605" s="166"/>
      <c r="L1605" s="111"/>
      <c r="M1605" s="166"/>
    </row>
    <row r="1606" spans="1:13" x14ac:dyDescent="0.25">
      <c r="A1606" s="126"/>
      <c r="B1606" s="129"/>
      <c r="C1606" s="124"/>
      <c r="D1606" s="149"/>
      <c r="E1606" s="150"/>
      <c r="F1606" s="150"/>
      <c r="G1606" s="128"/>
      <c r="H1606" s="128"/>
      <c r="I1606" s="140"/>
      <c r="J1606" s="194" t="s">
        <v>44</v>
      </c>
      <c r="K1606" s="224"/>
      <c r="L1606" s="111"/>
      <c r="M1606" s="166"/>
    </row>
    <row r="1607" spans="1:13" x14ac:dyDescent="0.25">
      <c r="A1607" s="126"/>
      <c r="B1607" s="129"/>
      <c r="C1607" s="124"/>
      <c r="D1607" s="149"/>
      <c r="E1607" s="150"/>
      <c r="F1607" s="150"/>
      <c r="G1607" s="128"/>
      <c r="H1607" s="128"/>
      <c r="I1607" s="140"/>
      <c r="J1607" s="112"/>
      <c r="K1607" s="166"/>
      <c r="L1607" s="111"/>
      <c r="M1607" s="166"/>
    </row>
    <row r="1608" spans="1:13" x14ac:dyDescent="0.25">
      <c r="A1608" s="130"/>
      <c r="B1608" s="129"/>
      <c r="C1608" s="124"/>
      <c r="D1608" s="149"/>
      <c r="E1608" s="150"/>
      <c r="F1608" s="150"/>
      <c r="G1608" s="128"/>
      <c r="H1608" s="128"/>
      <c r="I1608" s="140"/>
      <c r="J1608" s="194" t="s">
        <v>45</v>
      </c>
      <c r="K1608" s="224"/>
      <c r="L1608" s="111"/>
      <c r="M1608" s="166"/>
    </row>
    <row r="1609" spans="1:13" ht="5.0999999999999996" customHeight="1" x14ac:dyDescent="0.25">
      <c r="A1609" s="140"/>
      <c r="B1609" s="140"/>
      <c r="C1609" s="140"/>
      <c r="D1609" s="140"/>
      <c r="E1609" s="140"/>
      <c r="F1609" s="140"/>
      <c r="G1609" s="140"/>
      <c r="H1609" s="140"/>
      <c r="I1609" s="140"/>
      <c r="J1609" s="112"/>
      <c r="K1609" s="166"/>
      <c r="L1609" s="111"/>
      <c r="M1609" s="166"/>
    </row>
    <row r="1610" spans="1:13" ht="16.5" thickBot="1" x14ac:dyDescent="0.3">
      <c r="A1610" s="113"/>
      <c r="B1610" s="114"/>
      <c r="C1610" s="115"/>
      <c r="D1610" s="115"/>
      <c r="E1610" s="116"/>
      <c r="F1610" s="116"/>
      <c r="G1610" s="164"/>
      <c r="H1610" s="120"/>
      <c r="I1610" s="140"/>
      <c r="J1610" s="120"/>
      <c r="K1610" s="121"/>
      <c r="L1610" s="221"/>
      <c r="M1610" s="191"/>
    </row>
  </sheetData>
  <mergeCells count="3">
    <mergeCell ref="C1:K1"/>
    <mergeCell ref="A1:B3"/>
    <mergeCell ref="C2:K3"/>
  </mergeCells>
  <conditionalFormatting sqref="G15:H24">
    <cfRule type="cellIs" dxfId="746" priority="696" operator="equal">
      <formula>0</formula>
    </cfRule>
  </conditionalFormatting>
  <conditionalFormatting sqref="A17:A24">
    <cfRule type="cellIs" dxfId="745" priority="695" operator="equal">
      <formula>0</formula>
    </cfRule>
  </conditionalFormatting>
  <conditionalFormatting sqref="C16:D21 D15">
    <cfRule type="cellIs" dxfId="744" priority="694" operator="equal">
      <formula>0</formula>
    </cfRule>
  </conditionalFormatting>
  <conditionalFormatting sqref="F10">
    <cfRule type="cellIs" dxfId="743" priority="693" operator="equal">
      <formula>0</formula>
    </cfRule>
  </conditionalFormatting>
  <conditionalFormatting sqref="A40:A42 G40:H42 C40:D42">
    <cfRule type="cellIs" dxfId="742" priority="691" operator="equal">
      <formula>0</formula>
    </cfRule>
  </conditionalFormatting>
  <conditionalFormatting sqref="A49:A60 G49:H60 C50:D60">
    <cfRule type="cellIs" dxfId="741" priority="690" operator="equal">
      <formula>0</formula>
    </cfRule>
  </conditionalFormatting>
  <conditionalFormatting sqref="G73:H78 A73:A78 C74:D78 D73">
    <cfRule type="cellIs" dxfId="740" priority="689" operator="equal">
      <formula>0</formula>
    </cfRule>
  </conditionalFormatting>
  <conditionalFormatting sqref="A88:A96 C90:D96 G88:H96 C89:C91">
    <cfRule type="cellIs" dxfId="739" priority="688" operator="equal">
      <formula>0</formula>
    </cfRule>
  </conditionalFormatting>
  <conditionalFormatting sqref="A105:A114 G105:H114 C105:D114">
    <cfRule type="cellIs" dxfId="738" priority="687" operator="equal">
      <formula>0</formula>
    </cfRule>
  </conditionalFormatting>
  <conditionalFormatting sqref="A124:A132 G124:H132 C124:D132">
    <cfRule type="cellIs" dxfId="737" priority="686" operator="equal">
      <formula>0</formula>
    </cfRule>
  </conditionalFormatting>
  <conditionalFormatting sqref="A141:A150 C141:D150 G141:H150">
    <cfRule type="cellIs" dxfId="736" priority="685" operator="equal">
      <formula>0</formula>
    </cfRule>
  </conditionalFormatting>
  <conditionalFormatting sqref="A160:A168 C161:D168 G161:H168 D160 G160">
    <cfRule type="cellIs" dxfId="735" priority="684" operator="equal">
      <formula>0</formula>
    </cfRule>
  </conditionalFormatting>
  <conditionalFormatting sqref="A178:A186 G178:H186 C179:D186 D178">
    <cfRule type="cellIs" dxfId="734" priority="683" operator="equal">
      <formula>0</formula>
    </cfRule>
  </conditionalFormatting>
  <conditionalFormatting sqref="C196:D204 C195:C199 D192:D199 G192:H204 A192:A204">
    <cfRule type="cellIs" dxfId="733" priority="682" operator="equal">
      <formula>0</formula>
    </cfRule>
  </conditionalFormatting>
  <conditionalFormatting sqref="A218:A222 G218:H222 C218:D222">
    <cfRule type="cellIs" dxfId="732" priority="681" operator="equal">
      <formula>0</formula>
    </cfRule>
  </conditionalFormatting>
  <conditionalFormatting sqref="A233:A240 G233:H240 C233:D240">
    <cfRule type="cellIs" dxfId="731" priority="680" operator="equal">
      <formula>0</formula>
    </cfRule>
  </conditionalFormatting>
  <conditionalFormatting sqref="A249:A258 C249:D258 G249:H258">
    <cfRule type="cellIs" dxfId="730" priority="679" operator="equal">
      <formula>0</formula>
    </cfRule>
  </conditionalFormatting>
  <conditionalFormatting sqref="G265:H276 A268:A276 C265:D276">
    <cfRule type="cellIs" dxfId="729" priority="678" operator="equal">
      <formula>0</formula>
    </cfRule>
  </conditionalFormatting>
  <conditionalFormatting sqref="A284:A294 G284:H294 C284:D294">
    <cfRule type="cellIs" dxfId="728" priority="677" operator="equal">
      <formula>0</formula>
    </cfRule>
  </conditionalFormatting>
  <conditionalFormatting sqref="A300:A312 G300:H312 C300:D312 D298:D299">
    <cfRule type="cellIs" dxfId="727" priority="676" operator="equal">
      <formula>0</formula>
    </cfRule>
  </conditionalFormatting>
  <conditionalFormatting sqref="G319:H330 A322:A330 C322:D330 D319:D321">
    <cfRule type="cellIs" dxfId="726" priority="675" operator="equal">
      <formula>0</formula>
    </cfRule>
  </conditionalFormatting>
  <conditionalFormatting sqref="G337:H348 A338:A348 C337:D348 C334:C336">
    <cfRule type="cellIs" dxfId="725" priority="674" operator="equal">
      <formula>0</formula>
    </cfRule>
  </conditionalFormatting>
  <conditionalFormatting sqref="A358:A366 G357:H366 C357:D366">
    <cfRule type="cellIs" dxfId="724" priority="673" operator="equal">
      <formula>0</formula>
    </cfRule>
  </conditionalFormatting>
  <conditionalFormatting sqref="C376:D384 G376:H384 A376:A384">
    <cfRule type="cellIs" dxfId="723" priority="672" operator="equal">
      <formula>0</formula>
    </cfRule>
  </conditionalFormatting>
  <conditionalFormatting sqref="A394:A402 C394:D402 G394:H402">
    <cfRule type="cellIs" dxfId="722" priority="671" operator="equal">
      <formula>0</formula>
    </cfRule>
  </conditionalFormatting>
  <conditionalFormatting sqref="G412:H420 C412:D420 A412:A420">
    <cfRule type="cellIs" dxfId="721" priority="670" operator="equal">
      <formula>0</formula>
    </cfRule>
  </conditionalFormatting>
  <conditionalFormatting sqref="G430:H438 A430:A438 C430:D438 G424:G429">
    <cfRule type="cellIs" dxfId="720" priority="669" operator="equal">
      <formula>0</formula>
    </cfRule>
  </conditionalFormatting>
  <conditionalFormatting sqref="A455:A456 C455:D456 G455:H456">
    <cfRule type="cellIs" dxfId="719" priority="668" operator="equal">
      <formula>0</formula>
    </cfRule>
  </conditionalFormatting>
  <conditionalFormatting sqref="A465:A474 G465:H474 C465:D474 C460:C464">
    <cfRule type="cellIs" dxfId="718" priority="667" operator="equal">
      <formula>0</formula>
    </cfRule>
  </conditionalFormatting>
  <conditionalFormatting sqref="A482:A492 G482:H492 C482:D492">
    <cfRule type="cellIs" dxfId="717" priority="666" operator="equal">
      <formula>0</formula>
    </cfRule>
  </conditionalFormatting>
  <conditionalFormatting sqref="A498:A510 C498:D510 G498:H510">
    <cfRule type="cellIs" dxfId="716" priority="665" operator="equal">
      <formula>0</formula>
    </cfRule>
  </conditionalFormatting>
  <conditionalFormatting sqref="A517:A528 G517:H528 C517:D528 C514:C516">
    <cfRule type="cellIs" dxfId="715" priority="664" operator="equal">
      <formula>0</formula>
    </cfRule>
  </conditionalFormatting>
  <conditionalFormatting sqref="A538:A546 G532:H546 C538:D546 D534:D537">
    <cfRule type="cellIs" dxfId="714" priority="663" operator="equal">
      <formula>0</formula>
    </cfRule>
  </conditionalFormatting>
  <conditionalFormatting sqref="G552:H564 C557:D564 A552:A564 D556">
    <cfRule type="cellIs" dxfId="713" priority="662" operator="equal">
      <formula>0</formula>
    </cfRule>
  </conditionalFormatting>
  <conditionalFormatting sqref="C22:D24">
    <cfRule type="cellIs" dxfId="712" priority="600" operator="equal">
      <formula>0</formula>
    </cfRule>
  </conditionalFormatting>
  <conditionalFormatting sqref="F11:F24">
    <cfRule type="cellIs" dxfId="711" priority="598" operator="equal">
      <formula>0</formula>
    </cfRule>
  </conditionalFormatting>
  <conditionalFormatting sqref="F29:F42">
    <cfRule type="cellIs" dxfId="710" priority="596" operator="equal">
      <formula>0</formula>
    </cfRule>
  </conditionalFormatting>
  <conditionalFormatting sqref="F28">
    <cfRule type="cellIs" dxfId="709" priority="597" operator="equal">
      <formula>0</formula>
    </cfRule>
  </conditionalFormatting>
  <conditionalFormatting sqref="F47:F60">
    <cfRule type="cellIs" dxfId="708" priority="594" operator="equal">
      <formula>0</formula>
    </cfRule>
  </conditionalFormatting>
  <conditionalFormatting sqref="F65:F78">
    <cfRule type="cellIs" dxfId="707" priority="592" operator="equal">
      <formula>0</formula>
    </cfRule>
  </conditionalFormatting>
  <conditionalFormatting sqref="F46">
    <cfRule type="cellIs" dxfId="706" priority="595" operator="equal">
      <formula>0</formula>
    </cfRule>
  </conditionalFormatting>
  <conditionalFormatting sqref="F83:F96">
    <cfRule type="cellIs" dxfId="705" priority="590" operator="equal">
      <formula>0</formula>
    </cfRule>
  </conditionalFormatting>
  <conditionalFormatting sqref="F64">
    <cfRule type="cellIs" dxfId="704" priority="593" operator="equal">
      <formula>0</formula>
    </cfRule>
  </conditionalFormatting>
  <conditionalFormatting sqref="F101:F114">
    <cfRule type="cellIs" dxfId="703" priority="588" operator="equal">
      <formula>0</formula>
    </cfRule>
  </conditionalFormatting>
  <conditionalFormatting sqref="F82">
    <cfRule type="cellIs" dxfId="702" priority="591" operator="equal">
      <formula>0</formula>
    </cfRule>
  </conditionalFormatting>
  <conditionalFormatting sqref="F119:F132">
    <cfRule type="cellIs" dxfId="701" priority="586" operator="equal">
      <formula>0</formula>
    </cfRule>
  </conditionalFormatting>
  <conditionalFormatting sqref="F100">
    <cfRule type="cellIs" dxfId="700" priority="589" operator="equal">
      <formula>0</formula>
    </cfRule>
  </conditionalFormatting>
  <conditionalFormatting sqref="F137:F150">
    <cfRule type="cellIs" dxfId="699" priority="584" operator="equal">
      <formula>0</formula>
    </cfRule>
  </conditionalFormatting>
  <conditionalFormatting sqref="F118">
    <cfRule type="cellIs" dxfId="698" priority="587" operator="equal">
      <formula>0</formula>
    </cfRule>
  </conditionalFormatting>
  <conditionalFormatting sqref="F155:F168">
    <cfRule type="cellIs" dxfId="697" priority="582" operator="equal">
      <formula>0</formula>
    </cfRule>
  </conditionalFormatting>
  <conditionalFormatting sqref="F136">
    <cfRule type="cellIs" dxfId="696" priority="585" operator="equal">
      <formula>0</formula>
    </cfRule>
  </conditionalFormatting>
  <conditionalFormatting sqref="F173:F186">
    <cfRule type="cellIs" dxfId="695" priority="580" operator="equal">
      <formula>0</formula>
    </cfRule>
  </conditionalFormatting>
  <conditionalFormatting sqref="F154">
    <cfRule type="cellIs" dxfId="694" priority="583" operator="equal">
      <formula>0</formula>
    </cfRule>
  </conditionalFormatting>
  <conditionalFormatting sqref="F191:F204">
    <cfRule type="cellIs" dxfId="693" priority="578" operator="equal">
      <formula>0</formula>
    </cfRule>
  </conditionalFormatting>
  <conditionalFormatting sqref="F172">
    <cfRule type="cellIs" dxfId="692" priority="581" operator="equal">
      <formula>0</formula>
    </cfRule>
  </conditionalFormatting>
  <conditionalFormatting sqref="F209:F222">
    <cfRule type="cellIs" dxfId="691" priority="576" operator="equal">
      <formula>0</formula>
    </cfRule>
  </conditionalFormatting>
  <conditionalFormatting sqref="F190">
    <cfRule type="cellIs" dxfId="690" priority="579" operator="equal">
      <formula>0</formula>
    </cfRule>
  </conditionalFormatting>
  <conditionalFormatting sqref="F227:F240">
    <cfRule type="cellIs" dxfId="689" priority="574" operator="equal">
      <formula>0</formula>
    </cfRule>
  </conditionalFormatting>
  <conditionalFormatting sqref="F208">
    <cfRule type="cellIs" dxfId="688" priority="577" operator="equal">
      <formula>0</formula>
    </cfRule>
  </conditionalFormatting>
  <conditionalFormatting sqref="F245:F258">
    <cfRule type="cellIs" dxfId="687" priority="572" operator="equal">
      <formula>0</formula>
    </cfRule>
  </conditionalFormatting>
  <conditionalFormatting sqref="F226">
    <cfRule type="cellIs" dxfId="686" priority="575" operator="equal">
      <formula>0</formula>
    </cfRule>
  </conditionalFormatting>
  <conditionalFormatting sqref="F263:F276">
    <cfRule type="cellIs" dxfId="685" priority="570" operator="equal">
      <formula>0</formula>
    </cfRule>
  </conditionalFormatting>
  <conditionalFormatting sqref="F244">
    <cfRule type="cellIs" dxfId="684" priority="573" operator="equal">
      <formula>0</formula>
    </cfRule>
  </conditionalFormatting>
  <conditionalFormatting sqref="F281:F294">
    <cfRule type="cellIs" dxfId="683" priority="568" operator="equal">
      <formula>0</formula>
    </cfRule>
  </conditionalFormatting>
  <conditionalFormatting sqref="F262">
    <cfRule type="cellIs" dxfId="682" priority="571" operator="equal">
      <formula>0</formula>
    </cfRule>
  </conditionalFormatting>
  <conditionalFormatting sqref="F299:F312">
    <cfRule type="cellIs" dxfId="681" priority="566" operator="equal">
      <formula>0</formula>
    </cfRule>
  </conditionalFormatting>
  <conditionalFormatting sqref="F280">
    <cfRule type="cellIs" dxfId="680" priority="569" operator="equal">
      <formula>0</formula>
    </cfRule>
  </conditionalFormatting>
  <conditionalFormatting sqref="F317:F330">
    <cfRule type="cellIs" dxfId="679" priority="564" operator="equal">
      <formula>0</formula>
    </cfRule>
  </conditionalFormatting>
  <conditionalFormatting sqref="F298">
    <cfRule type="cellIs" dxfId="678" priority="567" operator="equal">
      <formula>0</formula>
    </cfRule>
  </conditionalFormatting>
  <conditionalFormatting sqref="F335:F348">
    <cfRule type="cellIs" dxfId="677" priority="562" operator="equal">
      <formula>0</formula>
    </cfRule>
  </conditionalFormatting>
  <conditionalFormatting sqref="F316">
    <cfRule type="cellIs" dxfId="676" priority="565" operator="equal">
      <formula>0</formula>
    </cfRule>
  </conditionalFormatting>
  <conditionalFormatting sqref="F353:F366">
    <cfRule type="cellIs" dxfId="675" priority="560" operator="equal">
      <formula>0</formula>
    </cfRule>
  </conditionalFormatting>
  <conditionalFormatting sqref="F334">
    <cfRule type="cellIs" dxfId="674" priority="563" operator="equal">
      <formula>0</formula>
    </cfRule>
  </conditionalFormatting>
  <conditionalFormatting sqref="F371:F384">
    <cfRule type="cellIs" dxfId="673" priority="558" operator="equal">
      <formula>0</formula>
    </cfRule>
  </conditionalFormatting>
  <conditionalFormatting sqref="F352">
    <cfRule type="cellIs" dxfId="672" priority="561" operator="equal">
      <formula>0</formula>
    </cfRule>
  </conditionalFormatting>
  <conditionalFormatting sqref="F389:F402">
    <cfRule type="cellIs" dxfId="671" priority="556" operator="equal">
      <formula>0</formula>
    </cfRule>
  </conditionalFormatting>
  <conditionalFormatting sqref="F370">
    <cfRule type="cellIs" dxfId="670" priority="559" operator="equal">
      <formula>0</formula>
    </cfRule>
  </conditionalFormatting>
  <conditionalFormatting sqref="F407:F420">
    <cfRule type="cellIs" dxfId="669" priority="554" operator="equal">
      <formula>0</formula>
    </cfRule>
  </conditionalFormatting>
  <conditionalFormatting sqref="F388">
    <cfRule type="cellIs" dxfId="668" priority="557" operator="equal">
      <formula>0</formula>
    </cfRule>
  </conditionalFormatting>
  <conditionalFormatting sqref="F425:F438">
    <cfRule type="cellIs" dxfId="667" priority="552" operator="equal">
      <formula>0</formula>
    </cfRule>
  </conditionalFormatting>
  <conditionalFormatting sqref="F406">
    <cfRule type="cellIs" dxfId="666" priority="555" operator="equal">
      <formula>0</formula>
    </cfRule>
  </conditionalFormatting>
  <conditionalFormatting sqref="F443:F456">
    <cfRule type="cellIs" dxfId="665" priority="550" operator="equal">
      <formula>0</formula>
    </cfRule>
  </conditionalFormatting>
  <conditionalFormatting sqref="F424">
    <cfRule type="cellIs" dxfId="664" priority="553" operator="equal">
      <formula>0</formula>
    </cfRule>
  </conditionalFormatting>
  <conditionalFormatting sqref="F461:F474">
    <cfRule type="cellIs" dxfId="663" priority="548" operator="equal">
      <formula>0</formula>
    </cfRule>
  </conditionalFormatting>
  <conditionalFormatting sqref="F442">
    <cfRule type="cellIs" dxfId="662" priority="551" operator="equal">
      <formula>0</formula>
    </cfRule>
  </conditionalFormatting>
  <conditionalFormatting sqref="F479:F492">
    <cfRule type="cellIs" dxfId="661" priority="546" operator="equal">
      <formula>0</formula>
    </cfRule>
  </conditionalFormatting>
  <conditionalFormatting sqref="F460">
    <cfRule type="cellIs" dxfId="660" priority="549" operator="equal">
      <formula>0</formula>
    </cfRule>
  </conditionalFormatting>
  <conditionalFormatting sqref="F497:F510">
    <cfRule type="cellIs" dxfId="659" priority="544" operator="equal">
      <formula>0</formula>
    </cfRule>
  </conditionalFormatting>
  <conditionalFormatting sqref="F478">
    <cfRule type="cellIs" dxfId="658" priority="547" operator="equal">
      <formula>0</formula>
    </cfRule>
  </conditionalFormatting>
  <conditionalFormatting sqref="F515:F528">
    <cfRule type="cellIs" dxfId="657" priority="542" operator="equal">
      <formula>0</formula>
    </cfRule>
  </conditionalFormatting>
  <conditionalFormatting sqref="F496">
    <cfRule type="cellIs" dxfId="656" priority="545" operator="equal">
      <formula>0</formula>
    </cfRule>
  </conditionalFormatting>
  <conditionalFormatting sqref="F533:F546">
    <cfRule type="cellIs" dxfId="655" priority="540" operator="equal">
      <formula>0</formula>
    </cfRule>
  </conditionalFormatting>
  <conditionalFormatting sqref="F514">
    <cfRule type="cellIs" dxfId="654" priority="543" operator="equal">
      <formula>0</formula>
    </cfRule>
  </conditionalFormatting>
  <conditionalFormatting sqref="F551:F564">
    <cfRule type="cellIs" dxfId="653" priority="538" operator="equal">
      <formula>0</formula>
    </cfRule>
  </conditionalFormatting>
  <conditionalFormatting sqref="F532">
    <cfRule type="cellIs" dxfId="652" priority="541" operator="equal">
      <formula>0</formula>
    </cfRule>
  </conditionalFormatting>
  <conditionalFormatting sqref="F550">
    <cfRule type="cellIs" dxfId="651" priority="539" operator="equal">
      <formula>0</formula>
    </cfRule>
  </conditionalFormatting>
  <conditionalFormatting sqref="A267">
    <cfRule type="cellIs" dxfId="650" priority="536" operator="equal">
      <formula>0</formula>
    </cfRule>
  </conditionalFormatting>
  <conditionalFormatting sqref="A321">
    <cfRule type="cellIs" dxfId="649" priority="535" operator="equal">
      <formula>0</formula>
    </cfRule>
  </conditionalFormatting>
  <conditionalFormatting sqref="A357">
    <cfRule type="cellIs" dxfId="648" priority="533" operator="equal">
      <formula>0</formula>
    </cfRule>
  </conditionalFormatting>
  <conditionalFormatting sqref="A194:A197">
    <cfRule type="cellIs" dxfId="647" priority="523" operator="equal">
      <formula>0</formula>
    </cfRule>
  </conditionalFormatting>
  <conditionalFormatting sqref="A534:A537">
    <cfRule type="cellIs" dxfId="646" priority="521" operator="equal">
      <formula>0</formula>
    </cfRule>
  </conditionalFormatting>
  <conditionalFormatting sqref="A573:A582 G573:H582 C573:D582 D568:D572">
    <cfRule type="cellIs" dxfId="645" priority="519" operator="equal">
      <formula>0</formula>
    </cfRule>
  </conditionalFormatting>
  <conditionalFormatting sqref="F569:F582">
    <cfRule type="cellIs" dxfId="644" priority="517" operator="equal">
      <formula>0</formula>
    </cfRule>
  </conditionalFormatting>
  <conditionalFormatting sqref="F568">
    <cfRule type="cellIs" dxfId="643" priority="518" operator="equal">
      <formula>0</formula>
    </cfRule>
  </conditionalFormatting>
  <conditionalFormatting sqref="A590:A600 G590:H600 C591:D600 D586:D590">
    <cfRule type="cellIs" dxfId="642" priority="516" operator="equal">
      <formula>0</formula>
    </cfRule>
  </conditionalFormatting>
  <conditionalFormatting sqref="F587:F600">
    <cfRule type="cellIs" dxfId="641" priority="514" operator="equal">
      <formula>0</formula>
    </cfRule>
  </conditionalFormatting>
  <conditionalFormatting sqref="F586">
    <cfRule type="cellIs" dxfId="640" priority="515" operator="equal">
      <formula>0</formula>
    </cfRule>
  </conditionalFormatting>
  <conditionalFormatting sqref="A610:A618 G610:H618 C611:D618 D604:D610">
    <cfRule type="cellIs" dxfId="639" priority="513" operator="equal">
      <formula>0</formula>
    </cfRule>
  </conditionalFormatting>
  <conditionalFormatting sqref="F605:F618">
    <cfRule type="cellIs" dxfId="638" priority="511" operator="equal">
      <formula>0</formula>
    </cfRule>
  </conditionalFormatting>
  <conditionalFormatting sqref="F604">
    <cfRule type="cellIs" dxfId="637" priority="512" operator="equal">
      <formula>0</formula>
    </cfRule>
  </conditionalFormatting>
  <conditionalFormatting sqref="G628:H636 A628:A636 C628:D636 D622:D627">
    <cfRule type="cellIs" dxfId="636" priority="509" operator="equal">
      <formula>0</formula>
    </cfRule>
  </conditionalFormatting>
  <conditionalFormatting sqref="F623:F636">
    <cfRule type="cellIs" dxfId="635" priority="507" operator="equal">
      <formula>0</formula>
    </cfRule>
  </conditionalFormatting>
  <conditionalFormatting sqref="F622">
    <cfRule type="cellIs" dxfId="634" priority="508" operator="equal">
      <formula>0</formula>
    </cfRule>
  </conditionalFormatting>
  <conditionalFormatting sqref="G646:H654 A646:A654 C646:D654 D640:D645 G640:G645">
    <cfRule type="cellIs" dxfId="633" priority="506" operator="equal">
      <formula>0</formula>
    </cfRule>
  </conditionalFormatting>
  <conditionalFormatting sqref="F641:F654">
    <cfRule type="cellIs" dxfId="632" priority="504" operator="equal">
      <formula>0</formula>
    </cfRule>
  </conditionalFormatting>
  <conditionalFormatting sqref="F640">
    <cfRule type="cellIs" dxfId="631" priority="505" operator="equal">
      <formula>0</formula>
    </cfRule>
  </conditionalFormatting>
  <conditionalFormatting sqref="G664:H672 C664:D672 A664:A672 D658:D663 G658:G663">
    <cfRule type="cellIs" dxfId="630" priority="503" operator="equal">
      <formula>0</formula>
    </cfRule>
  </conditionalFormatting>
  <conditionalFormatting sqref="F659:F672">
    <cfRule type="cellIs" dxfId="629" priority="501" operator="equal">
      <formula>0</formula>
    </cfRule>
  </conditionalFormatting>
  <conditionalFormatting sqref="F658">
    <cfRule type="cellIs" dxfId="628" priority="502" operator="equal">
      <formula>0</formula>
    </cfRule>
  </conditionalFormatting>
  <conditionalFormatting sqref="G676:H690 A678:A690 C676:D690">
    <cfRule type="cellIs" dxfId="627" priority="500" operator="equal">
      <formula>0</formula>
    </cfRule>
  </conditionalFormatting>
  <conditionalFormatting sqref="F677:F690">
    <cfRule type="cellIs" dxfId="626" priority="498" operator="equal">
      <formula>0</formula>
    </cfRule>
  </conditionalFormatting>
  <conditionalFormatting sqref="F676">
    <cfRule type="cellIs" dxfId="625" priority="499" operator="equal">
      <formula>0</formula>
    </cfRule>
  </conditionalFormatting>
  <conditionalFormatting sqref="G694:H708 A694:A708 C694:D708">
    <cfRule type="cellIs" dxfId="624" priority="497" operator="equal">
      <formula>0</formula>
    </cfRule>
  </conditionalFormatting>
  <conditionalFormatting sqref="F695:F708">
    <cfRule type="cellIs" dxfId="623" priority="495" operator="equal">
      <formula>0</formula>
    </cfRule>
  </conditionalFormatting>
  <conditionalFormatting sqref="F694">
    <cfRule type="cellIs" dxfId="622" priority="496" operator="equal">
      <formula>0</formula>
    </cfRule>
  </conditionalFormatting>
  <conditionalFormatting sqref="G719:H726 C719:D726 A719:A726">
    <cfRule type="cellIs" dxfId="621" priority="494" operator="equal">
      <formula>0</formula>
    </cfRule>
  </conditionalFormatting>
  <conditionalFormatting sqref="F713:F726">
    <cfRule type="cellIs" dxfId="620" priority="492" operator="equal">
      <formula>0</formula>
    </cfRule>
  </conditionalFormatting>
  <conditionalFormatting sqref="F712">
    <cfRule type="cellIs" dxfId="619" priority="493" operator="equal">
      <formula>0</formula>
    </cfRule>
  </conditionalFormatting>
  <conditionalFormatting sqref="G730:H744 A730:A744 C730:D744">
    <cfRule type="cellIs" dxfId="618" priority="491" operator="equal">
      <formula>0</formula>
    </cfRule>
  </conditionalFormatting>
  <conditionalFormatting sqref="F731:F744">
    <cfRule type="cellIs" dxfId="617" priority="489" operator="equal">
      <formula>0</formula>
    </cfRule>
  </conditionalFormatting>
  <conditionalFormatting sqref="F730">
    <cfRule type="cellIs" dxfId="616" priority="490" operator="equal">
      <formula>0</formula>
    </cfRule>
  </conditionalFormatting>
  <conditionalFormatting sqref="G748:H762 A748:A762 C748:D762">
    <cfRule type="cellIs" dxfId="615" priority="488" operator="equal">
      <formula>0</formula>
    </cfRule>
  </conditionalFormatting>
  <conditionalFormatting sqref="F749:F762">
    <cfRule type="cellIs" dxfId="614" priority="486" operator="equal">
      <formula>0</formula>
    </cfRule>
  </conditionalFormatting>
  <conditionalFormatting sqref="F748">
    <cfRule type="cellIs" dxfId="613" priority="487" operator="equal">
      <formula>0</formula>
    </cfRule>
  </conditionalFormatting>
  <conditionalFormatting sqref="G766:H780 A766:A780 C766:D780">
    <cfRule type="cellIs" dxfId="612" priority="485" operator="equal">
      <formula>0</formula>
    </cfRule>
  </conditionalFormatting>
  <conditionalFormatting sqref="F767:F780">
    <cfRule type="cellIs" dxfId="611" priority="483" operator="equal">
      <formula>0</formula>
    </cfRule>
  </conditionalFormatting>
  <conditionalFormatting sqref="F766">
    <cfRule type="cellIs" dxfId="610" priority="484" operator="equal">
      <formula>0</formula>
    </cfRule>
  </conditionalFormatting>
  <conditionalFormatting sqref="G784:H798 A784:A798 C784:D798">
    <cfRule type="cellIs" dxfId="609" priority="482" operator="equal">
      <formula>0</formula>
    </cfRule>
  </conditionalFormatting>
  <conditionalFormatting sqref="F785:F798">
    <cfRule type="cellIs" dxfId="608" priority="480" operator="equal">
      <formula>0</formula>
    </cfRule>
  </conditionalFormatting>
  <conditionalFormatting sqref="F784">
    <cfRule type="cellIs" dxfId="607" priority="481" operator="equal">
      <formula>0</formula>
    </cfRule>
  </conditionalFormatting>
  <conditionalFormatting sqref="G802:H816 A802:A816 C802:D816">
    <cfRule type="cellIs" dxfId="606" priority="479" operator="equal">
      <formula>0</formula>
    </cfRule>
  </conditionalFormatting>
  <conditionalFormatting sqref="F803:F816">
    <cfRule type="cellIs" dxfId="605" priority="477" operator="equal">
      <formula>0</formula>
    </cfRule>
  </conditionalFormatting>
  <conditionalFormatting sqref="F802">
    <cfRule type="cellIs" dxfId="604" priority="478" operator="equal">
      <formula>0</formula>
    </cfRule>
  </conditionalFormatting>
  <conditionalFormatting sqref="G820:H834 A820:A834 C820:D834">
    <cfRule type="cellIs" dxfId="603" priority="476" operator="equal">
      <formula>0</formula>
    </cfRule>
  </conditionalFormatting>
  <conditionalFormatting sqref="F821:F834">
    <cfRule type="cellIs" dxfId="602" priority="474" operator="equal">
      <formula>0</formula>
    </cfRule>
  </conditionalFormatting>
  <conditionalFormatting sqref="F820">
    <cfRule type="cellIs" dxfId="601" priority="475" operator="equal">
      <formula>0</formula>
    </cfRule>
  </conditionalFormatting>
  <conditionalFormatting sqref="G838:H852 A838:A852 C838:D852">
    <cfRule type="cellIs" dxfId="600" priority="473" operator="equal">
      <formula>0</formula>
    </cfRule>
  </conditionalFormatting>
  <conditionalFormatting sqref="F839:F852">
    <cfRule type="cellIs" dxfId="599" priority="471" operator="equal">
      <formula>0</formula>
    </cfRule>
  </conditionalFormatting>
  <conditionalFormatting sqref="F838">
    <cfRule type="cellIs" dxfId="598" priority="472" operator="equal">
      <formula>0</formula>
    </cfRule>
  </conditionalFormatting>
  <conditionalFormatting sqref="G856:H870 A856:A870 C856:D870">
    <cfRule type="cellIs" dxfId="597" priority="470" operator="equal">
      <formula>0</formula>
    </cfRule>
  </conditionalFormatting>
  <conditionalFormatting sqref="F857:F870">
    <cfRule type="cellIs" dxfId="596" priority="468" operator="equal">
      <formula>0</formula>
    </cfRule>
  </conditionalFormatting>
  <conditionalFormatting sqref="F856">
    <cfRule type="cellIs" dxfId="595" priority="469" operator="equal">
      <formula>0</formula>
    </cfRule>
  </conditionalFormatting>
  <conditionalFormatting sqref="G874:H888 A874:A888 C874:D888">
    <cfRule type="cellIs" dxfId="594" priority="467" operator="equal">
      <formula>0</formula>
    </cfRule>
  </conditionalFormatting>
  <conditionalFormatting sqref="F875:F888">
    <cfRule type="cellIs" dxfId="593" priority="465" operator="equal">
      <formula>0</formula>
    </cfRule>
  </conditionalFormatting>
  <conditionalFormatting sqref="F874">
    <cfRule type="cellIs" dxfId="592" priority="466" operator="equal">
      <formula>0</formula>
    </cfRule>
  </conditionalFormatting>
  <conditionalFormatting sqref="G892:H906 A892:A906 C892:D906">
    <cfRule type="cellIs" dxfId="591" priority="464" operator="equal">
      <formula>0</formula>
    </cfRule>
  </conditionalFormatting>
  <conditionalFormatting sqref="F893:F906">
    <cfRule type="cellIs" dxfId="590" priority="462" operator="equal">
      <formula>0</formula>
    </cfRule>
  </conditionalFormatting>
  <conditionalFormatting sqref="F892">
    <cfRule type="cellIs" dxfId="589" priority="463" operator="equal">
      <formula>0</formula>
    </cfRule>
  </conditionalFormatting>
  <conditionalFormatting sqref="G910:H924 A910:A924 C910:D924">
    <cfRule type="cellIs" dxfId="588" priority="461" operator="equal">
      <formula>0</formula>
    </cfRule>
  </conditionalFormatting>
  <conditionalFormatting sqref="F911:F924">
    <cfRule type="cellIs" dxfId="587" priority="459" operator="equal">
      <formula>0</formula>
    </cfRule>
  </conditionalFormatting>
  <conditionalFormatting sqref="F910">
    <cfRule type="cellIs" dxfId="586" priority="460" operator="equal">
      <formula>0</formula>
    </cfRule>
  </conditionalFormatting>
  <conditionalFormatting sqref="G928:H942 A928:A942 C928:D942">
    <cfRule type="cellIs" dxfId="585" priority="458" operator="equal">
      <formula>0</formula>
    </cfRule>
  </conditionalFormatting>
  <conditionalFormatting sqref="F929:F942">
    <cfRule type="cellIs" dxfId="584" priority="456" operator="equal">
      <formula>0</formula>
    </cfRule>
  </conditionalFormatting>
  <conditionalFormatting sqref="F928">
    <cfRule type="cellIs" dxfId="583" priority="457" operator="equal">
      <formula>0</formula>
    </cfRule>
  </conditionalFormatting>
  <conditionalFormatting sqref="G946:H960 A946:A960 C946:D960">
    <cfRule type="cellIs" dxfId="582" priority="455" operator="equal">
      <formula>0</formula>
    </cfRule>
  </conditionalFormatting>
  <conditionalFormatting sqref="F947:F960">
    <cfRule type="cellIs" dxfId="581" priority="453" operator="equal">
      <formula>0</formula>
    </cfRule>
  </conditionalFormatting>
  <conditionalFormatting sqref="F946">
    <cfRule type="cellIs" dxfId="580" priority="454" operator="equal">
      <formula>0</formula>
    </cfRule>
  </conditionalFormatting>
  <conditionalFormatting sqref="G964:H978 A964:A978 C964:D978">
    <cfRule type="cellIs" dxfId="579" priority="452" operator="equal">
      <formula>0</formula>
    </cfRule>
  </conditionalFormatting>
  <conditionalFormatting sqref="F965:F978">
    <cfRule type="cellIs" dxfId="578" priority="450" operator="equal">
      <formula>0</formula>
    </cfRule>
  </conditionalFormatting>
  <conditionalFormatting sqref="F964">
    <cfRule type="cellIs" dxfId="577" priority="451" operator="equal">
      <formula>0</formula>
    </cfRule>
  </conditionalFormatting>
  <conditionalFormatting sqref="G982:H996 A982:A996 C982:D996">
    <cfRule type="cellIs" dxfId="576" priority="449" operator="equal">
      <formula>0</formula>
    </cfRule>
  </conditionalFormatting>
  <conditionalFormatting sqref="F983:F996">
    <cfRule type="cellIs" dxfId="575" priority="447" operator="equal">
      <formula>0</formula>
    </cfRule>
  </conditionalFormatting>
  <conditionalFormatting sqref="F982">
    <cfRule type="cellIs" dxfId="574" priority="448" operator="equal">
      <formula>0</formula>
    </cfRule>
  </conditionalFormatting>
  <conditionalFormatting sqref="G1000:H1014 A1000:A1014 C1000:D1014">
    <cfRule type="cellIs" dxfId="573" priority="446" operator="equal">
      <formula>0</formula>
    </cfRule>
  </conditionalFormatting>
  <conditionalFormatting sqref="F1001:F1014">
    <cfRule type="cellIs" dxfId="572" priority="444" operator="equal">
      <formula>0</formula>
    </cfRule>
  </conditionalFormatting>
  <conditionalFormatting sqref="F1000">
    <cfRule type="cellIs" dxfId="571" priority="445" operator="equal">
      <formula>0</formula>
    </cfRule>
  </conditionalFormatting>
  <conditionalFormatting sqref="J748">
    <cfRule type="cellIs" dxfId="570" priority="402" operator="equal">
      <formula>0</formula>
    </cfRule>
  </conditionalFormatting>
  <conditionalFormatting sqref="J1000">
    <cfRule type="cellIs" dxfId="569" priority="388" operator="equal">
      <formula>0</formula>
    </cfRule>
  </conditionalFormatting>
  <conditionalFormatting sqref="J676">
    <cfRule type="cellIs" dxfId="568" priority="406" operator="equal">
      <formula>0</formula>
    </cfRule>
  </conditionalFormatting>
  <conditionalFormatting sqref="J694">
    <cfRule type="cellIs" dxfId="567" priority="405" operator="equal">
      <formula>0</formula>
    </cfRule>
  </conditionalFormatting>
  <conditionalFormatting sqref="J712">
    <cfRule type="cellIs" dxfId="566" priority="404" operator="equal">
      <formula>0</formula>
    </cfRule>
  </conditionalFormatting>
  <conditionalFormatting sqref="J730">
    <cfRule type="cellIs" dxfId="565" priority="403" operator="equal">
      <formula>0</formula>
    </cfRule>
  </conditionalFormatting>
  <conditionalFormatting sqref="J766">
    <cfRule type="cellIs" dxfId="564" priority="401" operator="equal">
      <formula>0</formula>
    </cfRule>
  </conditionalFormatting>
  <conditionalFormatting sqref="J784">
    <cfRule type="cellIs" dxfId="563" priority="400" operator="equal">
      <formula>0</formula>
    </cfRule>
  </conditionalFormatting>
  <conditionalFormatting sqref="J802">
    <cfRule type="cellIs" dxfId="562" priority="399" operator="equal">
      <formula>0</formula>
    </cfRule>
  </conditionalFormatting>
  <conditionalFormatting sqref="J820">
    <cfRule type="cellIs" dxfId="561" priority="398" operator="equal">
      <formula>0</formula>
    </cfRule>
  </conditionalFormatting>
  <conditionalFormatting sqref="J838">
    <cfRule type="cellIs" dxfId="560" priority="397" operator="equal">
      <formula>0</formula>
    </cfRule>
  </conditionalFormatting>
  <conditionalFormatting sqref="J856">
    <cfRule type="cellIs" dxfId="559" priority="396" operator="equal">
      <formula>0</formula>
    </cfRule>
  </conditionalFormatting>
  <conditionalFormatting sqref="J874">
    <cfRule type="cellIs" dxfId="558" priority="395" operator="equal">
      <formula>0</formula>
    </cfRule>
  </conditionalFormatting>
  <conditionalFormatting sqref="J892">
    <cfRule type="cellIs" dxfId="557" priority="394" operator="equal">
      <formula>0</formula>
    </cfRule>
  </conditionalFormatting>
  <conditionalFormatting sqref="J910">
    <cfRule type="cellIs" dxfId="556" priority="393" operator="equal">
      <formula>0</formula>
    </cfRule>
  </conditionalFormatting>
  <conditionalFormatting sqref="J928">
    <cfRule type="cellIs" dxfId="555" priority="392" operator="equal">
      <formula>0</formula>
    </cfRule>
  </conditionalFormatting>
  <conditionalFormatting sqref="J946">
    <cfRule type="cellIs" dxfId="554" priority="391" operator="equal">
      <formula>0</formula>
    </cfRule>
  </conditionalFormatting>
  <conditionalFormatting sqref="J964">
    <cfRule type="cellIs" dxfId="553" priority="390" operator="equal">
      <formula>0</formula>
    </cfRule>
  </conditionalFormatting>
  <conditionalFormatting sqref="J982">
    <cfRule type="cellIs" dxfId="552" priority="389" operator="equal">
      <formula>0</formula>
    </cfRule>
  </conditionalFormatting>
  <conditionalFormatting sqref="D552:D555">
    <cfRule type="cellIs" dxfId="551" priority="382" operator="equal">
      <formula>0</formula>
    </cfRule>
  </conditionalFormatting>
  <conditionalFormatting sqref="A676:A677">
    <cfRule type="cellIs" dxfId="550" priority="377" operator="equal">
      <formula>0</formula>
    </cfRule>
  </conditionalFormatting>
  <conditionalFormatting sqref="G712:H718">
    <cfRule type="cellIs" dxfId="549" priority="374" operator="equal">
      <formula>0</formula>
    </cfRule>
  </conditionalFormatting>
  <conditionalFormatting sqref="A712:A718">
    <cfRule type="cellIs" dxfId="548" priority="376" operator="equal">
      <formula>0</formula>
    </cfRule>
  </conditionalFormatting>
  <conditionalFormatting sqref="C712:D718">
    <cfRule type="cellIs" dxfId="547" priority="375" operator="equal">
      <formula>0</formula>
    </cfRule>
  </conditionalFormatting>
  <conditionalFormatting sqref="C10:C12">
    <cfRule type="cellIs" dxfId="546" priority="364" operator="equal">
      <formula>0</formula>
    </cfRule>
  </conditionalFormatting>
  <conditionalFormatting sqref="C13:C14">
    <cfRule type="cellIs" dxfId="545" priority="363" operator="equal">
      <formula>0</formula>
    </cfRule>
  </conditionalFormatting>
  <conditionalFormatting sqref="D10:D14">
    <cfRule type="cellIs" dxfId="544" priority="362" operator="equal">
      <formula>0</formula>
    </cfRule>
  </conditionalFormatting>
  <conditionalFormatting sqref="G10:H14">
    <cfRule type="cellIs" dxfId="543" priority="361" operator="equal">
      <formula>0</formula>
    </cfRule>
  </conditionalFormatting>
  <conditionalFormatting sqref="J10">
    <cfRule type="cellIs" dxfId="542" priority="360" operator="equal">
      <formula>0</formula>
    </cfRule>
  </conditionalFormatting>
  <conditionalFormatting sqref="A28:A39">
    <cfRule type="cellIs" dxfId="541" priority="359" operator="equal">
      <formula>0</formula>
    </cfRule>
  </conditionalFormatting>
  <conditionalFormatting sqref="C37:D39">
    <cfRule type="cellIs" dxfId="540" priority="358" operator="equal">
      <formula>0</formula>
    </cfRule>
  </conditionalFormatting>
  <conditionalFormatting sqref="C33:D35 D36">
    <cfRule type="cellIs" dxfId="539" priority="357" operator="equal">
      <formula>0</formula>
    </cfRule>
  </conditionalFormatting>
  <conditionalFormatting sqref="C31:D32">
    <cfRule type="cellIs" dxfId="538" priority="355" operator="equal">
      <formula>0</formula>
    </cfRule>
  </conditionalFormatting>
  <conditionalFormatting sqref="C36">
    <cfRule type="cellIs" dxfId="537" priority="354" operator="equal">
      <formula>0</formula>
    </cfRule>
  </conditionalFormatting>
  <conditionalFormatting sqref="G28:H39">
    <cfRule type="cellIs" dxfId="536" priority="353" operator="equal">
      <formula>0</formula>
    </cfRule>
  </conditionalFormatting>
  <conditionalFormatting sqref="A46:A48">
    <cfRule type="cellIs" dxfId="535" priority="351" operator="equal">
      <formula>0</formula>
    </cfRule>
  </conditionalFormatting>
  <conditionalFormatting sqref="G46:H48">
    <cfRule type="cellIs" dxfId="534" priority="349" operator="equal">
      <formula>0</formula>
    </cfRule>
  </conditionalFormatting>
  <conditionalFormatting sqref="A68:A72">
    <cfRule type="cellIs" dxfId="533" priority="348" operator="equal">
      <formula>0</formula>
    </cfRule>
  </conditionalFormatting>
  <conditionalFormatting sqref="C68:D72">
    <cfRule type="cellIs" dxfId="532" priority="347" operator="equal">
      <formula>0</formula>
    </cfRule>
  </conditionalFormatting>
  <conditionalFormatting sqref="D192 C190:D191">
    <cfRule type="cellIs" dxfId="531" priority="318" operator="equal">
      <formula>0</formula>
    </cfRule>
  </conditionalFormatting>
  <conditionalFormatting sqref="G68:H72 G64:G67">
    <cfRule type="cellIs" dxfId="530" priority="345" operator="equal">
      <formula>0</formula>
    </cfRule>
  </conditionalFormatting>
  <conditionalFormatting sqref="A190:A192">
    <cfRule type="cellIs" dxfId="529" priority="319" operator="equal">
      <formula>0</formula>
    </cfRule>
  </conditionalFormatting>
  <conditionalFormatting sqref="G172:H177">
    <cfRule type="cellIs" dxfId="528" priority="321" operator="equal">
      <formula>0</formula>
    </cfRule>
  </conditionalFormatting>
  <conditionalFormatting sqref="G82:H87">
    <cfRule type="cellIs" dxfId="527" priority="341" operator="equal">
      <formula>0</formula>
    </cfRule>
  </conditionalFormatting>
  <conditionalFormatting sqref="A100:A104">
    <cfRule type="cellIs" dxfId="526" priority="339" operator="equal">
      <formula>0</formula>
    </cfRule>
  </conditionalFormatting>
  <conditionalFormatting sqref="C100:D104">
    <cfRule type="cellIs" dxfId="525" priority="338" operator="equal">
      <formula>0</formula>
    </cfRule>
  </conditionalFormatting>
  <conditionalFormatting sqref="G100:H104">
    <cfRule type="cellIs" dxfId="524" priority="337" operator="equal">
      <formula>0</formula>
    </cfRule>
  </conditionalFormatting>
  <conditionalFormatting sqref="A118:A123">
    <cfRule type="cellIs" dxfId="523" priority="335" operator="equal">
      <formula>0</formula>
    </cfRule>
  </conditionalFormatting>
  <conditionalFormatting sqref="G118:H123">
    <cfRule type="cellIs" dxfId="522" priority="333" operator="equal">
      <formula>0</formula>
    </cfRule>
  </conditionalFormatting>
  <conditionalFormatting sqref="A136:A140">
    <cfRule type="cellIs" dxfId="521" priority="331" operator="equal">
      <formula>0</formula>
    </cfRule>
  </conditionalFormatting>
  <conditionalFormatting sqref="A208:A217">
    <cfRule type="cellIs" dxfId="520" priority="315" operator="equal">
      <formula>0</formula>
    </cfRule>
  </conditionalFormatting>
  <conditionalFormatting sqref="G136:H140">
    <cfRule type="cellIs" dxfId="519" priority="329" operator="equal">
      <formula>0</formula>
    </cfRule>
  </conditionalFormatting>
  <conditionalFormatting sqref="A154 A159">
    <cfRule type="cellIs" dxfId="518" priority="327" operator="equal">
      <formula>0</formula>
    </cfRule>
  </conditionalFormatting>
  <conditionalFormatting sqref="D154:D159">
    <cfRule type="cellIs" dxfId="517" priority="326" operator="equal">
      <formula>0</formula>
    </cfRule>
  </conditionalFormatting>
  <conditionalFormatting sqref="G154">
    <cfRule type="cellIs" dxfId="516" priority="325" operator="equal">
      <formula>0</formula>
    </cfRule>
  </conditionalFormatting>
  <conditionalFormatting sqref="A176:A177">
    <cfRule type="cellIs" dxfId="515" priority="323" operator="equal">
      <formula>0</formula>
    </cfRule>
  </conditionalFormatting>
  <conditionalFormatting sqref="D172:D177">
    <cfRule type="cellIs" dxfId="514" priority="322" operator="equal">
      <formula>0</formula>
    </cfRule>
  </conditionalFormatting>
  <conditionalFormatting sqref="G208:H217">
    <cfRule type="cellIs" dxfId="513" priority="313" operator="equal">
      <formula>0</formula>
    </cfRule>
  </conditionalFormatting>
  <conditionalFormatting sqref="G190:H192">
    <cfRule type="cellIs" dxfId="512" priority="317" operator="equal">
      <formula>0</formula>
    </cfRule>
  </conditionalFormatting>
  <conditionalFormatting sqref="C226:D232">
    <cfRule type="cellIs" dxfId="511" priority="310" operator="equal">
      <formula>0</formula>
    </cfRule>
  </conditionalFormatting>
  <conditionalFormatting sqref="C208:D217">
    <cfRule type="cellIs" dxfId="510" priority="314" operator="equal">
      <formula>0</formula>
    </cfRule>
  </conditionalFormatting>
  <conditionalFormatting sqref="C244:D248">
    <cfRule type="cellIs" dxfId="509" priority="306" operator="equal">
      <formula>0</formula>
    </cfRule>
  </conditionalFormatting>
  <conditionalFormatting sqref="A228:A232">
    <cfRule type="cellIs" dxfId="508" priority="311" operator="equal">
      <formula>0</formula>
    </cfRule>
  </conditionalFormatting>
  <conditionalFormatting sqref="G226:H232">
    <cfRule type="cellIs" dxfId="507" priority="309" operator="equal">
      <formula>0</formula>
    </cfRule>
  </conditionalFormatting>
  <conditionalFormatting sqref="J244">
    <cfRule type="cellIs" dxfId="506" priority="304" operator="equal">
      <formula>0</formula>
    </cfRule>
  </conditionalFormatting>
  <conditionalFormatting sqref="A244:A248">
    <cfRule type="cellIs" dxfId="505" priority="307" operator="equal">
      <formula>0</formula>
    </cfRule>
  </conditionalFormatting>
  <conditionalFormatting sqref="G244:H248">
    <cfRule type="cellIs" dxfId="504" priority="305" operator="equal">
      <formula>0</formula>
    </cfRule>
  </conditionalFormatting>
  <conditionalFormatting sqref="C262:D264">
    <cfRule type="cellIs" dxfId="503" priority="302" operator="equal">
      <formula>0</formula>
    </cfRule>
  </conditionalFormatting>
  <conditionalFormatting sqref="G262:H264">
    <cfRule type="cellIs" dxfId="502" priority="301" operator="equal">
      <formula>0</formula>
    </cfRule>
  </conditionalFormatting>
  <conditionalFormatting sqref="A280:A283">
    <cfRule type="cellIs" dxfId="501" priority="299" operator="equal">
      <formula>0</formula>
    </cfRule>
  </conditionalFormatting>
  <conditionalFormatting sqref="C280:D283">
    <cfRule type="cellIs" dxfId="500" priority="298" operator="equal">
      <formula>0</formula>
    </cfRule>
  </conditionalFormatting>
  <conditionalFormatting sqref="G280:H283">
    <cfRule type="cellIs" dxfId="499" priority="297" operator="equal">
      <formula>0</formula>
    </cfRule>
  </conditionalFormatting>
  <conditionalFormatting sqref="A316:A318">
    <cfRule type="cellIs" dxfId="498" priority="291" operator="equal">
      <formula>0</formula>
    </cfRule>
  </conditionalFormatting>
  <conditionalFormatting sqref="C298:C299">
    <cfRule type="cellIs" dxfId="497" priority="294" operator="equal">
      <formula>0</formula>
    </cfRule>
  </conditionalFormatting>
  <conditionalFormatting sqref="G298:H299">
    <cfRule type="cellIs" dxfId="496" priority="293" operator="equal">
      <formula>0</formula>
    </cfRule>
  </conditionalFormatting>
  <conditionalFormatting sqref="D316:D318">
    <cfRule type="cellIs" dxfId="495" priority="290" operator="equal">
      <formula>0</formula>
    </cfRule>
  </conditionalFormatting>
  <conditionalFormatting sqref="G316:H318">
    <cfRule type="cellIs" dxfId="494" priority="289" operator="equal">
      <formula>0</formula>
    </cfRule>
  </conditionalFormatting>
  <conditionalFormatting sqref="A388:A393">
    <cfRule type="cellIs" dxfId="493" priority="269" operator="equal">
      <formula>0</formula>
    </cfRule>
  </conditionalFormatting>
  <conditionalFormatting sqref="C388:D393">
    <cfRule type="cellIs" dxfId="492" priority="268" operator="equal">
      <formula>0</formula>
    </cfRule>
  </conditionalFormatting>
  <conditionalFormatting sqref="D334:D336">
    <cfRule type="cellIs" dxfId="491" priority="285" operator="equal">
      <formula>0</formula>
    </cfRule>
  </conditionalFormatting>
  <conditionalFormatting sqref="G334:H336">
    <cfRule type="cellIs" dxfId="490" priority="284" operator="equal">
      <formula>0</formula>
    </cfRule>
  </conditionalFormatting>
  <conditionalFormatting sqref="J334">
    <cfRule type="cellIs" dxfId="489" priority="283" operator="equal">
      <formula>0</formula>
    </cfRule>
  </conditionalFormatting>
  <conditionalFormatting sqref="A354">
    <cfRule type="cellIs" dxfId="488" priority="282" operator="equal">
      <formula>0</formula>
    </cfRule>
  </conditionalFormatting>
  <conditionalFormatting sqref="A354">
    <cfRule type="cellIs" dxfId="487" priority="281" operator="equal">
      <formula>0</formula>
    </cfRule>
  </conditionalFormatting>
  <conditionalFormatting sqref="A355">
    <cfRule type="cellIs" dxfId="486" priority="280" operator="equal">
      <formula>0</formula>
    </cfRule>
  </conditionalFormatting>
  <conditionalFormatting sqref="A356">
    <cfRule type="cellIs" dxfId="485" priority="279" operator="equal">
      <formula>0</formula>
    </cfRule>
  </conditionalFormatting>
  <conditionalFormatting sqref="A356">
    <cfRule type="cellIs" dxfId="484" priority="278" operator="equal">
      <formula>0</formula>
    </cfRule>
  </conditionalFormatting>
  <conditionalFormatting sqref="A352:A353">
    <cfRule type="cellIs" dxfId="483" priority="277" operator="equal">
      <formula>0</formula>
    </cfRule>
  </conditionalFormatting>
  <conditionalFormatting sqref="D352:D356">
    <cfRule type="cellIs" dxfId="482" priority="276" operator="equal">
      <formula>0</formula>
    </cfRule>
  </conditionalFormatting>
  <conditionalFormatting sqref="G352:H356">
    <cfRule type="cellIs" dxfId="481" priority="275" operator="equal">
      <formula>0</formula>
    </cfRule>
  </conditionalFormatting>
  <conditionalFormatting sqref="J352">
    <cfRule type="cellIs" dxfId="480" priority="274" operator="equal">
      <formula>0</formula>
    </cfRule>
  </conditionalFormatting>
  <conditionalFormatting sqref="A370:A375">
    <cfRule type="cellIs" dxfId="479" priority="273" operator="equal">
      <formula>0</formula>
    </cfRule>
  </conditionalFormatting>
  <conditionalFormatting sqref="D370:D375">
    <cfRule type="cellIs" dxfId="478" priority="272" operator="equal">
      <formula>0</formula>
    </cfRule>
  </conditionalFormatting>
  <conditionalFormatting sqref="G370:H375">
    <cfRule type="cellIs" dxfId="477" priority="271" operator="equal">
      <formula>0</formula>
    </cfRule>
  </conditionalFormatting>
  <conditionalFormatting sqref="J370">
    <cfRule type="cellIs" dxfId="476" priority="270" operator="equal">
      <formula>0</formula>
    </cfRule>
  </conditionalFormatting>
  <conditionalFormatting sqref="G388:H393">
    <cfRule type="cellIs" dxfId="475" priority="267" operator="equal">
      <formula>0</formula>
    </cfRule>
  </conditionalFormatting>
  <conditionalFormatting sqref="J388">
    <cfRule type="cellIs" dxfId="474" priority="266" operator="equal">
      <formula>0</formula>
    </cfRule>
  </conditionalFormatting>
  <conditionalFormatting sqref="A406 A408:A411">
    <cfRule type="cellIs" dxfId="473" priority="265" operator="equal">
      <formula>0</formula>
    </cfRule>
  </conditionalFormatting>
  <conditionalFormatting sqref="A407">
    <cfRule type="cellIs" dxfId="472" priority="264" operator="equal">
      <formula>0</formula>
    </cfRule>
  </conditionalFormatting>
  <conditionalFormatting sqref="C406:D406 D407:D411">
    <cfRule type="cellIs" dxfId="471" priority="263" operator="equal">
      <formula>0</formula>
    </cfRule>
  </conditionalFormatting>
  <conditionalFormatting sqref="G406:H411">
    <cfRule type="cellIs" dxfId="470" priority="262" operator="equal">
      <formula>0</formula>
    </cfRule>
  </conditionalFormatting>
  <conditionalFormatting sqref="J406">
    <cfRule type="cellIs" dxfId="469" priority="261" operator="equal">
      <formula>0</formula>
    </cfRule>
  </conditionalFormatting>
  <conditionalFormatting sqref="A424:A429">
    <cfRule type="cellIs" dxfId="468" priority="260" operator="equal">
      <formula>0</formula>
    </cfRule>
  </conditionalFormatting>
  <conditionalFormatting sqref="C424:D429">
    <cfRule type="cellIs" dxfId="467" priority="259" operator="equal">
      <formula>0</formula>
    </cfRule>
  </conditionalFormatting>
  <conditionalFormatting sqref="H424:H429">
    <cfRule type="cellIs" dxfId="466" priority="258" operator="equal">
      <formula>0</formula>
    </cfRule>
  </conditionalFormatting>
  <conditionalFormatting sqref="J424">
    <cfRule type="cellIs" dxfId="465" priority="257" operator="equal">
      <formula>0</formula>
    </cfRule>
  </conditionalFormatting>
  <conditionalFormatting sqref="A442:A454">
    <cfRule type="cellIs" dxfId="464" priority="256" operator="equal">
      <formula>0</formula>
    </cfRule>
  </conditionalFormatting>
  <conditionalFormatting sqref="C442:D454">
    <cfRule type="cellIs" dxfId="463" priority="255" operator="equal">
      <formula>0</formula>
    </cfRule>
  </conditionalFormatting>
  <conditionalFormatting sqref="G442:H454">
    <cfRule type="cellIs" dxfId="462" priority="254" operator="equal">
      <formula>0</formula>
    </cfRule>
  </conditionalFormatting>
  <conditionalFormatting sqref="J442">
    <cfRule type="cellIs" dxfId="461" priority="253" operator="equal">
      <formula>0</formula>
    </cfRule>
  </conditionalFormatting>
  <conditionalFormatting sqref="A460:A464">
    <cfRule type="cellIs" dxfId="460" priority="252" operator="equal">
      <formula>0</formula>
    </cfRule>
  </conditionalFormatting>
  <conditionalFormatting sqref="D460:D464">
    <cfRule type="cellIs" dxfId="459" priority="251" operator="equal">
      <formula>0</formula>
    </cfRule>
  </conditionalFormatting>
  <conditionalFormatting sqref="G460:H464">
    <cfRule type="cellIs" dxfId="458" priority="250" operator="equal">
      <formula>0</formula>
    </cfRule>
  </conditionalFormatting>
  <conditionalFormatting sqref="J460">
    <cfRule type="cellIs" dxfId="457" priority="249" operator="equal">
      <formula>0</formula>
    </cfRule>
  </conditionalFormatting>
  <conditionalFormatting sqref="A478:A481">
    <cfRule type="cellIs" dxfId="456" priority="248" operator="equal">
      <formula>0</formula>
    </cfRule>
  </conditionalFormatting>
  <conditionalFormatting sqref="D478:D481">
    <cfRule type="cellIs" dxfId="455" priority="247" operator="equal">
      <formula>0</formula>
    </cfRule>
  </conditionalFormatting>
  <conditionalFormatting sqref="G478:H481">
    <cfRule type="cellIs" dxfId="454" priority="246" operator="equal">
      <formula>0</formula>
    </cfRule>
  </conditionalFormatting>
  <conditionalFormatting sqref="J478">
    <cfRule type="cellIs" dxfId="453" priority="245" operator="equal">
      <formula>0</formula>
    </cfRule>
  </conditionalFormatting>
  <conditionalFormatting sqref="A496:A497">
    <cfRule type="cellIs" dxfId="452" priority="244" operator="equal">
      <formula>0</formula>
    </cfRule>
  </conditionalFormatting>
  <conditionalFormatting sqref="D496:D497">
    <cfRule type="cellIs" dxfId="451" priority="243" operator="equal">
      <formula>0</formula>
    </cfRule>
  </conditionalFormatting>
  <conditionalFormatting sqref="G496:H497">
    <cfRule type="cellIs" dxfId="450" priority="242" operator="equal">
      <formula>0</formula>
    </cfRule>
  </conditionalFormatting>
  <conditionalFormatting sqref="J496">
    <cfRule type="cellIs" dxfId="449" priority="241" operator="equal">
      <formula>0</formula>
    </cfRule>
  </conditionalFormatting>
  <conditionalFormatting sqref="A514:A516">
    <cfRule type="cellIs" dxfId="448" priority="240" operator="equal">
      <formula>0</formula>
    </cfRule>
  </conditionalFormatting>
  <conditionalFormatting sqref="D514:D516">
    <cfRule type="cellIs" dxfId="447" priority="239" operator="equal">
      <formula>0</formula>
    </cfRule>
  </conditionalFormatting>
  <conditionalFormatting sqref="G514:H516">
    <cfRule type="cellIs" dxfId="446" priority="238" operator="equal">
      <formula>0</formula>
    </cfRule>
  </conditionalFormatting>
  <conditionalFormatting sqref="J514">
    <cfRule type="cellIs" dxfId="445" priority="237" operator="equal">
      <formula>0</formula>
    </cfRule>
  </conditionalFormatting>
  <conditionalFormatting sqref="A532:A533">
    <cfRule type="cellIs" dxfId="444" priority="236" operator="equal">
      <formula>0</formula>
    </cfRule>
  </conditionalFormatting>
  <conditionalFormatting sqref="D532:D533">
    <cfRule type="cellIs" dxfId="443" priority="235" operator="equal">
      <formula>0</formula>
    </cfRule>
  </conditionalFormatting>
  <conditionalFormatting sqref="J532">
    <cfRule type="cellIs" dxfId="442" priority="234" operator="equal">
      <formula>0</formula>
    </cfRule>
  </conditionalFormatting>
  <conditionalFormatting sqref="A550:A551">
    <cfRule type="cellIs" dxfId="441" priority="233" operator="equal">
      <formula>0</formula>
    </cfRule>
  </conditionalFormatting>
  <conditionalFormatting sqref="D550:D551">
    <cfRule type="cellIs" dxfId="440" priority="232" operator="equal">
      <formula>0</formula>
    </cfRule>
  </conditionalFormatting>
  <conditionalFormatting sqref="G550:H551">
    <cfRule type="cellIs" dxfId="439" priority="231" operator="equal">
      <formula>0</formula>
    </cfRule>
  </conditionalFormatting>
  <conditionalFormatting sqref="J550">
    <cfRule type="cellIs" dxfId="438" priority="230" operator="equal">
      <formula>0</formula>
    </cfRule>
  </conditionalFormatting>
  <conditionalFormatting sqref="A568:A572">
    <cfRule type="cellIs" dxfId="437" priority="229" operator="equal">
      <formula>0</formula>
    </cfRule>
  </conditionalFormatting>
  <conditionalFormatting sqref="G568:H572">
    <cfRule type="cellIs" dxfId="436" priority="227" operator="equal">
      <formula>0</formula>
    </cfRule>
  </conditionalFormatting>
  <conditionalFormatting sqref="J568">
    <cfRule type="cellIs" dxfId="435" priority="226" operator="equal">
      <formula>0</formula>
    </cfRule>
  </conditionalFormatting>
  <conditionalFormatting sqref="A586:A589">
    <cfRule type="cellIs" dxfId="434" priority="225" operator="equal">
      <formula>0</formula>
    </cfRule>
  </conditionalFormatting>
  <conditionalFormatting sqref="A622:A627">
    <cfRule type="cellIs" dxfId="433" priority="217" operator="equal">
      <formula>0</formula>
    </cfRule>
  </conditionalFormatting>
  <conditionalFormatting sqref="G586:H589">
    <cfRule type="cellIs" dxfId="432" priority="223" operator="equal">
      <formula>0</formula>
    </cfRule>
  </conditionalFormatting>
  <conditionalFormatting sqref="J586">
    <cfRule type="cellIs" dxfId="431" priority="222" operator="equal">
      <formula>0</formula>
    </cfRule>
  </conditionalFormatting>
  <conditionalFormatting sqref="A604:A609">
    <cfRule type="cellIs" dxfId="430" priority="221" operator="equal">
      <formula>0</formula>
    </cfRule>
  </conditionalFormatting>
  <conditionalFormatting sqref="J622">
    <cfRule type="cellIs" dxfId="429" priority="214" operator="equal">
      <formula>0</formula>
    </cfRule>
  </conditionalFormatting>
  <conditionalFormatting sqref="G604:H609">
    <cfRule type="cellIs" dxfId="428" priority="219" operator="equal">
      <formula>0</formula>
    </cfRule>
  </conditionalFormatting>
  <conditionalFormatting sqref="J604">
    <cfRule type="cellIs" dxfId="427" priority="218" operator="equal">
      <formula>0</formula>
    </cfRule>
  </conditionalFormatting>
  <conditionalFormatting sqref="H640:H645">
    <cfRule type="cellIs" dxfId="426" priority="211" operator="equal">
      <formula>0</formula>
    </cfRule>
  </conditionalFormatting>
  <conditionalFormatting sqref="G622:H627">
    <cfRule type="cellIs" dxfId="425" priority="215" operator="equal">
      <formula>0</formula>
    </cfRule>
  </conditionalFormatting>
  <conditionalFormatting sqref="A640:A645">
    <cfRule type="cellIs" dxfId="424" priority="213" operator="equal">
      <formula>0</formula>
    </cfRule>
  </conditionalFormatting>
  <conditionalFormatting sqref="J640">
    <cfRule type="cellIs" dxfId="423" priority="210" operator="equal">
      <formula>0</formula>
    </cfRule>
  </conditionalFormatting>
  <conditionalFormatting sqref="A658">
    <cfRule type="cellIs" dxfId="422" priority="209" operator="equal">
      <formula>0</formula>
    </cfRule>
  </conditionalFormatting>
  <conditionalFormatting sqref="J658">
    <cfRule type="cellIs" dxfId="421" priority="206" operator="equal">
      <formula>0</formula>
    </cfRule>
  </conditionalFormatting>
  <conditionalFormatting sqref="H658:H663">
    <cfRule type="cellIs" dxfId="420" priority="207" operator="equal">
      <formula>0</formula>
    </cfRule>
  </conditionalFormatting>
  <conditionalFormatting sqref="C15">
    <cfRule type="cellIs" dxfId="419" priority="205" operator="equal">
      <formula>0</formula>
    </cfRule>
  </conditionalFormatting>
  <conditionalFormatting sqref="C73">
    <cfRule type="cellIs" dxfId="418" priority="204" operator="equal">
      <formula>0</formula>
    </cfRule>
  </conditionalFormatting>
  <conditionalFormatting sqref="G1018:H1032 A1018:A1032 C1018:D1032">
    <cfRule type="cellIs" dxfId="417" priority="203" operator="equal">
      <formula>0</formula>
    </cfRule>
  </conditionalFormatting>
  <conditionalFormatting sqref="F1019:F1032">
    <cfRule type="cellIs" dxfId="416" priority="201" operator="equal">
      <formula>0</formula>
    </cfRule>
  </conditionalFormatting>
  <conditionalFormatting sqref="F1018">
    <cfRule type="cellIs" dxfId="415" priority="202" operator="equal">
      <formula>0</formula>
    </cfRule>
  </conditionalFormatting>
  <conditionalFormatting sqref="J1018">
    <cfRule type="cellIs" dxfId="414" priority="200" operator="equal">
      <formula>0</formula>
    </cfRule>
  </conditionalFormatting>
  <conditionalFormatting sqref="G1036:H1050 A1036:A1050 C1036:D1050">
    <cfRule type="cellIs" dxfId="413" priority="199" operator="equal">
      <formula>0</formula>
    </cfRule>
  </conditionalFormatting>
  <conditionalFormatting sqref="F1037:F1050">
    <cfRule type="cellIs" dxfId="412" priority="197" operator="equal">
      <formula>0</formula>
    </cfRule>
  </conditionalFormatting>
  <conditionalFormatting sqref="F1036">
    <cfRule type="cellIs" dxfId="411" priority="198" operator="equal">
      <formula>0</formula>
    </cfRule>
  </conditionalFormatting>
  <conditionalFormatting sqref="J1036">
    <cfRule type="cellIs" dxfId="410" priority="196" operator="equal">
      <formula>0</formula>
    </cfRule>
  </conditionalFormatting>
  <conditionalFormatting sqref="G1054:H1068 A1054:A1068 C1054:D1068">
    <cfRule type="cellIs" dxfId="409" priority="195" operator="equal">
      <formula>0</formula>
    </cfRule>
  </conditionalFormatting>
  <conditionalFormatting sqref="F1055:F1068">
    <cfRule type="cellIs" dxfId="408" priority="193" operator="equal">
      <formula>0</formula>
    </cfRule>
  </conditionalFormatting>
  <conditionalFormatting sqref="F1054">
    <cfRule type="cellIs" dxfId="407" priority="194" operator="equal">
      <formula>0</formula>
    </cfRule>
  </conditionalFormatting>
  <conditionalFormatting sqref="J1054">
    <cfRule type="cellIs" dxfId="406" priority="192" operator="equal">
      <formula>0</formula>
    </cfRule>
  </conditionalFormatting>
  <conditionalFormatting sqref="G1072:H1086 A1072:A1086 C1072:D1086">
    <cfRule type="cellIs" dxfId="405" priority="191" operator="equal">
      <formula>0</formula>
    </cfRule>
  </conditionalFormatting>
  <conditionalFormatting sqref="F1073:F1086">
    <cfRule type="cellIs" dxfId="404" priority="189" operator="equal">
      <formula>0</formula>
    </cfRule>
  </conditionalFormatting>
  <conditionalFormatting sqref="F1072">
    <cfRule type="cellIs" dxfId="403" priority="190" operator="equal">
      <formula>0</formula>
    </cfRule>
  </conditionalFormatting>
  <conditionalFormatting sqref="J1072">
    <cfRule type="cellIs" dxfId="402" priority="188" operator="equal">
      <formula>0</formula>
    </cfRule>
  </conditionalFormatting>
  <conditionalFormatting sqref="G1090:H1104 A1090:A1104 C1090:D1104">
    <cfRule type="cellIs" dxfId="401" priority="187" operator="equal">
      <formula>0</formula>
    </cfRule>
  </conditionalFormatting>
  <conditionalFormatting sqref="F1091:F1104">
    <cfRule type="cellIs" dxfId="400" priority="185" operator="equal">
      <formula>0</formula>
    </cfRule>
  </conditionalFormatting>
  <conditionalFormatting sqref="F1090">
    <cfRule type="cellIs" dxfId="399" priority="186" operator="equal">
      <formula>0</formula>
    </cfRule>
  </conditionalFormatting>
  <conditionalFormatting sqref="J1090">
    <cfRule type="cellIs" dxfId="398" priority="184" operator="equal">
      <formula>0</formula>
    </cfRule>
  </conditionalFormatting>
  <conditionalFormatting sqref="G1108:H1122 A1108:A1122 C1108:D1122">
    <cfRule type="cellIs" dxfId="397" priority="183" operator="equal">
      <formula>0</formula>
    </cfRule>
  </conditionalFormatting>
  <conditionalFormatting sqref="F1109:F1122">
    <cfRule type="cellIs" dxfId="396" priority="181" operator="equal">
      <formula>0</formula>
    </cfRule>
  </conditionalFormatting>
  <conditionalFormatting sqref="F1108">
    <cfRule type="cellIs" dxfId="395" priority="182" operator="equal">
      <formula>0</formula>
    </cfRule>
  </conditionalFormatting>
  <conditionalFormatting sqref="J1108">
    <cfRule type="cellIs" dxfId="394" priority="180" operator="equal">
      <formula>0</formula>
    </cfRule>
  </conditionalFormatting>
  <conditionalFormatting sqref="G1126:H1140 A1126:A1140 C1126:D1140">
    <cfRule type="cellIs" dxfId="393" priority="179" operator="equal">
      <formula>0</formula>
    </cfRule>
  </conditionalFormatting>
  <conditionalFormatting sqref="F1127:F1140">
    <cfRule type="cellIs" dxfId="392" priority="177" operator="equal">
      <formula>0</formula>
    </cfRule>
  </conditionalFormatting>
  <conditionalFormatting sqref="F1126">
    <cfRule type="cellIs" dxfId="391" priority="178" operator="equal">
      <formula>0</formula>
    </cfRule>
  </conditionalFormatting>
  <conditionalFormatting sqref="J1126">
    <cfRule type="cellIs" dxfId="390" priority="176" operator="equal">
      <formula>0</formula>
    </cfRule>
  </conditionalFormatting>
  <conditionalFormatting sqref="G1144:H1158 A1144:A1158 C1144:D1158">
    <cfRule type="cellIs" dxfId="389" priority="175" operator="equal">
      <formula>0</formula>
    </cfRule>
  </conditionalFormatting>
  <conditionalFormatting sqref="F1145:F1158">
    <cfRule type="cellIs" dxfId="388" priority="173" operator="equal">
      <formula>0</formula>
    </cfRule>
  </conditionalFormatting>
  <conditionalFormatting sqref="F1144">
    <cfRule type="cellIs" dxfId="387" priority="174" operator="equal">
      <formula>0</formula>
    </cfRule>
  </conditionalFormatting>
  <conditionalFormatting sqref="J1144">
    <cfRule type="cellIs" dxfId="386" priority="172" operator="equal">
      <formula>0</formula>
    </cfRule>
  </conditionalFormatting>
  <conditionalFormatting sqref="G1162:H1176 A1162:A1176 C1162:D1176">
    <cfRule type="cellIs" dxfId="385" priority="171" operator="equal">
      <formula>0</formula>
    </cfRule>
  </conditionalFormatting>
  <conditionalFormatting sqref="F1163:F1176">
    <cfRule type="cellIs" dxfId="384" priority="169" operator="equal">
      <formula>0</formula>
    </cfRule>
  </conditionalFormatting>
  <conditionalFormatting sqref="F1162">
    <cfRule type="cellIs" dxfId="383" priority="170" operator="equal">
      <formula>0</formula>
    </cfRule>
  </conditionalFormatting>
  <conditionalFormatting sqref="J1162">
    <cfRule type="cellIs" dxfId="382" priority="168" operator="equal">
      <formula>0</formula>
    </cfRule>
  </conditionalFormatting>
  <conditionalFormatting sqref="G1180:H1194 A1180:A1194 C1180:D1194">
    <cfRule type="cellIs" dxfId="381" priority="167" operator="equal">
      <formula>0</formula>
    </cfRule>
  </conditionalFormatting>
  <conditionalFormatting sqref="F1181:F1194">
    <cfRule type="cellIs" dxfId="380" priority="165" operator="equal">
      <formula>0</formula>
    </cfRule>
  </conditionalFormatting>
  <conditionalFormatting sqref="F1180">
    <cfRule type="cellIs" dxfId="379" priority="166" operator="equal">
      <formula>0</formula>
    </cfRule>
  </conditionalFormatting>
  <conditionalFormatting sqref="J1180">
    <cfRule type="cellIs" dxfId="378" priority="164" operator="equal">
      <formula>0</formula>
    </cfRule>
  </conditionalFormatting>
  <conditionalFormatting sqref="G1198:H1212 A1198:A1212 C1198:D1212">
    <cfRule type="cellIs" dxfId="377" priority="163" operator="equal">
      <formula>0</formula>
    </cfRule>
  </conditionalFormatting>
  <conditionalFormatting sqref="F1199:F1212">
    <cfRule type="cellIs" dxfId="376" priority="161" operator="equal">
      <formula>0</formula>
    </cfRule>
  </conditionalFormatting>
  <conditionalFormatting sqref="F1198">
    <cfRule type="cellIs" dxfId="375" priority="162" operator="equal">
      <formula>0</formula>
    </cfRule>
  </conditionalFormatting>
  <conditionalFormatting sqref="J1198">
    <cfRule type="cellIs" dxfId="374" priority="160" operator="equal">
      <formula>0</formula>
    </cfRule>
  </conditionalFormatting>
  <conditionalFormatting sqref="G1216:H1230 A1216:A1230 C1216:D1230">
    <cfRule type="cellIs" dxfId="373" priority="159" operator="equal">
      <formula>0</formula>
    </cfRule>
  </conditionalFormatting>
  <conditionalFormatting sqref="F1217:F1230">
    <cfRule type="cellIs" dxfId="372" priority="157" operator="equal">
      <formula>0</formula>
    </cfRule>
  </conditionalFormatting>
  <conditionalFormatting sqref="F1216">
    <cfRule type="cellIs" dxfId="371" priority="158" operator="equal">
      <formula>0</formula>
    </cfRule>
  </conditionalFormatting>
  <conditionalFormatting sqref="J1216">
    <cfRule type="cellIs" dxfId="370" priority="156" operator="equal">
      <formula>0</formula>
    </cfRule>
  </conditionalFormatting>
  <conditionalFormatting sqref="G1234:H1248 A1234:A1248 C1234:D1248">
    <cfRule type="cellIs" dxfId="369" priority="155" operator="equal">
      <formula>0</formula>
    </cfRule>
  </conditionalFormatting>
  <conditionalFormatting sqref="F1235:F1248">
    <cfRule type="cellIs" dxfId="368" priority="153" operator="equal">
      <formula>0</formula>
    </cfRule>
  </conditionalFormatting>
  <conditionalFormatting sqref="F1234">
    <cfRule type="cellIs" dxfId="367" priority="154" operator="equal">
      <formula>0</formula>
    </cfRule>
  </conditionalFormatting>
  <conditionalFormatting sqref="J1234">
    <cfRule type="cellIs" dxfId="366" priority="152" operator="equal">
      <formula>0</formula>
    </cfRule>
  </conditionalFormatting>
  <conditionalFormatting sqref="G1252:H1266 A1252:A1266 C1252:D1266">
    <cfRule type="cellIs" dxfId="365" priority="151" operator="equal">
      <formula>0</formula>
    </cfRule>
  </conditionalFormatting>
  <conditionalFormatting sqref="F1253:F1266">
    <cfRule type="cellIs" dxfId="364" priority="149" operator="equal">
      <formula>0</formula>
    </cfRule>
  </conditionalFormatting>
  <conditionalFormatting sqref="F1252">
    <cfRule type="cellIs" dxfId="363" priority="150" operator="equal">
      <formula>0</formula>
    </cfRule>
  </conditionalFormatting>
  <conditionalFormatting sqref="J1252">
    <cfRule type="cellIs" dxfId="362" priority="148" operator="equal">
      <formula>0</formula>
    </cfRule>
  </conditionalFormatting>
  <conditionalFormatting sqref="G1270:H1284 A1270:A1284 C1270:D1284">
    <cfRule type="cellIs" dxfId="361" priority="147" operator="equal">
      <formula>0</formula>
    </cfRule>
  </conditionalFormatting>
  <conditionalFormatting sqref="F1271:F1284">
    <cfRule type="cellIs" dxfId="360" priority="145" operator="equal">
      <formula>0</formula>
    </cfRule>
  </conditionalFormatting>
  <conditionalFormatting sqref="F1270">
    <cfRule type="cellIs" dxfId="359" priority="146" operator="equal">
      <formula>0</formula>
    </cfRule>
  </conditionalFormatting>
  <conditionalFormatting sqref="J1270">
    <cfRule type="cellIs" dxfId="358" priority="144" operator="equal">
      <formula>0</formula>
    </cfRule>
  </conditionalFormatting>
  <conditionalFormatting sqref="G1288:H1302 A1288:A1302 C1288:D1302">
    <cfRule type="cellIs" dxfId="357" priority="143" operator="equal">
      <formula>0</formula>
    </cfRule>
  </conditionalFormatting>
  <conditionalFormatting sqref="F1289:F1302">
    <cfRule type="cellIs" dxfId="356" priority="141" operator="equal">
      <formula>0</formula>
    </cfRule>
  </conditionalFormatting>
  <conditionalFormatting sqref="F1288">
    <cfRule type="cellIs" dxfId="355" priority="142" operator="equal">
      <formula>0</formula>
    </cfRule>
  </conditionalFormatting>
  <conditionalFormatting sqref="J1288">
    <cfRule type="cellIs" dxfId="354" priority="140" operator="equal">
      <formula>0</formula>
    </cfRule>
  </conditionalFormatting>
  <conditionalFormatting sqref="G1306:H1320 A1306:A1320 C1306:D1320">
    <cfRule type="cellIs" dxfId="353" priority="139" operator="equal">
      <formula>0</formula>
    </cfRule>
  </conditionalFormatting>
  <conditionalFormatting sqref="F1307:F1320">
    <cfRule type="cellIs" dxfId="352" priority="137" operator="equal">
      <formula>0</formula>
    </cfRule>
  </conditionalFormatting>
  <conditionalFormatting sqref="F1306">
    <cfRule type="cellIs" dxfId="351" priority="138" operator="equal">
      <formula>0</formula>
    </cfRule>
  </conditionalFormatting>
  <conditionalFormatting sqref="J1306">
    <cfRule type="cellIs" dxfId="350" priority="136" operator="equal">
      <formula>0</formula>
    </cfRule>
  </conditionalFormatting>
  <conditionalFormatting sqref="G1324:H1338 A1324:A1338 C1324:D1338">
    <cfRule type="cellIs" dxfId="349" priority="135" operator="equal">
      <formula>0</formula>
    </cfRule>
  </conditionalFormatting>
  <conditionalFormatting sqref="F1325:F1338">
    <cfRule type="cellIs" dxfId="348" priority="133" operator="equal">
      <formula>0</formula>
    </cfRule>
  </conditionalFormatting>
  <conditionalFormatting sqref="F1324">
    <cfRule type="cellIs" dxfId="347" priority="134" operator="equal">
      <formula>0</formula>
    </cfRule>
  </conditionalFormatting>
  <conditionalFormatting sqref="J1324">
    <cfRule type="cellIs" dxfId="346" priority="132" operator="equal">
      <formula>0</formula>
    </cfRule>
  </conditionalFormatting>
  <conditionalFormatting sqref="G1342:H1356 A1342:A1356 C1342:D1356">
    <cfRule type="cellIs" dxfId="345" priority="131" operator="equal">
      <formula>0</formula>
    </cfRule>
  </conditionalFormatting>
  <conditionalFormatting sqref="F1343:F1356">
    <cfRule type="cellIs" dxfId="344" priority="129" operator="equal">
      <formula>0</formula>
    </cfRule>
  </conditionalFormatting>
  <conditionalFormatting sqref="F1342">
    <cfRule type="cellIs" dxfId="343" priority="130" operator="equal">
      <formula>0</formula>
    </cfRule>
  </conditionalFormatting>
  <conditionalFormatting sqref="J1342">
    <cfRule type="cellIs" dxfId="342" priority="128" operator="equal">
      <formula>0</formula>
    </cfRule>
  </conditionalFormatting>
  <conditionalFormatting sqref="G1360:H1374 A1360:A1374 C1360:D1374">
    <cfRule type="cellIs" dxfId="341" priority="127" operator="equal">
      <formula>0</formula>
    </cfRule>
  </conditionalFormatting>
  <conditionalFormatting sqref="F1361:F1374">
    <cfRule type="cellIs" dxfId="340" priority="125" operator="equal">
      <formula>0</formula>
    </cfRule>
  </conditionalFormatting>
  <conditionalFormatting sqref="F1360">
    <cfRule type="cellIs" dxfId="339" priority="126" operator="equal">
      <formula>0</formula>
    </cfRule>
  </conditionalFormatting>
  <conditionalFormatting sqref="J1360">
    <cfRule type="cellIs" dxfId="338" priority="124" operator="equal">
      <formula>0</formula>
    </cfRule>
  </conditionalFormatting>
  <conditionalFormatting sqref="G1378:H1392 A1378:A1392 C1378:D1392">
    <cfRule type="cellIs" dxfId="337" priority="123" operator="equal">
      <formula>0</formula>
    </cfRule>
  </conditionalFormatting>
  <conditionalFormatting sqref="F1379:F1392">
    <cfRule type="cellIs" dxfId="336" priority="121" operator="equal">
      <formula>0</formula>
    </cfRule>
  </conditionalFormatting>
  <conditionalFormatting sqref="F1378">
    <cfRule type="cellIs" dxfId="335" priority="122" operator="equal">
      <formula>0</formula>
    </cfRule>
  </conditionalFormatting>
  <conditionalFormatting sqref="J1378">
    <cfRule type="cellIs" dxfId="334" priority="120" operator="equal">
      <formula>0</formula>
    </cfRule>
  </conditionalFormatting>
  <conditionalFormatting sqref="G1396:H1410 A1396:A1410 C1396:D1410">
    <cfRule type="cellIs" dxfId="333" priority="119" operator="equal">
      <formula>0</formula>
    </cfRule>
  </conditionalFormatting>
  <conditionalFormatting sqref="F1397:F1410">
    <cfRule type="cellIs" dxfId="332" priority="117" operator="equal">
      <formula>0</formula>
    </cfRule>
  </conditionalFormatting>
  <conditionalFormatting sqref="F1396">
    <cfRule type="cellIs" dxfId="331" priority="118" operator="equal">
      <formula>0</formula>
    </cfRule>
  </conditionalFormatting>
  <conditionalFormatting sqref="J1396">
    <cfRule type="cellIs" dxfId="330" priority="116" operator="equal">
      <formula>0</formula>
    </cfRule>
  </conditionalFormatting>
  <conditionalFormatting sqref="G1414:H1428 A1414:A1428 C1414:D1428">
    <cfRule type="cellIs" dxfId="329" priority="115" operator="equal">
      <formula>0</formula>
    </cfRule>
  </conditionalFormatting>
  <conditionalFormatting sqref="F1415:F1428">
    <cfRule type="cellIs" dxfId="328" priority="113" operator="equal">
      <formula>0</formula>
    </cfRule>
  </conditionalFormatting>
  <conditionalFormatting sqref="F1414">
    <cfRule type="cellIs" dxfId="327" priority="114" operator="equal">
      <formula>0</formula>
    </cfRule>
  </conditionalFormatting>
  <conditionalFormatting sqref="J1414">
    <cfRule type="cellIs" dxfId="326" priority="112" operator="equal">
      <formula>0</formula>
    </cfRule>
  </conditionalFormatting>
  <conditionalFormatting sqref="G1432:H1446 A1432:A1446 C1432:D1446">
    <cfRule type="cellIs" dxfId="325" priority="111" operator="equal">
      <formula>0</formula>
    </cfRule>
  </conditionalFormatting>
  <conditionalFormatting sqref="F1433:F1446">
    <cfRule type="cellIs" dxfId="324" priority="109" operator="equal">
      <formula>0</formula>
    </cfRule>
  </conditionalFormatting>
  <conditionalFormatting sqref="F1432">
    <cfRule type="cellIs" dxfId="323" priority="110" operator="equal">
      <formula>0</formula>
    </cfRule>
  </conditionalFormatting>
  <conditionalFormatting sqref="J1432">
    <cfRule type="cellIs" dxfId="322" priority="108" operator="equal">
      <formula>0</formula>
    </cfRule>
  </conditionalFormatting>
  <conditionalFormatting sqref="G1450:H1464 A1450:A1464 C1450:D1464">
    <cfRule type="cellIs" dxfId="321" priority="107" operator="equal">
      <formula>0</formula>
    </cfRule>
  </conditionalFormatting>
  <conditionalFormatting sqref="F1451:F1464">
    <cfRule type="cellIs" dxfId="320" priority="105" operator="equal">
      <formula>0</formula>
    </cfRule>
  </conditionalFormatting>
  <conditionalFormatting sqref="F1450">
    <cfRule type="cellIs" dxfId="319" priority="106" operator="equal">
      <formula>0</formula>
    </cfRule>
  </conditionalFormatting>
  <conditionalFormatting sqref="J1450">
    <cfRule type="cellIs" dxfId="318" priority="104" operator="equal">
      <formula>0</formula>
    </cfRule>
  </conditionalFormatting>
  <conditionalFormatting sqref="G1468:H1482 A1468:A1482 C1468:D1482">
    <cfRule type="cellIs" dxfId="317" priority="103" operator="equal">
      <formula>0</formula>
    </cfRule>
  </conditionalFormatting>
  <conditionalFormatting sqref="F1469:F1482">
    <cfRule type="cellIs" dxfId="316" priority="101" operator="equal">
      <formula>0</formula>
    </cfRule>
  </conditionalFormatting>
  <conditionalFormatting sqref="F1468">
    <cfRule type="cellIs" dxfId="315" priority="102" operator="equal">
      <formula>0</formula>
    </cfRule>
  </conditionalFormatting>
  <conditionalFormatting sqref="J1468">
    <cfRule type="cellIs" dxfId="314" priority="100" operator="equal">
      <formula>0</formula>
    </cfRule>
  </conditionalFormatting>
  <conditionalFormatting sqref="G1486:H1500 A1486:A1500 C1486:D1500">
    <cfRule type="cellIs" dxfId="313" priority="99" operator="equal">
      <formula>0</formula>
    </cfRule>
  </conditionalFormatting>
  <conditionalFormatting sqref="F1487:F1500">
    <cfRule type="cellIs" dxfId="312" priority="97" operator="equal">
      <formula>0</formula>
    </cfRule>
  </conditionalFormatting>
  <conditionalFormatting sqref="F1486">
    <cfRule type="cellIs" dxfId="311" priority="98" operator="equal">
      <formula>0</formula>
    </cfRule>
  </conditionalFormatting>
  <conditionalFormatting sqref="J1486">
    <cfRule type="cellIs" dxfId="310" priority="96" operator="equal">
      <formula>0</formula>
    </cfRule>
  </conditionalFormatting>
  <conditionalFormatting sqref="G1504:H1518 A1504:A1518 C1504:D1518">
    <cfRule type="cellIs" dxfId="309" priority="95" operator="equal">
      <formula>0</formula>
    </cfRule>
  </conditionalFormatting>
  <conditionalFormatting sqref="F1505:F1518">
    <cfRule type="cellIs" dxfId="308" priority="93" operator="equal">
      <formula>0</formula>
    </cfRule>
  </conditionalFormatting>
  <conditionalFormatting sqref="F1504">
    <cfRule type="cellIs" dxfId="307" priority="94" operator="equal">
      <formula>0</formula>
    </cfRule>
  </conditionalFormatting>
  <conditionalFormatting sqref="J1504">
    <cfRule type="cellIs" dxfId="306" priority="92" operator="equal">
      <formula>0</formula>
    </cfRule>
  </conditionalFormatting>
  <conditionalFormatting sqref="G1522:H1536 A1522:A1536 C1522:D1536">
    <cfRule type="cellIs" dxfId="305" priority="91" operator="equal">
      <formula>0</formula>
    </cfRule>
  </conditionalFormatting>
  <conditionalFormatting sqref="F1523:F1536">
    <cfRule type="cellIs" dxfId="304" priority="89" operator="equal">
      <formula>0</formula>
    </cfRule>
  </conditionalFormatting>
  <conditionalFormatting sqref="F1522">
    <cfRule type="cellIs" dxfId="303" priority="90" operator="equal">
      <formula>0</formula>
    </cfRule>
  </conditionalFormatting>
  <conditionalFormatting sqref="J1522">
    <cfRule type="cellIs" dxfId="302" priority="88" operator="equal">
      <formula>0</formula>
    </cfRule>
  </conditionalFormatting>
  <conditionalFormatting sqref="G1540:H1554 A1540:A1554 C1540:D1554">
    <cfRule type="cellIs" dxfId="301" priority="87" operator="equal">
      <formula>0</formula>
    </cfRule>
  </conditionalFormatting>
  <conditionalFormatting sqref="F1541:F1554">
    <cfRule type="cellIs" dxfId="300" priority="85" operator="equal">
      <formula>0</formula>
    </cfRule>
  </conditionalFormatting>
  <conditionalFormatting sqref="F1540">
    <cfRule type="cellIs" dxfId="299" priority="86" operator="equal">
      <formula>0</formula>
    </cfRule>
  </conditionalFormatting>
  <conditionalFormatting sqref="J1540">
    <cfRule type="cellIs" dxfId="298" priority="84" operator="equal">
      <formula>0</formula>
    </cfRule>
  </conditionalFormatting>
  <conditionalFormatting sqref="G1558:H1572 A1558:A1572 C1558:D1572">
    <cfRule type="cellIs" dxfId="297" priority="83" operator="equal">
      <formula>0</formula>
    </cfRule>
  </conditionalFormatting>
  <conditionalFormatting sqref="F1559:F1572">
    <cfRule type="cellIs" dxfId="296" priority="81" operator="equal">
      <formula>0</formula>
    </cfRule>
  </conditionalFormatting>
  <conditionalFormatting sqref="F1558">
    <cfRule type="cellIs" dxfId="295" priority="82" operator="equal">
      <formula>0</formula>
    </cfRule>
  </conditionalFormatting>
  <conditionalFormatting sqref="J1558">
    <cfRule type="cellIs" dxfId="294" priority="80" operator="equal">
      <formula>0</formula>
    </cfRule>
  </conditionalFormatting>
  <conditionalFormatting sqref="G1576:H1590 A1576:A1590 C1576:D1590">
    <cfRule type="cellIs" dxfId="293" priority="79" operator="equal">
      <formula>0</formula>
    </cfRule>
  </conditionalFormatting>
  <conditionalFormatting sqref="F1577:F1590">
    <cfRule type="cellIs" dxfId="292" priority="77" operator="equal">
      <formula>0</formula>
    </cfRule>
  </conditionalFormatting>
  <conditionalFormatting sqref="F1576">
    <cfRule type="cellIs" dxfId="291" priority="78" operator="equal">
      <formula>0</formula>
    </cfRule>
  </conditionalFormatting>
  <conditionalFormatting sqref="J1576">
    <cfRule type="cellIs" dxfId="290" priority="76" operator="equal">
      <formula>0</formula>
    </cfRule>
  </conditionalFormatting>
  <conditionalFormatting sqref="G1594:H1608 A1594:A1608 C1594:D1608">
    <cfRule type="cellIs" dxfId="289" priority="75" operator="equal">
      <formula>0</formula>
    </cfRule>
  </conditionalFormatting>
  <conditionalFormatting sqref="F1595:F1608">
    <cfRule type="cellIs" dxfId="288" priority="73" operator="equal">
      <formula>0</formula>
    </cfRule>
  </conditionalFormatting>
  <conditionalFormatting sqref="F1594">
    <cfRule type="cellIs" dxfId="287" priority="74" operator="equal">
      <formula>0</formula>
    </cfRule>
  </conditionalFormatting>
  <conditionalFormatting sqref="J1594">
    <cfRule type="cellIs" dxfId="286" priority="72" operator="equal">
      <formula>0</formula>
    </cfRule>
  </conditionalFormatting>
  <conditionalFormatting sqref="J316">
    <cfRule type="cellIs" dxfId="285" priority="36" operator="equal">
      <formula>0</formula>
    </cfRule>
  </conditionalFormatting>
  <conditionalFormatting sqref="D30">
    <cfRule type="cellIs" dxfId="284" priority="71" operator="equal">
      <formula>0</formula>
    </cfRule>
  </conditionalFormatting>
  <conditionalFormatting sqref="C28:D28 D29 C29:C30">
    <cfRule type="cellIs" dxfId="283" priority="70" operator="equal">
      <formula>0</formula>
    </cfRule>
  </conditionalFormatting>
  <conditionalFormatting sqref="D49">
    <cfRule type="cellIs" dxfId="282" priority="69" operator="equal">
      <formula>0</formula>
    </cfRule>
  </conditionalFormatting>
  <conditionalFormatting sqref="D46:D48">
    <cfRule type="cellIs" dxfId="281" priority="68" operator="equal">
      <formula>0</formula>
    </cfRule>
  </conditionalFormatting>
  <conditionalFormatting sqref="C46:C49">
    <cfRule type="cellIs" dxfId="280" priority="67" operator="equal">
      <formula>0</formula>
    </cfRule>
  </conditionalFormatting>
  <conditionalFormatting sqref="A67">
    <cfRule type="cellIs" dxfId="279" priority="66" operator="equal">
      <formula>0</formula>
    </cfRule>
  </conditionalFormatting>
  <conditionalFormatting sqref="A64:A65">
    <cfRule type="cellIs" dxfId="278" priority="65" operator="equal">
      <formula>0</formula>
    </cfRule>
  </conditionalFormatting>
  <conditionalFormatting sqref="A66">
    <cfRule type="cellIs" dxfId="277" priority="64" operator="equal">
      <formula>0</formula>
    </cfRule>
  </conditionalFormatting>
  <conditionalFormatting sqref="D67">
    <cfRule type="cellIs" dxfId="276" priority="63" operator="equal">
      <formula>0</formula>
    </cfRule>
  </conditionalFormatting>
  <conditionalFormatting sqref="C64:D64 D65:D66 C65:C67">
    <cfRule type="cellIs" dxfId="275" priority="62" operator="equal">
      <formula>0</formula>
    </cfRule>
  </conditionalFormatting>
  <conditionalFormatting sqref="H64:H67">
    <cfRule type="cellIs" dxfId="274" priority="61" operator="equal">
      <formula>0</formula>
    </cfRule>
  </conditionalFormatting>
  <conditionalFormatting sqref="A82:A87">
    <cfRule type="cellIs" dxfId="273" priority="60" operator="equal">
      <formula>0</formula>
    </cfRule>
  </conditionalFormatting>
  <conditionalFormatting sqref="A87">
    <cfRule type="cellIs" dxfId="272" priority="59" operator="equal">
      <formula>0</formula>
    </cfRule>
  </conditionalFormatting>
  <conditionalFormatting sqref="A87">
    <cfRule type="cellIs" dxfId="271" priority="58" operator="equal">
      <formula>0</formula>
    </cfRule>
  </conditionalFormatting>
  <conditionalFormatting sqref="C82:C88">
    <cfRule type="cellIs" dxfId="270" priority="57" operator="equal">
      <formula>0</formula>
    </cfRule>
  </conditionalFormatting>
  <conditionalFormatting sqref="D88:D89">
    <cfRule type="cellIs" dxfId="269" priority="56" operator="equal">
      <formula>0</formula>
    </cfRule>
  </conditionalFormatting>
  <conditionalFormatting sqref="D82:D87">
    <cfRule type="cellIs" dxfId="268" priority="55" operator="equal">
      <formula>0</formula>
    </cfRule>
  </conditionalFormatting>
  <conditionalFormatting sqref="J82">
    <cfRule type="cellIs" dxfId="267" priority="54" operator="equal">
      <formula>0</formula>
    </cfRule>
  </conditionalFormatting>
  <conditionalFormatting sqref="D118:D123">
    <cfRule type="cellIs" dxfId="266" priority="53" operator="equal">
      <formula>0</formula>
    </cfRule>
  </conditionalFormatting>
  <conditionalFormatting sqref="C118">
    <cfRule type="cellIs" dxfId="265" priority="52" operator="equal">
      <formula>0</formula>
    </cfRule>
  </conditionalFormatting>
  <conditionalFormatting sqref="J118">
    <cfRule type="cellIs" dxfId="264" priority="51" operator="equal">
      <formula>0</formula>
    </cfRule>
  </conditionalFormatting>
  <conditionalFormatting sqref="D136:D140">
    <cfRule type="cellIs" dxfId="263" priority="50" operator="equal">
      <formula>0</formula>
    </cfRule>
  </conditionalFormatting>
  <conditionalFormatting sqref="C136">
    <cfRule type="cellIs" dxfId="262" priority="49" operator="equal">
      <formula>0</formula>
    </cfRule>
  </conditionalFormatting>
  <conditionalFormatting sqref="A155:A158">
    <cfRule type="cellIs" dxfId="261" priority="48" operator="equal">
      <formula>0</formula>
    </cfRule>
  </conditionalFormatting>
  <conditionalFormatting sqref="C154">
    <cfRule type="cellIs" dxfId="260" priority="47" operator="equal">
      <formula>0</formula>
    </cfRule>
  </conditionalFormatting>
  <conditionalFormatting sqref="H160">
    <cfRule type="cellIs" dxfId="259" priority="46" operator="equal">
      <formula>0</formula>
    </cfRule>
  </conditionalFormatting>
  <conditionalFormatting sqref="H154">
    <cfRule type="cellIs" dxfId="258" priority="45" operator="equal">
      <formula>0</formula>
    </cfRule>
  </conditionalFormatting>
  <conditionalFormatting sqref="A172:A175">
    <cfRule type="cellIs" dxfId="257" priority="44" operator="equal">
      <formula>0</formula>
    </cfRule>
  </conditionalFormatting>
  <conditionalFormatting sqref="C172">
    <cfRule type="cellIs" dxfId="256" priority="43" operator="equal">
      <formula>0</formula>
    </cfRule>
  </conditionalFormatting>
  <conditionalFormatting sqref="C191:C195">
    <cfRule type="cellIs" dxfId="255" priority="42" operator="equal">
      <formula>0</formula>
    </cfRule>
  </conditionalFormatting>
  <conditionalFormatting sqref="A227">
    <cfRule type="cellIs" dxfId="254" priority="41" operator="equal">
      <formula>0</formula>
    </cfRule>
  </conditionalFormatting>
  <conditionalFormatting sqref="A226">
    <cfRule type="cellIs" dxfId="253" priority="40" operator="equal">
      <formula>0</formula>
    </cfRule>
  </conditionalFormatting>
  <conditionalFormatting sqref="A298">
    <cfRule type="cellIs" dxfId="252" priority="39" operator="equal">
      <formula>0</formula>
    </cfRule>
  </conditionalFormatting>
  <conditionalFormatting sqref="A299">
    <cfRule type="cellIs" dxfId="251" priority="38" operator="equal">
      <formula>0</formula>
    </cfRule>
  </conditionalFormatting>
  <conditionalFormatting sqref="A299">
    <cfRule type="cellIs" dxfId="250" priority="37" operator="equal">
      <formula>0</formula>
    </cfRule>
  </conditionalFormatting>
  <conditionalFormatting sqref="A334">
    <cfRule type="cellIs" dxfId="249" priority="35" operator="equal">
      <formula>0</formula>
    </cfRule>
  </conditionalFormatting>
  <conditionalFormatting sqref="C478:C481">
    <cfRule type="cellIs" dxfId="248" priority="13" operator="equal">
      <formula>0</formula>
    </cfRule>
  </conditionalFormatting>
  <conditionalFormatting sqref="C496:C497">
    <cfRule type="cellIs" dxfId="247" priority="11" operator="equal">
      <formula>0</formula>
    </cfRule>
  </conditionalFormatting>
  <conditionalFormatting sqref="A262">
    <cfRule type="cellIs" dxfId="246" priority="31" operator="equal">
      <formula>0</formula>
    </cfRule>
  </conditionalFormatting>
  <conditionalFormatting sqref="C119:C123">
    <cfRule type="cellIs" dxfId="245" priority="29" operator="equal">
      <formula>0</formula>
    </cfRule>
  </conditionalFormatting>
  <conditionalFormatting sqref="C137:C140">
    <cfRule type="cellIs" dxfId="244" priority="28" operator="equal">
      <formula>0</formula>
    </cfRule>
  </conditionalFormatting>
  <conditionalFormatting sqref="C155:C160">
    <cfRule type="cellIs" dxfId="243" priority="27" operator="equal">
      <formula>0</formula>
    </cfRule>
  </conditionalFormatting>
  <conditionalFormatting sqref="G155:G159">
    <cfRule type="cellIs" dxfId="242" priority="26" operator="equal">
      <formula>0</formula>
    </cfRule>
  </conditionalFormatting>
  <conditionalFormatting sqref="H155:H159">
    <cfRule type="cellIs" dxfId="241" priority="25" operator="equal">
      <formula>0</formula>
    </cfRule>
  </conditionalFormatting>
  <conditionalFormatting sqref="C173">
    <cfRule type="cellIs" dxfId="240" priority="24" operator="equal">
      <formula>0</formula>
    </cfRule>
  </conditionalFormatting>
  <conditionalFormatting sqref="C174:C176">
    <cfRule type="cellIs" dxfId="239" priority="23" operator="equal">
      <formula>0</formula>
    </cfRule>
  </conditionalFormatting>
  <conditionalFormatting sqref="C177:C178">
    <cfRule type="cellIs" dxfId="238" priority="22" operator="equal">
      <formula>0</formula>
    </cfRule>
  </conditionalFormatting>
  <conditionalFormatting sqref="A263:A266">
    <cfRule type="cellIs" dxfId="237" priority="21" operator="equal">
      <formula>0</formula>
    </cfRule>
  </conditionalFormatting>
  <conditionalFormatting sqref="A319:A320">
    <cfRule type="cellIs" dxfId="236" priority="20" operator="equal">
      <formula>0</formula>
    </cfRule>
  </conditionalFormatting>
  <conditionalFormatting sqref="C316:C321">
    <cfRule type="cellIs" dxfId="235" priority="19" operator="equal">
      <formula>0</formula>
    </cfRule>
  </conditionalFormatting>
  <conditionalFormatting sqref="A335:A337">
    <cfRule type="cellIs" dxfId="234" priority="18" operator="equal">
      <formula>0</formula>
    </cfRule>
  </conditionalFormatting>
  <conditionalFormatting sqref="C352:C356">
    <cfRule type="cellIs" dxfId="233" priority="17" operator="equal">
      <formula>0</formula>
    </cfRule>
  </conditionalFormatting>
  <conditionalFormatting sqref="C370:C375">
    <cfRule type="cellIs" dxfId="232" priority="16" operator="equal">
      <formula>0</formula>
    </cfRule>
  </conditionalFormatting>
  <conditionalFormatting sqref="C407">
    <cfRule type="cellIs" dxfId="231" priority="15" operator="equal">
      <formula>0</formula>
    </cfRule>
  </conditionalFormatting>
  <conditionalFormatting sqref="C408:C411">
    <cfRule type="cellIs" dxfId="230" priority="14" operator="equal">
      <formula>0</formula>
    </cfRule>
  </conditionalFormatting>
  <conditionalFormatting sqref="A10:A16">
    <cfRule type="cellIs" dxfId="229" priority="1" operator="equal">
      <formula>0</formula>
    </cfRule>
  </conditionalFormatting>
  <conditionalFormatting sqref="C532:C537">
    <cfRule type="cellIs" dxfId="228" priority="10" operator="equal">
      <formula>0</formula>
    </cfRule>
  </conditionalFormatting>
  <conditionalFormatting sqref="C550:C556">
    <cfRule type="cellIs" dxfId="227" priority="9" operator="equal">
      <formula>0</formula>
    </cfRule>
  </conditionalFormatting>
  <conditionalFormatting sqref="C568:C572">
    <cfRule type="cellIs" dxfId="226" priority="8" operator="equal">
      <formula>0</formula>
    </cfRule>
  </conditionalFormatting>
  <conditionalFormatting sqref="C586:C590">
    <cfRule type="cellIs" dxfId="225" priority="7" operator="equal">
      <formula>0</formula>
    </cfRule>
  </conditionalFormatting>
  <conditionalFormatting sqref="C604:C610">
    <cfRule type="cellIs" dxfId="224" priority="6" operator="equal">
      <formula>0</formula>
    </cfRule>
  </conditionalFormatting>
  <conditionalFormatting sqref="C622:C627">
    <cfRule type="cellIs" dxfId="223" priority="5" operator="equal">
      <formula>0</formula>
    </cfRule>
  </conditionalFormatting>
  <conditionalFormatting sqref="C640:C645">
    <cfRule type="cellIs" dxfId="222" priority="4" operator="equal">
      <formula>0</formula>
    </cfRule>
  </conditionalFormatting>
  <conditionalFormatting sqref="A659:A663">
    <cfRule type="cellIs" dxfId="221" priority="3" operator="equal">
      <formula>0</formula>
    </cfRule>
  </conditionalFormatting>
  <conditionalFormatting sqref="C658:C663">
    <cfRule type="cellIs" dxfId="220" priority="2" operator="equal">
      <formula>0</formula>
    </cfRule>
  </conditionalFormatting>
  <pageMargins left="0.19685039370078741" right="0.19685039370078741" top="0.19685039370078741" bottom="0.19685039370078741" header="0" footer="0.19685039370078741"/>
  <pageSetup paperSize="9" scale="50"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dimension ref="A1:WVW121"/>
  <sheetViews>
    <sheetView showGridLines="0" zoomScale="87" zoomScaleNormal="87" workbookViewId="0">
      <pane xSplit="2" ySplit="7" topLeftCell="C8" activePane="bottomRight" state="frozen"/>
      <selection pane="topRight" activeCell="C1" sqref="C1"/>
      <selection pane="bottomLeft" activeCell="A7" sqref="A7"/>
      <selection pane="bottomRight" activeCell="D122" sqref="D122"/>
    </sheetView>
  </sheetViews>
  <sheetFormatPr baseColWidth="10" defaultColWidth="11.42578125" defaultRowHeight="15" x14ac:dyDescent="0.25"/>
  <cols>
    <col min="1" max="1" width="9" style="44" customWidth="1"/>
    <col min="2" max="2" width="20.7109375" style="44" customWidth="1"/>
    <col min="3" max="3" width="7.140625" style="44" customWidth="1"/>
    <col min="4" max="4" width="37.5703125" style="44" customWidth="1"/>
    <col min="5" max="5" width="19.42578125" style="44" customWidth="1"/>
    <col min="6" max="6" width="7.85546875" style="44" customWidth="1"/>
    <col min="7" max="7" width="5.85546875" style="44" customWidth="1"/>
    <col min="8" max="8" width="6" style="44" customWidth="1"/>
    <col min="9" max="9" width="11.7109375" style="44" customWidth="1"/>
    <col min="10" max="10" width="15.42578125" style="44" customWidth="1"/>
    <col min="11" max="11" width="11.140625" style="44" customWidth="1"/>
    <col min="12" max="12" width="12.5703125" style="44" customWidth="1"/>
    <col min="13" max="13" width="5.85546875" style="44" hidden="1" customWidth="1"/>
    <col min="14" max="14" width="6.7109375" style="44" hidden="1" customWidth="1"/>
    <col min="15" max="15" width="5.85546875" style="44" hidden="1" customWidth="1"/>
    <col min="16" max="19" width="11.42578125" style="44"/>
    <col min="20" max="20" width="13.85546875" style="44" customWidth="1"/>
    <col min="21" max="257" width="11.42578125" style="44"/>
    <col min="258" max="258" width="20.7109375" style="44" customWidth="1"/>
    <col min="259" max="259" width="8.28515625" style="44" customWidth="1"/>
    <col min="260" max="260" width="28.7109375" style="44" customWidth="1"/>
    <col min="261" max="261" width="11.5703125" style="44" customWidth="1"/>
    <col min="262" max="262" width="8" style="44" customWidth="1"/>
    <col min="263" max="264" width="6.5703125" style="44" customWidth="1"/>
    <col min="265" max="265" width="11.5703125" style="44" customWidth="1"/>
    <col min="266" max="266" width="16" style="44" customWidth="1"/>
    <col min="267" max="267" width="12.140625" style="44" customWidth="1"/>
    <col min="268" max="268" width="12.5703125" style="44" customWidth="1"/>
    <col min="269" max="269" width="5.85546875" style="44" customWidth="1"/>
    <col min="270" max="270" width="6.7109375" style="44" customWidth="1"/>
    <col min="271" max="271" width="5.85546875" style="44" customWidth="1"/>
    <col min="272" max="513" width="11.42578125" style="44"/>
    <col min="514" max="514" width="20.7109375" style="44" customWidth="1"/>
    <col min="515" max="515" width="8.28515625" style="44" customWidth="1"/>
    <col min="516" max="516" width="28.7109375" style="44" customWidth="1"/>
    <col min="517" max="517" width="11.5703125" style="44" customWidth="1"/>
    <col min="518" max="518" width="8" style="44" customWidth="1"/>
    <col min="519" max="520" width="6.5703125" style="44" customWidth="1"/>
    <col min="521" max="521" width="11.5703125" style="44" customWidth="1"/>
    <col min="522" max="522" width="16" style="44" customWidth="1"/>
    <col min="523" max="523" width="12.140625" style="44" customWidth="1"/>
    <col min="524" max="524" width="12.5703125" style="44" customWidth="1"/>
    <col min="525" max="525" width="5.85546875" style="44" customWidth="1"/>
    <col min="526" max="526" width="6.7109375" style="44" customWidth="1"/>
    <col min="527" max="527" width="5.85546875" style="44" customWidth="1"/>
    <col min="528" max="769" width="11.42578125" style="44"/>
    <col min="770" max="770" width="20.7109375" style="44" customWidth="1"/>
    <col min="771" max="771" width="8.28515625" style="44" customWidth="1"/>
    <col min="772" max="772" width="28.7109375" style="44" customWidth="1"/>
    <col min="773" max="773" width="11.5703125" style="44" customWidth="1"/>
    <col min="774" max="774" width="8" style="44" customWidth="1"/>
    <col min="775" max="776" width="6.5703125" style="44" customWidth="1"/>
    <col min="777" max="777" width="11.5703125" style="44" customWidth="1"/>
    <col min="778" max="778" width="16" style="44" customWidth="1"/>
    <col min="779" max="779" width="12.140625" style="44" customWidth="1"/>
    <col min="780" max="780" width="12.5703125" style="44" customWidth="1"/>
    <col min="781" max="781" width="5.85546875" style="44" customWidth="1"/>
    <col min="782" max="782" width="6.7109375" style="44" customWidth="1"/>
    <col min="783" max="783" width="5.85546875" style="44" customWidth="1"/>
    <col min="784" max="1025" width="11.42578125" style="44"/>
    <col min="1026" max="1026" width="20.7109375" style="44" customWidth="1"/>
    <col min="1027" max="1027" width="8.28515625" style="44" customWidth="1"/>
    <col min="1028" max="1028" width="28.7109375" style="44" customWidth="1"/>
    <col min="1029" max="1029" width="11.5703125" style="44" customWidth="1"/>
    <col min="1030" max="1030" width="8" style="44" customWidth="1"/>
    <col min="1031" max="1032" width="6.5703125" style="44" customWidth="1"/>
    <col min="1033" max="1033" width="11.5703125" style="44" customWidth="1"/>
    <col min="1034" max="1034" width="16" style="44" customWidth="1"/>
    <col min="1035" max="1035" width="12.140625" style="44" customWidth="1"/>
    <col min="1036" max="1036" width="12.5703125" style="44" customWidth="1"/>
    <col min="1037" max="1037" width="5.85546875" style="44" customWidth="1"/>
    <col min="1038" max="1038" width="6.7109375" style="44" customWidth="1"/>
    <col min="1039" max="1039" width="5.85546875" style="44" customWidth="1"/>
    <col min="1040" max="1281" width="11.42578125" style="44"/>
    <col min="1282" max="1282" width="20.7109375" style="44" customWidth="1"/>
    <col min="1283" max="1283" width="8.28515625" style="44" customWidth="1"/>
    <col min="1284" max="1284" width="28.7109375" style="44" customWidth="1"/>
    <col min="1285" max="1285" width="11.5703125" style="44" customWidth="1"/>
    <col min="1286" max="1286" width="8" style="44" customWidth="1"/>
    <col min="1287" max="1288" width="6.5703125" style="44" customWidth="1"/>
    <col min="1289" max="1289" width="11.5703125" style="44" customWidth="1"/>
    <col min="1290" max="1290" width="16" style="44" customWidth="1"/>
    <col min="1291" max="1291" width="12.140625" style="44" customWidth="1"/>
    <col min="1292" max="1292" width="12.5703125" style="44" customWidth="1"/>
    <col min="1293" max="1293" width="5.85546875" style="44" customWidth="1"/>
    <col min="1294" max="1294" width="6.7109375" style="44" customWidth="1"/>
    <col min="1295" max="1295" width="5.85546875" style="44" customWidth="1"/>
    <col min="1296" max="1537" width="11.42578125" style="44"/>
    <col min="1538" max="1538" width="20.7109375" style="44" customWidth="1"/>
    <col min="1539" max="1539" width="8.28515625" style="44" customWidth="1"/>
    <col min="1540" max="1540" width="28.7109375" style="44" customWidth="1"/>
    <col min="1541" max="1541" width="11.5703125" style="44" customWidth="1"/>
    <col min="1542" max="1542" width="8" style="44" customWidth="1"/>
    <col min="1543" max="1544" width="6.5703125" style="44" customWidth="1"/>
    <col min="1545" max="1545" width="11.5703125" style="44" customWidth="1"/>
    <col min="1546" max="1546" width="16" style="44" customWidth="1"/>
    <col min="1547" max="1547" width="12.140625" style="44" customWidth="1"/>
    <col min="1548" max="1548" width="12.5703125" style="44" customWidth="1"/>
    <col min="1549" max="1549" width="5.85546875" style="44" customWidth="1"/>
    <col min="1550" max="1550" width="6.7109375" style="44" customWidth="1"/>
    <col min="1551" max="1551" width="5.85546875" style="44" customWidth="1"/>
    <col min="1552" max="1793" width="11.42578125" style="44"/>
    <col min="1794" max="1794" width="20.7109375" style="44" customWidth="1"/>
    <col min="1795" max="1795" width="8.28515625" style="44" customWidth="1"/>
    <col min="1796" max="1796" width="28.7109375" style="44" customWidth="1"/>
    <col min="1797" max="1797" width="11.5703125" style="44" customWidth="1"/>
    <col min="1798" max="1798" width="8" style="44" customWidth="1"/>
    <col min="1799" max="1800" width="6.5703125" style="44" customWidth="1"/>
    <col min="1801" max="1801" width="11.5703125" style="44" customWidth="1"/>
    <col min="1802" max="1802" width="16" style="44" customWidth="1"/>
    <col min="1803" max="1803" width="12.140625" style="44" customWidth="1"/>
    <col min="1804" max="1804" width="12.5703125" style="44" customWidth="1"/>
    <col min="1805" max="1805" width="5.85546875" style="44" customWidth="1"/>
    <col min="1806" max="1806" width="6.7109375" style="44" customWidth="1"/>
    <col min="1807" max="1807" width="5.85546875" style="44" customWidth="1"/>
    <col min="1808" max="2049" width="11.42578125" style="44"/>
    <col min="2050" max="2050" width="20.7109375" style="44" customWidth="1"/>
    <col min="2051" max="2051" width="8.28515625" style="44" customWidth="1"/>
    <col min="2052" max="2052" width="28.7109375" style="44" customWidth="1"/>
    <col min="2053" max="2053" width="11.5703125" style="44" customWidth="1"/>
    <col min="2054" max="2054" width="8" style="44" customWidth="1"/>
    <col min="2055" max="2056" width="6.5703125" style="44" customWidth="1"/>
    <col min="2057" max="2057" width="11.5703125" style="44" customWidth="1"/>
    <col min="2058" max="2058" width="16" style="44" customWidth="1"/>
    <col min="2059" max="2059" width="12.140625" style="44" customWidth="1"/>
    <col min="2060" max="2060" width="12.5703125" style="44" customWidth="1"/>
    <col min="2061" max="2061" width="5.85546875" style="44" customWidth="1"/>
    <col min="2062" max="2062" width="6.7109375" style="44" customWidth="1"/>
    <col min="2063" max="2063" width="5.85546875" style="44" customWidth="1"/>
    <col min="2064" max="2305" width="11.42578125" style="44"/>
    <col min="2306" max="2306" width="20.7109375" style="44" customWidth="1"/>
    <col min="2307" max="2307" width="8.28515625" style="44" customWidth="1"/>
    <col min="2308" max="2308" width="28.7109375" style="44" customWidth="1"/>
    <col min="2309" max="2309" width="11.5703125" style="44" customWidth="1"/>
    <col min="2310" max="2310" width="8" style="44" customWidth="1"/>
    <col min="2311" max="2312" width="6.5703125" style="44" customWidth="1"/>
    <col min="2313" max="2313" width="11.5703125" style="44" customWidth="1"/>
    <col min="2314" max="2314" width="16" style="44" customWidth="1"/>
    <col min="2315" max="2315" width="12.140625" style="44" customWidth="1"/>
    <col min="2316" max="2316" width="12.5703125" style="44" customWidth="1"/>
    <col min="2317" max="2317" width="5.85546875" style="44" customWidth="1"/>
    <col min="2318" max="2318" width="6.7109375" style="44" customWidth="1"/>
    <col min="2319" max="2319" width="5.85546875" style="44" customWidth="1"/>
    <col min="2320" max="2561" width="11.42578125" style="44"/>
    <col min="2562" max="2562" width="20.7109375" style="44" customWidth="1"/>
    <col min="2563" max="2563" width="8.28515625" style="44" customWidth="1"/>
    <col min="2564" max="2564" width="28.7109375" style="44" customWidth="1"/>
    <col min="2565" max="2565" width="11.5703125" style="44" customWidth="1"/>
    <col min="2566" max="2566" width="8" style="44" customWidth="1"/>
    <col min="2567" max="2568" width="6.5703125" style="44" customWidth="1"/>
    <col min="2569" max="2569" width="11.5703125" style="44" customWidth="1"/>
    <col min="2570" max="2570" width="16" style="44" customWidth="1"/>
    <col min="2571" max="2571" width="12.140625" style="44" customWidth="1"/>
    <col min="2572" max="2572" width="12.5703125" style="44" customWidth="1"/>
    <col min="2573" max="2573" width="5.85546875" style="44" customWidth="1"/>
    <col min="2574" max="2574" width="6.7109375" style="44" customWidth="1"/>
    <col min="2575" max="2575" width="5.85546875" style="44" customWidth="1"/>
    <col min="2576" max="2817" width="11.42578125" style="44"/>
    <col min="2818" max="2818" width="20.7109375" style="44" customWidth="1"/>
    <col min="2819" max="2819" width="8.28515625" style="44" customWidth="1"/>
    <col min="2820" max="2820" width="28.7109375" style="44" customWidth="1"/>
    <col min="2821" max="2821" width="11.5703125" style="44" customWidth="1"/>
    <col min="2822" max="2822" width="8" style="44" customWidth="1"/>
    <col min="2823" max="2824" width="6.5703125" style="44" customWidth="1"/>
    <col min="2825" max="2825" width="11.5703125" style="44" customWidth="1"/>
    <col min="2826" max="2826" width="16" style="44" customWidth="1"/>
    <col min="2827" max="2827" width="12.140625" style="44" customWidth="1"/>
    <col min="2828" max="2828" width="12.5703125" style="44" customWidth="1"/>
    <col min="2829" max="2829" width="5.85546875" style="44" customWidth="1"/>
    <col min="2830" max="2830" width="6.7109375" style="44" customWidth="1"/>
    <col min="2831" max="2831" width="5.85546875" style="44" customWidth="1"/>
    <col min="2832" max="3073" width="11.42578125" style="44"/>
    <col min="3074" max="3074" width="20.7109375" style="44" customWidth="1"/>
    <col min="3075" max="3075" width="8.28515625" style="44" customWidth="1"/>
    <col min="3076" max="3076" width="28.7109375" style="44" customWidth="1"/>
    <col min="3077" max="3077" width="11.5703125" style="44" customWidth="1"/>
    <col min="3078" max="3078" width="8" style="44" customWidth="1"/>
    <col min="3079" max="3080" width="6.5703125" style="44" customWidth="1"/>
    <col min="3081" max="3081" width="11.5703125" style="44" customWidth="1"/>
    <col min="3082" max="3082" width="16" style="44" customWidth="1"/>
    <col min="3083" max="3083" width="12.140625" style="44" customWidth="1"/>
    <col min="3084" max="3084" width="12.5703125" style="44" customWidth="1"/>
    <col min="3085" max="3085" width="5.85546875" style="44" customWidth="1"/>
    <col min="3086" max="3086" width="6.7109375" style="44" customWidth="1"/>
    <col min="3087" max="3087" width="5.85546875" style="44" customWidth="1"/>
    <col min="3088" max="3329" width="11.42578125" style="44"/>
    <col min="3330" max="3330" width="20.7109375" style="44" customWidth="1"/>
    <col min="3331" max="3331" width="8.28515625" style="44" customWidth="1"/>
    <col min="3332" max="3332" width="28.7109375" style="44" customWidth="1"/>
    <col min="3333" max="3333" width="11.5703125" style="44" customWidth="1"/>
    <col min="3334" max="3334" width="8" style="44" customWidth="1"/>
    <col min="3335" max="3336" width="6.5703125" style="44" customWidth="1"/>
    <col min="3337" max="3337" width="11.5703125" style="44" customWidth="1"/>
    <col min="3338" max="3338" width="16" style="44" customWidth="1"/>
    <col min="3339" max="3339" width="12.140625" style="44" customWidth="1"/>
    <col min="3340" max="3340" width="12.5703125" style="44" customWidth="1"/>
    <col min="3341" max="3341" width="5.85546875" style="44" customWidth="1"/>
    <col min="3342" max="3342" width="6.7109375" style="44" customWidth="1"/>
    <col min="3343" max="3343" width="5.85546875" style="44" customWidth="1"/>
    <col min="3344" max="3585" width="11.42578125" style="44"/>
    <col min="3586" max="3586" width="20.7109375" style="44" customWidth="1"/>
    <col min="3587" max="3587" width="8.28515625" style="44" customWidth="1"/>
    <col min="3588" max="3588" width="28.7109375" style="44" customWidth="1"/>
    <col min="3589" max="3589" width="11.5703125" style="44" customWidth="1"/>
    <col min="3590" max="3590" width="8" style="44" customWidth="1"/>
    <col min="3591" max="3592" width="6.5703125" style="44" customWidth="1"/>
    <col min="3593" max="3593" width="11.5703125" style="44" customWidth="1"/>
    <col min="3594" max="3594" width="16" style="44" customWidth="1"/>
    <col min="3595" max="3595" width="12.140625" style="44" customWidth="1"/>
    <col min="3596" max="3596" width="12.5703125" style="44" customWidth="1"/>
    <col min="3597" max="3597" width="5.85546875" style="44" customWidth="1"/>
    <col min="3598" max="3598" width="6.7109375" style="44" customWidth="1"/>
    <col min="3599" max="3599" width="5.85546875" style="44" customWidth="1"/>
    <col min="3600" max="3841" width="11.42578125" style="44"/>
    <col min="3842" max="3842" width="20.7109375" style="44" customWidth="1"/>
    <col min="3843" max="3843" width="8.28515625" style="44" customWidth="1"/>
    <col min="3844" max="3844" width="28.7109375" style="44" customWidth="1"/>
    <col min="3845" max="3845" width="11.5703125" style="44" customWidth="1"/>
    <col min="3846" max="3846" width="8" style="44" customWidth="1"/>
    <col min="3847" max="3848" width="6.5703125" style="44" customWidth="1"/>
    <col min="3849" max="3849" width="11.5703125" style="44" customWidth="1"/>
    <col min="3850" max="3850" width="16" style="44" customWidth="1"/>
    <col min="3851" max="3851" width="12.140625" style="44" customWidth="1"/>
    <col min="3852" max="3852" width="12.5703125" style="44" customWidth="1"/>
    <col min="3853" max="3853" width="5.85546875" style="44" customWidth="1"/>
    <col min="3854" max="3854" width="6.7109375" style="44" customWidth="1"/>
    <col min="3855" max="3855" width="5.85546875" style="44" customWidth="1"/>
    <col min="3856" max="4097" width="11.42578125" style="44"/>
    <col min="4098" max="4098" width="20.7109375" style="44" customWidth="1"/>
    <col min="4099" max="4099" width="8.28515625" style="44" customWidth="1"/>
    <col min="4100" max="4100" width="28.7109375" style="44" customWidth="1"/>
    <col min="4101" max="4101" width="11.5703125" style="44" customWidth="1"/>
    <col min="4102" max="4102" width="8" style="44" customWidth="1"/>
    <col min="4103" max="4104" width="6.5703125" style="44" customWidth="1"/>
    <col min="4105" max="4105" width="11.5703125" style="44" customWidth="1"/>
    <col min="4106" max="4106" width="16" style="44" customWidth="1"/>
    <col min="4107" max="4107" width="12.140625" style="44" customWidth="1"/>
    <col min="4108" max="4108" width="12.5703125" style="44" customWidth="1"/>
    <col min="4109" max="4109" width="5.85546875" style="44" customWidth="1"/>
    <col min="4110" max="4110" width="6.7109375" style="44" customWidth="1"/>
    <col min="4111" max="4111" width="5.85546875" style="44" customWidth="1"/>
    <col min="4112" max="4353" width="11.42578125" style="44"/>
    <col min="4354" max="4354" width="20.7109375" style="44" customWidth="1"/>
    <col min="4355" max="4355" width="8.28515625" style="44" customWidth="1"/>
    <col min="4356" max="4356" width="28.7109375" style="44" customWidth="1"/>
    <col min="4357" max="4357" width="11.5703125" style="44" customWidth="1"/>
    <col min="4358" max="4358" width="8" style="44" customWidth="1"/>
    <col min="4359" max="4360" width="6.5703125" style="44" customWidth="1"/>
    <col min="4361" max="4361" width="11.5703125" style="44" customWidth="1"/>
    <col min="4362" max="4362" width="16" style="44" customWidth="1"/>
    <col min="4363" max="4363" width="12.140625" style="44" customWidth="1"/>
    <col min="4364" max="4364" width="12.5703125" style="44" customWidth="1"/>
    <col min="4365" max="4365" width="5.85546875" style="44" customWidth="1"/>
    <col min="4366" max="4366" width="6.7109375" style="44" customWidth="1"/>
    <col min="4367" max="4367" width="5.85546875" style="44" customWidth="1"/>
    <col min="4368" max="4609" width="11.42578125" style="44"/>
    <col min="4610" max="4610" width="20.7109375" style="44" customWidth="1"/>
    <col min="4611" max="4611" width="8.28515625" style="44" customWidth="1"/>
    <col min="4612" max="4612" width="28.7109375" style="44" customWidth="1"/>
    <col min="4613" max="4613" width="11.5703125" style="44" customWidth="1"/>
    <col min="4614" max="4614" width="8" style="44" customWidth="1"/>
    <col min="4615" max="4616" width="6.5703125" style="44" customWidth="1"/>
    <col min="4617" max="4617" width="11.5703125" style="44" customWidth="1"/>
    <col min="4618" max="4618" width="16" style="44" customWidth="1"/>
    <col min="4619" max="4619" width="12.140625" style="44" customWidth="1"/>
    <col min="4620" max="4620" width="12.5703125" style="44" customWidth="1"/>
    <col min="4621" max="4621" width="5.85546875" style="44" customWidth="1"/>
    <col min="4622" max="4622" width="6.7109375" style="44" customWidth="1"/>
    <col min="4623" max="4623" width="5.85546875" style="44" customWidth="1"/>
    <col min="4624" max="4865" width="11.42578125" style="44"/>
    <col min="4866" max="4866" width="20.7109375" style="44" customWidth="1"/>
    <col min="4867" max="4867" width="8.28515625" style="44" customWidth="1"/>
    <col min="4868" max="4868" width="28.7109375" style="44" customWidth="1"/>
    <col min="4869" max="4869" width="11.5703125" style="44" customWidth="1"/>
    <col min="4870" max="4870" width="8" style="44" customWidth="1"/>
    <col min="4871" max="4872" width="6.5703125" style="44" customWidth="1"/>
    <col min="4873" max="4873" width="11.5703125" style="44" customWidth="1"/>
    <col min="4874" max="4874" width="16" style="44" customWidth="1"/>
    <col min="4875" max="4875" width="12.140625" style="44" customWidth="1"/>
    <col min="4876" max="4876" width="12.5703125" style="44" customWidth="1"/>
    <col min="4877" max="4877" width="5.85546875" style="44" customWidth="1"/>
    <col min="4878" max="4878" width="6.7109375" style="44" customWidth="1"/>
    <col min="4879" max="4879" width="5.85546875" style="44" customWidth="1"/>
    <col min="4880" max="5121" width="11.42578125" style="44"/>
    <col min="5122" max="5122" width="20.7109375" style="44" customWidth="1"/>
    <col min="5123" max="5123" width="8.28515625" style="44" customWidth="1"/>
    <col min="5124" max="5124" width="28.7109375" style="44" customWidth="1"/>
    <col min="5125" max="5125" width="11.5703125" style="44" customWidth="1"/>
    <col min="5126" max="5126" width="8" style="44" customWidth="1"/>
    <col min="5127" max="5128" width="6.5703125" style="44" customWidth="1"/>
    <col min="5129" max="5129" width="11.5703125" style="44" customWidth="1"/>
    <col min="5130" max="5130" width="16" style="44" customWidth="1"/>
    <col min="5131" max="5131" width="12.140625" style="44" customWidth="1"/>
    <col min="5132" max="5132" width="12.5703125" style="44" customWidth="1"/>
    <col min="5133" max="5133" width="5.85546875" style="44" customWidth="1"/>
    <col min="5134" max="5134" width="6.7109375" style="44" customWidth="1"/>
    <col min="5135" max="5135" width="5.85546875" style="44" customWidth="1"/>
    <col min="5136" max="5377" width="11.42578125" style="44"/>
    <col min="5378" max="5378" width="20.7109375" style="44" customWidth="1"/>
    <col min="5379" max="5379" width="8.28515625" style="44" customWidth="1"/>
    <col min="5380" max="5380" width="28.7109375" style="44" customWidth="1"/>
    <col min="5381" max="5381" width="11.5703125" style="44" customWidth="1"/>
    <col min="5382" max="5382" width="8" style="44" customWidth="1"/>
    <col min="5383" max="5384" width="6.5703125" style="44" customWidth="1"/>
    <col min="5385" max="5385" width="11.5703125" style="44" customWidth="1"/>
    <col min="5386" max="5386" width="16" style="44" customWidth="1"/>
    <col min="5387" max="5387" width="12.140625" style="44" customWidth="1"/>
    <col min="5388" max="5388" width="12.5703125" style="44" customWidth="1"/>
    <col min="5389" max="5389" width="5.85546875" style="44" customWidth="1"/>
    <col min="5390" max="5390" width="6.7109375" style="44" customWidth="1"/>
    <col min="5391" max="5391" width="5.85546875" style="44" customWidth="1"/>
    <col min="5392" max="5633" width="11.42578125" style="44"/>
    <col min="5634" max="5634" width="20.7109375" style="44" customWidth="1"/>
    <col min="5635" max="5635" width="8.28515625" style="44" customWidth="1"/>
    <col min="5636" max="5636" width="28.7109375" style="44" customWidth="1"/>
    <col min="5637" max="5637" width="11.5703125" style="44" customWidth="1"/>
    <col min="5638" max="5638" width="8" style="44" customWidth="1"/>
    <col min="5639" max="5640" width="6.5703125" style="44" customWidth="1"/>
    <col min="5641" max="5641" width="11.5703125" style="44" customWidth="1"/>
    <col min="5642" max="5642" width="16" style="44" customWidth="1"/>
    <col min="5643" max="5643" width="12.140625" style="44" customWidth="1"/>
    <col min="5644" max="5644" width="12.5703125" style="44" customWidth="1"/>
    <col min="5645" max="5645" width="5.85546875" style="44" customWidth="1"/>
    <col min="5646" max="5646" width="6.7109375" style="44" customWidth="1"/>
    <col min="5647" max="5647" width="5.85546875" style="44" customWidth="1"/>
    <col min="5648" max="5889" width="11.42578125" style="44"/>
    <col min="5890" max="5890" width="20.7109375" style="44" customWidth="1"/>
    <col min="5891" max="5891" width="8.28515625" style="44" customWidth="1"/>
    <col min="5892" max="5892" width="28.7109375" style="44" customWidth="1"/>
    <col min="5893" max="5893" width="11.5703125" style="44" customWidth="1"/>
    <col min="5894" max="5894" width="8" style="44" customWidth="1"/>
    <col min="5895" max="5896" width="6.5703125" style="44" customWidth="1"/>
    <col min="5897" max="5897" width="11.5703125" style="44" customWidth="1"/>
    <col min="5898" max="5898" width="16" style="44" customWidth="1"/>
    <col min="5899" max="5899" width="12.140625" style="44" customWidth="1"/>
    <col min="5900" max="5900" width="12.5703125" style="44" customWidth="1"/>
    <col min="5901" max="5901" width="5.85546875" style="44" customWidth="1"/>
    <col min="5902" max="5902" width="6.7109375" style="44" customWidth="1"/>
    <col min="5903" max="5903" width="5.85546875" style="44" customWidth="1"/>
    <col min="5904" max="6145" width="11.42578125" style="44"/>
    <col min="6146" max="6146" width="20.7109375" style="44" customWidth="1"/>
    <col min="6147" max="6147" width="8.28515625" style="44" customWidth="1"/>
    <col min="6148" max="6148" width="28.7109375" style="44" customWidth="1"/>
    <col min="6149" max="6149" width="11.5703125" style="44" customWidth="1"/>
    <col min="6150" max="6150" width="8" style="44" customWidth="1"/>
    <col min="6151" max="6152" width="6.5703125" style="44" customWidth="1"/>
    <col min="6153" max="6153" width="11.5703125" style="44" customWidth="1"/>
    <col min="6154" max="6154" width="16" style="44" customWidth="1"/>
    <col min="6155" max="6155" width="12.140625" style="44" customWidth="1"/>
    <col min="6156" max="6156" width="12.5703125" style="44" customWidth="1"/>
    <col min="6157" max="6157" width="5.85546875" style="44" customWidth="1"/>
    <col min="6158" max="6158" width="6.7109375" style="44" customWidth="1"/>
    <col min="6159" max="6159" width="5.85546875" style="44" customWidth="1"/>
    <col min="6160" max="6401" width="11.42578125" style="44"/>
    <col min="6402" max="6402" width="20.7109375" style="44" customWidth="1"/>
    <col min="6403" max="6403" width="8.28515625" style="44" customWidth="1"/>
    <col min="6404" max="6404" width="28.7109375" style="44" customWidth="1"/>
    <col min="6405" max="6405" width="11.5703125" style="44" customWidth="1"/>
    <col min="6406" max="6406" width="8" style="44" customWidth="1"/>
    <col min="6407" max="6408" width="6.5703125" style="44" customWidth="1"/>
    <col min="6409" max="6409" width="11.5703125" style="44" customWidth="1"/>
    <col min="6410" max="6410" width="16" style="44" customWidth="1"/>
    <col min="6411" max="6411" width="12.140625" style="44" customWidth="1"/>
    <col min="6412" max="6412" width="12.5703125" style="44" customWidth="1"/>
    <col min="6413" max="6413" width="5.85546875" style="44" customWidth="1"/>
    <col min="6414" max="6414" width="6.7109375" style="44" customWidth="1"/>
    <col min="6415" max="6415" width="5.85546875" style="44" customWidth="1"/>
    <col min="6416" max="6657" width="11.42578125" style="44"/>
    <col min="6658" max="6658" width="20.7109375" style="44" customWidth="1"/>
    <col min="6659" max="6659" width="8.28515625" style="44" customWidth="1"/>
    <col min="6660" max="6660" width="28.7109375" style="44" customWidth="1"/>
    <col min="6661" max="6661" width="11.5703125" style="44" customWidth="1"/>
    <col min="6662" max="6662" width="8" style="44" customWidth="1"/>
    <col min="6663" max="6664" width="6.5703125" style="44" customWidth="1"/>
    <col min="6665" max="6665" width="11.5703125" style="44" customWidth="1"/>
    <col min="6666" max="6666" width="16" style="44" customWidth="1"/>
    <col min="6667" max="6667" width="12.140625" style="44" customWidth="1"/>
    <col min="6668" max="6668" width="12.5703125" style="44" customWidth="1"/>
    <col min="6669" max="6669" width="5.85546875" style="44" customWidth="1"/>
    <col min="6670" max="6670" width="6.7109375" style="44" customWidth="1"/>
    <col min="6671" max="6671" width="5.85546875" style="44" customWidth="1"/>
    <col min="6672" max="6913" width="11.42578125" style="44"/>
    <col min="6914" max="6914" width="20.7109375" style="44" customWidth="1"/>
    <col min="6915" max="6915" width="8.28515625" style="44" customWidth="1"/>
    <col min="6916" max="6916" width="28.7109375" style="44" customWidth="1"/>
    <col min="6917" max="6917" width="11.5703125" style="44" customWidth="1"/>
    <col min="6918" max="6918" width="8" style="44" customWidth="1"/>
    <col min="6919" max="6920" width="6.5703125" style="44" customWidth="1"/>
    <col min="6921" max="6921" width="11.5703125" style="44" customWidth="1"/>
    <col min="6922" max="6922" width="16" style="44" customWidth="1"/>
    <col min="6923" max="6923" width="12.140625" style="44" customWidth="1"/>
    <col min="6924" max="6924" width="12.5703125" style="44" customWidth="1"/>
    <col min="6925" max="6925" width="5.85546875" style="44" customWidth="1"/>
    <col min="6926" max="6926" width="6.7109375" style="44" customWidth="1"/>
    <col min="6927" max="6927" width="5.85546875" style="44" customWidth="1"/>
    <col min="6928" max="7169" width="11.42578125" style="44"/>
    <col min="7170" max="7170" width="20.7109375" style="44" customWidth="1"/>
    <col min="7171" max="7171" width="8.28515625" style="44" customWidth="1"/>
    <col min="7172" max="7172" width="28.7109375" style="44" customWidth="1"/>
    <col min="7173" max="7173" width="11.5703125" style="44" customWidth="1"/>
    <col min="7174" max="7174" width="8" style="44" customWidth="1"/>
    <col min="7175" max="7176" width="6.5703125" style="44" customWidth="1"/>
    <col min="7177" max="7177" width="11.5703125" style="44" customWidth="1"/>
    <col min="7178" max="7178" width="16" style="44" customWidth="1"/>
    <col min="7179" max="7179" width="12.140625" style="44" customWidth="1"/>
    <col min="7180" max="7180" width="12.5703125" style="44" customWidth="1"/>
    <col min="7181" max="7181" width="5.85546875" style="44" customWidth="1"/>
    <col min="7182" max="7182" width="6.7109375" style="44" customWidth="1"/>
    <col min="7183" max="7183" width="5.85546875" style="44" customWidth="1"/>
    <col min="7184" max="7425" width="11.42578125" style="44"/>
    <col min="7426" max="7426" width="20.7109375" style="44" customWidth="1"/>
    <col min="7427" max="7427" width="8.28515625" style="44" customWidth="1"/>
    <col min="7428" max="7428" width="28.7109375" style="44" customWidth="1"/>
    <col min="7429" max="7429" width="11.5703125" style="44" customWidth="1"/>
    <col min="7430" max="7430" width="8" style="44" customWidth="1"/>
    <col min="7431" max="7432" width="6.5703125" style="44" customWidth="1"/>
    <col min="7433" max="7433" width="11.5703125" style="44" customWidth="1"/>
    <col min="7434" max="7434" width="16" style="44" customWidth="1"/>
    <col min="7435" max="7435" width="12.140625" style="44" customWidth="1"/>
    <col min="7436" max="7436" width="12.5703125" style="44" customWidth="1"/>
    <col min="7437" max="7437" width="5.85546875" style="44" customWidth="1"/>
    <col min="7438" max="7438" width="6.7109375" style="44" customWidth="1"/>
    <col min="7439" max="7439" width="5.85546875" style="44" customWidth="1"/>
    <col min="7440" max="7681" width="11.42578125" style="44"/>
    <col min="7682" max="7682" width="20.7109375" style="44" customWidth="1"/>
    <col min="7683" max="7683" width="8.28515625" style="44" customWidth="1"/>
    <col min="7684" max="7684" width="28.7109375" style="44" customWidth="1"/>
    <col min="7685" max="7685" width="11.5703125" style="44" customWidth="1"/>
    <col min="7686" max="7686" width="8" style="44" customWidth="1"/>
    <col min="7687" max="7688" width="6.5703125" style="44" customWidth="1"/>
    <col min="7689" max="7689" width="11.5703125" style="44" customWidth="1"/>
    <col min="7690" max="7690" width="16" style="44" customWidth="1"/>
    <col min="7691" max="7691" width="12.140625" style="44" customWidth="1"/>
    <col min="7692" max="7692" width="12.5703125" style="44" customWidth="1"/>
    <col min="7693" max="7693" width="5.85546875" style="44" customWidth="1"/>
    <col min="7694" max="7694" width="6.7109375" style="44" customWidth="1"/>
    <col min="7695" max="7695" width="5.85546875" style="44" customWidth="1"/>
    <col min="7696" max="7937" width="11.42578125" style="44"/>
    <col min="7938" max="7938" width="20.7109375" style="44" customWidth="1"/>
    <col min="7939" max="7939" width="8.28515625" style="44" customWidth="1"/>
    <col min="7940" max="7940" width="28.7109375" style="44" customWidth="1"/>
    <col min="7941" max="7941" width="11.5703125" style="44" customWidth="1"/>
    <col min="7942" max="7942" width="8" style="44" customWidth="1"/>
    <col min="7943" max="7944" width="6.5703125" style="44" customWidth="1"/>
    <col min="7945" max="7945" width="11.5703125" style="44" customWidth="1"/>
    <col min="7946" max="7946" width="16" style="44" customWidth="1"/>
    <col min="7947" max="7947" width="12.140625" style="44" customWidth="1"/>
    <col min="7948" max="7948" width="12.5703125" style="44" customWidth="1"/>
    <col min="7949" max="7949" width="5.85546875" style="44" customWidth="1"/>
    <col min="7950" max="7950" width="6.7109375" style="44" customWidth="1"/>
    <col min="7951" max="7951" width="5.85546875" style="44" customWidth="1"/>
    <col min="7952" max="8193" width="11.42578125" style="44"/>
    <col min="8194" max="8194" width="20.7109375" style="44" customWidth="1"/>
    <col min="8195" max="8195" width="8.28515625" style="44" customWidth="1"/>
    <col min="8196" max="8196" width="28.7109375" style="44" customWidth="1"/>
    <col min="8197" max="8197" width="11.5703125" style="44" customWidth="1"/>
    <col min="8198" max="8198" width="8" style="44" customWidth="1"/>
    <col min="8199" max="8200" width="6.5703125" style="44" customWidth="1"/>
    <col min="8201" max="8201" width="11.5703125" style="44" customWidth="1"/>
    <col min="8202" max="8202" width="16" style="44" customWidth="1"/>
    <col min="8203" max="8203" width="12.140625" style="44" customWidth="1"/>
    <col min="8204" max="8204" width="12.5703125" style="44" customWidth="1"/>
    <col min="8205" max="8205" width="5.85546875" style="44" customWidth="1"/>
    <col min="8206" max="8206" width="6.7109375" style="44" customWidth="1"/>
    <col min="8207" max="8207" width="5.85546875" style="44" customWidth="1"/>
    <col min="8208" max="8449" width="11.42578125" style="44"/>
    <col min="8450" max="8450" width="20.7109375" style="44" customWidth="1"/>
    <col min="8451" max="8451" width="8.28515625" style="44" customWidth="1"/>
    <col min="8452" max="8452" width="28.7109375" style="44" customWidth="1"/>
    <col min="8453" max="8453" width="11.5703125" style="44" customWidth="1"/>
    <col min="8454" max="8454" width="8" style="44" customWidth="1"/>
    <col min="8455" max="8456" width="6.5703125" style="44" customWidth="1"/>
    <col min="8457" max="8457" width="11.5703125" style="44" customWidth="1"/>
    <col min="8458" max="8458" width="16" style="44" customWidth="1"/>
    <col min="8459" max="8459" width="12.140625" style="44" customWidth="1"/>
    <col min="8460" max="8460" width="12.5703125" style="44" customWidth="1"/>
    <col min="8461" max="8461" width="5.85546875" style="44" customWidth="1"/>
    <col min="8462" max="8462" width="6.7109375" style="44" customWidth="1"/>
    <col min="8463" max="8463" width="5.85546875" style="44" customWidth="1"/>
    <col min="8464" max="8705" width="11.42578125" style="44"/>
    <col min="8706" max="8706" width="20.7109375" style="44" customWidth="1"/>
    <col min="8707" max="8707" width="8.28515625" style="44" customWidth="1"/>
    <col min="8708" max="8708" width="28.7109375" style="44" customWidth="1"/>
    <col min="8709" max="8709" width="11.5703125" style="44" customWidth="1"/>
    <col min="8710" max="8710" width="8" style="44" customWidth="1"/>
    <col min="8711" max="8712" width="6.5703125" style="44" customWidth="1"/>
    <col min="8713" max="8713" width="11.5703125" style="44" customWidth="1"/>
    <col min="8714" max="8714" width="16" style="44" customWidth="1"/>
    <col min="8715" max="8715" width="12.140625" style="44" customWidth="1"/>
    <col min="8716" max="8716" width="12.5703125" style="44" customWidth="1"/>
    <col min="8717" max="8717" width="5.85546875" style="44" customWidth="1"/>
    <col min="8718" max="8718" width="6.7109375" style="44" customWidth="1"/>
    <col min="8719" max="8719" width="5.85546875" style="44" customWidth="1"/>
    <col min="8720" max="8961" width="11.42578125" style="44"/>
    <col min="8962" max="8962" width="20.7109375" style="44" customWidth="1"/>
    <col min="8963" max="8963" width="8.28515625" style="44" customWidth="1"/>
    <col min="8964" max="8964" width="28.7109375" style="44" customWidth="1"/>
    <col min="8965" max="8965" width="11.5703125" style="44" customWidth="1"/>
    <col min="8966" max="8966" width="8" style="44" customWidth="1"/>
    <col min="8967" max="8968" width="6.5703125" style="44" customWidth="1"/>
    <col min="8969" max="8969" width="11.5703125" style="44" customWidth="1"/>
    <col min="8970" max="8970" width="16" style="44" customWidth="1"/>
    <col min="8971" max="8971" width="12.140625" style="44" customWidth="1"/>
    <col min="8972" max="8972" width="12.5703125" style="44" customWidth="1"/>
    <col min="8973" max="8973" width="5.85546875" style="44" customWidth="1"/>
    <col min="8974" max="8974" width="6.7109375" style="44" customWidth="1"/>
    <col min="8975" max="8975" width="5.85546875" style="44" customWidth="1"/>
    <col min="8976" max="9217" width="11.42578125" style="44"/>
    <col min="9218" max="9218" width="20.7109375" style="44" customWidth="1"/>
    <col min="9219" max="9219" width="8.28515625" style="44" customWidth="1"/>
    <col min="9220" max="9220" width="28.7109375" style="44" customWidth="1"/>
    <col min="9221" max="9221" width="11.5703125" style="44" customWidth="1"/>
    <col min="9222" max="9222" width="8" style="44" customWidth="1"/>
    <col min="9223" max="9224" width="6.5703125" style="44" customWidth="1"/>
    <col min="9225" max="9225" width="11.5703125" style="44" customWidth="1"/>
    <col min="9226" max="9226" width="16" style="44" customWidth="1"/>
    <col min="9227" max="9227" width="12.140625" style="44" customWidth="1"/>
    <col min="9228" max="9228" width="12.5703125" style="44" customWidth="1"/>
    <col min="9229" max="9229" width="5.85546875" style="44" customWidth="1"/>
    <col min="9230" max="9230" width="6.7109375" style="44" customWidth="1"/>
    <col min="9231" max="9231" width="5.85546875" style="44" customWidth="1"/>
    <col min="9232" max="9473" width="11.42578125" style="44"/>
    <col min="9474" max="9474" width="20.7109375" style="44" customWidth="1"/>
    <col min="9475" max="9475" width="8.28515625" style="44" customWidth="1"/>
    <col min="9476" max="9476" width="28.7109375" style="44" customWidth="1"/>
    <col min="9477" max="9477" width="11.5703125" style="44" customWidth="1"/>
    <col min="9478" max="9478" width="8" style="44" customWidth="1"/>
    <col min="9479" max="9480" width="6.5703125" style="44" customWidth="1"/>
    <col min="9481" max="9481" width="11.5703125" style="44" customWidth="1"/>
    <col min="9482" max="9482" width="16" style="44" customWidth="1"/>
    <col min="9483" max="9483" width="12.140625" style="44" customWidth="1"/>
    <col min="9484" max="9484" width="12.5703125" style="44" customWidth="1"/>
    <col min="9485" max="9485" width="5.85546875" style="44" customWidth="1"/>
    <col min="9486" max="9486" width="6.7109375" style="44" customWidth="1"/>
    <col min="9487" max="9487" width="5.85546875" style="44" customWidth="1"/>
    <col min="9488" max="9729" width="11.42578125" style="44"/>
    <col min="9730" max="9730" width="20.7109375" style="44" customWidth="1"/>
    <col min="9731" max="9731" width="8.28515625" style="44" customWidth="1"/>
    <col min="9732" max="9732" width="28.7109375" style="44" customWidth="1"/>
    <col min="9733" max="9733" width="11.5703125" style="44" customWidth="1"/>
    <col min="9734" max="9734" width="8" style="44" customWidth="1"/>
    <col min="9735" max="9736" width="6.5703125" style="44" customWidth="1"/>
    <col min="9737" max="9737" width="11.5703125" style="44" customWidth="1"/>
    <col min="9738" max="9738" width="16" style="44" customWidth="1"/>
    <col min="9739" max="9739" width="12.140625" style="44" customWidth="1"/>
    <col min="9740" max="9740" width="12.5703125" style="44" customWidth="1"/>
    <col min="9741" max="9741" width="5.85546875" style="44" customWidth="1"/>
    <col min="9742" max="9742" width="6.7109375" style="44" customWidth="1"/>
    <col min="9743" max="9743" width="5.85546875" style="44" customWidth="1"/>
    <col min="9744" max="9985" width="11.42578125" style="44"/>
    <col min="9986" max="9986" width="20.7109375" style="44" customWidth="1"/>
    <col min="9987" max="9987" width="8.28515625" style="44" customWidth="1"/>
    <col min="9988" max="9988" width="28.7109375" style="44" customWidth="1"/>
    <col min="9989" max="9989" width="11.5703125" style="44" customWidth="1"/>
    <col min="9990" max="9990" width="8" style="44" customWidth="1"/>
    <col min="9991" max="9992" width="6.5703125" style="44" customWidth="1"/>
    <col min="9993" max="9993" width="11.5703125" style="44" customWidth="1"/>
    <col min="9994" max="9994" width="16" style="44" customWidth="1"/>
    <col min="9995" max="9995" width="12.140625" style="44" customWidth="1"/>
    <col min="9996" max="9996" width="12.5703125" style="44" customWidth="1"/>
    <col min="9997" max="9997" width="5.85546875" style="44" customWidth="1"/>
    <col min="9998" max="9998" width="6.7109375" style="44" customWidth="1"/>
    <col min="9999" max="9999" width="5.85546875" style="44" customWidth="1"/>
    <col min="10000" max="10241" width="11.42578125" style="44"/>
    <col min="10242" max="10242" width="20.7109375" style="44" customWidth="1"/>
    <col min="10243" max="10243" width="8.28515625" style="44" customWidth="1"/>
    <col min="10244" max="10244" width="28.7109375" style="44" customWidth="1"/>
    <col min="10245" max="10245" width="11.5703125" style="44" customWidth="1"/>
    <col min="10246" max="10246" width="8" style="44" customWidth="1"/>
    <col min="10247" max="10248" width="6.5703125" style="44" customWidth="1"/>
    <col min="10249" max="10249" width="11.5703125" style="44" customWidth="1"/>
    <col min="10250" max="10250" width="16" style="44" customWidth="1"/>
    <col min="10251" max="10251" width="12.140625" style="44" customWidth="1"/>
    <col min="10252" max="10252" width="12.5703125" style="44" customWidth="1"/>
    <col min="10253" max="10253" width="5.85546875" style="44" customWidth="1"/>
    <col min="10254" max="10254" width="6.7109375" style="44" customWidth="1"/>
    <col min="10255" max="10255" width="5.85546875" style="44" customWidth="1"/>
    <col min="10256" max="10497" width="11.42578125" style="44"/>
    <col min="10498" max="10498" width="20.7109375" style="44" customWidth="1"/>
    <col min="10499" max="10499" width="8.28515625" style="44" customWidth="1"/>
    <col min="10500" max="10500" width="28.7109375" style="44" customWidth="1"/>
    <col min="10501" max="10501" width="11.5703125" style="44" customWidth="1"/>
    <col min="10502" max="10502" width="8" style="44" customWidth="1"/>
    <col min="10503" max="10504" width="6.5703125" style="44" customWidth="1"/>
    <col min="10505" max="10505" width="11.5703125" style="44" customWidth="1"/>
    <col min="10506" max="10506" width="16" style="44" customWidth="1"/>
    <col min="10507" max="10507" width="12.140625" style="44" customWidth="1"/>
    <col min="10508" max="10508" width="12.5703125" style="44" customWidth="1"/>
    <col min="10509" max="10509" width="5.85546875" style="44" customWidth="1"/>
    <col min="10510" max="10510" width="6.7109375" style="44" customWidth="1"/>
    <col min="10511" max="10511" width="5.85546875" style="44" customWidth="1"/>
    <col min="10512" max="10753" width="11.42578125" style="44"/>
    <col min="10754" max="10754" width="20.7109375" style="44" customWidth="1"/>
    <col min="10755" max="10755" width="8.28515625" style="44" customWidth="1"/>
    <col min="10756" max="10756" width="28.7109375" style="44" customWidth="1"/>
    <col min="10757" max="10757" width="11.5703125" style="44" customWidth="1"/>
    <col min="10758" max="10758" width="8" style="44" customWidth="1"/>
    <col min="10759" max="10760" width="6.5703125" style="44" customWidth="1"/>
    <col min="10761" max="10761" width="11.5703125" style="44" customWidth="1"/>
    <col min="10762" max="10762" width="16" style="44" customWidth="1"/>
    <col min="10763" max="10763" width="12.140625" style="44" customWidth="1"/>
    <col min="10764" max="10764" width="12.5703125" style="44" customWidth="1"/>
    <col min="10765" max="10765" width="5.85546875" style="44" customWidth="1"/>
    <col min="10766" max="10766" width="6.7109375" style="44" customWidth="1"/>
    <col min="10767" max="10767" width="5.85546875" style="44" customWidth="1"/>
    <col min="10768" max="11009" width="11.42578125" style="44"/>
    <col min="11010" max="11010" width="20.7109375" style="44" customWidth="1"/>
    <col min="11011" max="11011" width="8.28515625" style="44" customWidth="1"/>
    <col min="11012" max="11012" width="28.7109375" style="44" customWidth="1"/>
    <col min="11013" max="11013" width="11.5703125" style="44" customWidth="1"/>
    <col min="11014" max="11014" width="8" style="44" customWidth="1"/>
    <col min="11015" max="11016" width="6.5703125" style="44" customWidth="1"/>
    <col min="11017" max="11017" width="11.5703125" style="44" customWidth="1"/>
    <col min="11018" max="11018" width="16" style="44" customWidth="1"/>
    <col min="11019" max="11019" width="12.140625" style="44" customWidth="1"/>
    <col min="11020" max="11020" width="12.5703125" style="44" customWidth="1"/>
    <col min="11021" max="11021" width="5.85546875" style="44" customWidth="1"/>
    <col min="11022" max="11022" width="6.7109375" style="44" customWidth="1"/>
    <col min="11023" max="11023" width="5.85546875" style="44" customWidth="1"/>
    <col min="11024" max="11265" width="11.42578125" style="44"/>
    <col min="11266" max="11266" width="20.7109375" style="44" customWidth="1"/>
    <col min="11267" max="11267" width="8.28515625" style="44" customWidth="1"/>
    <col min="11268" max="11268" width="28.7109375" style="44" customWidth="1"/>
    <col min="11269" max="11269" width="11.5703125" style="44" customWidth="1"/>
    <col min="11270" max="11270" width="8" style="44" customWidth="1"/>
    <col min="11271" max="11272" width="6.5703125" style="44" customWidth="1"/>
    <col min="11273" max="11273" width="11.5703125" style="44" customWidth="1"/>
    <col min="11274" max="11274" width="16" style="44" customWidth="1"/>
    <col min="11275" max="11275" width="12.140625" style="44" customWidth="1"/>
    <col min="11276" max="11276" width="12.5703125" style="44" customWidth="1"/>
    <col min="11277" max="11277" width="5.85546875" style="44" customWidth="1"/>
    <col min="11278" max="11278" width="6.7109375" style="44" customWidth="1"/>
    <col min="11279" max="11279" width="5.85546875" style="44" customWidth="1"/>
    <col min="11280" max="11521" width="11.42578125" style="44"/>
    <col min="11522" max="11522" width="20.7109375" style="44" customWidth="1"/>
    <col min="11523" max="11523" width="8.28515625" style="44" customWidth="1"/>
    <col min="11524" max="11524" width="28.7109375" style="44" customWidth="1"/>
    <col min="11525" max="11525" width="11.5703125" style="44" customWidth="1"/>
    <col min="11526" max="11526" width="8" style="44" customWidth="1"/>
    <col min="11527" max="11528" width="6.5703125" style="44" customWidth="1"/>
    <col min="11529" max="11529" width="11.5703125" style="44" customWidth="1"/>
    <col min="11530" max="11530" width="16" style="44" customWidth="1"/>
    <col min="11531" max="11531" width="12.140625" style="44" customWidth="1"/>
    <col min="11532" max="11532" width="12.5703125" style="44" customWidth="1"/>
    <col min="11533" max="11533" width="5.85546875" style="44" customWidth="1"/>
    <col min="11534" max="11534" width="6.7109375" style="44" customWidth="1"/>
    <col min="11535" max="11535" width="5.85546875" style="44" customWidth="1"/>
    <col min="11536" max="11777" width="11.42578125" style="44"/>
    <col min="11778" max="11778" width="20.7109375" style="44" customWidth="1"/>
    <col min="11779" max="11779" width="8.28515625" style="44" customWidth="1"/>
    <col min="11780" max="11780" width="28.7109375" style="44" customWidth="1"/>
    <col min="11781" max="11781" width="11.5703125" style="44" customWidth="1"/>
    <col min="11782" max="11782" width="8" style="44" customWidth="1"/>
    <col min="11783" max="11784" width="6.5703125" style="44" customWidth="1"/>
    <col min="11785" max="11785" width="11.5703125" style="44" customWidth="1"/>
    <col min="11786" max="11786" width="16" style="44" customWidth="1"/>
    <col min="11787" max="11787" width="12.140625" style="44" customWidth="1"/>
    <col min="11788" max="11788" width="12.5703125" style="44" customWidth="1"/>
    <col min="11789" max="11789" width="5.85546875" style="44" customWidth="1"/>
    <col min="11790" max="11790" width="6.7109375" style="44" customWidth="1"/>
    <col min="11791" max="11791" width="5.85546875" style="44" customWidth="1"/>
    <col min="11792" max="12033" width="11.42578125" style="44"/>
    <col min="12034" max="12034" width="20.7109375" style="44" customWidth="1"/>
    <col min="12035" max="12035" width="8.28515625" style="44" customWidth="1"/>
    <col min="12036" max="12036" width="28.7109375" style="44" customWidth="1"/>
    <col min="12037" max="12037" width="11.5703125" style="44" customWidth="1"/>
    <col min="12038" max="12038" width="8" style="44" customWidth="1"/>
    <col min="12039" max="12040" width="6.5703125" style="44" customWidth="1"/>
    <col min="12041" max="12041" width="11.5703125" style="44" customWidth="1"/>
    <col min="12042" max="12042" width="16" style="44" customWidth="1"/>
    <col min="12043" max="12043" width="12.140625" style="44" customWidth="1"/>
    <col min="12044" max="12044" width="12.5703125" style="44" customWidth="1"/>
    <col min="12045" max="12045" width="5.85546875" style="44" customWidth="1"/>
    <col min="12046" max="12046" width="6.7109375" style="44" customWidth="1"/>
    <col min="12047" max="12047" width="5.85546875" style="44" customWidth="1"/>
    <col min="12048" max="12289" width="11.42578125" style="44"/>
    <col min="12290" max="12290" width="20.7109375" style="44" customWidth="1"/>
    <col min="12291" max="12291" width="8.28515625" style="44" customWidth="1"/>
    <col min="12292" max="12292" width="28.7109375" style="44" customWidth="1"/>
    <col min="12293" max="12293" width="11.5703125" style="44" customWidth="1"/>
    <col min="12294" max="12294" width="8" style="44" customWidth="1"/>
    <col min="12295" max="12296" width="6.5703125" style="44" customWidth="1"/>
    <col min="12297" max="12297" width="11.5703125" style="44" customWidth="1"/>
    <col min="12298" max="12298" width="16" style="44" customWidth="1"/>
    <col min="12299" max="12299" width="12.140625" style="44" customWidth="1"/>
    <col min="12300" max="12300" width="12.5703125" style="44" customWidth="1"/>
    <col min="12301" max="12301" width="5.85546875" style="44" customWidth="1"/>
    <col min="12302" max="12302" width="6.7109375" style="44" customWidth="1"/>
    <col min="12303" max="12303" width="5.85546875" style="44" customWidth="1"/>
    <col min="12304" max="12545" width="11.42578125" style="44"/>
    <col min="12546" max="12546" width="20.7109375" style="44" customWidth="1"/>
    <col min="12547" max="12547" width="8.28515625" style="44" customWidth="1"/>
    <col min="12548" max="12548" width="28.7109375" style="44" customWidth="1"/>
    <col min="12549" max="12549" width="11.5703125" style="44" customWidth="1"/>
    <col min="12550" max="12550" width="8" style="44" customWidth="1"/>
    <col min="12551" max="12552" width="6.5703125" style="44" customWidth="1"/>
    <col min="12553" max="12553" width="11.5703125" style="44" customWidth="1"/>
    <col min="12554" max="12554" width="16" style="44" customWidth="1"/>
    <col min="12555" max="12555" width="12.140625" style="44" customWidth="1"/>
    <col min="12556" max="12556" width="12.5703125" style="44" customWidth="1"/>
    <col min="12557" max="12557" width="5.85546875" style="44" customWidth="1"/>
    <col min="12558" max="12558" width="6.7109375" style="44" customWidth="1"/>
    <col min="12559" max="12559" width="5.85546875" style="44" customWidth="1"/>
    <col min="12560" max="12801" width="11.42578125" style="44"/>
    <col min="12802" max="12802" width="20.7109375" style="44" customWidth="1"/>
    <col min="12803" max="12803" width="8.28515625" style="44" customWidth="1"/>
    <col min="12804" max="12804" width="28.7109375" style="44" customWidth="1"/>
    <col min="12805" max="12805" width="11.5703125" style="44" customWidth="1"/>
    <col min="12806" max="12806" width="8" style="44" customWidth="1"/>
    <col min="12807" max="12808" width="6.5703125" style="44" customWidth="1"/>
    <col min="12809" max="12809" width="11.5703125" style="44" customWidth="1"/>
    <col min="12810" max="12810" width="16" style="44" customWidth="1"/>
    <col min="12811" max="12811" width="12.140625" style="44" customWidth="1"/>
    <col min="12812" max="12812" width="12.5703125" style="44" customWidth="1"/>
    <col min="12813" max="12813" width="5.85546875" style="44" customWidth="1"/>
    <col min="12814" max="12814" width="6.7109375" style="44" customWidth="1"/>
    <col min="12815" max="12815" width="5.85546875" style="44" customWidth="1"/>
    <col min="12816" max="13057" width="11.42578125" style="44"/>
    <col min="13058" max="13058" width="20.7109375" style="44" customWidth="1"/>
    <col min="13059" max="13059" width="8.28515625" style="44" customWidth="1"/>
    <col min="13060" max="13060" width="28.7109375" style="44" customWidth="1"/>
    <col min="13061" max="13061" width="11.5703125" style="44" customWidth="1"/>
    <col min="13062" max="13062" width="8" style="44" customWidth="1"/>
    <col min="13063" max="13064" width="6.5703125" style="44" customWidth="1"/>
    <col min="13065" max="13065" width="11.5703125" style="44" customWidth="1"/>
    <col min="13066" max="13066" width="16" style="44" customWidth="1"/>
    <col min="13067" max="13067" width="12.140625" style="44" customWidth="1"/>
    <col min="13068" max="13068" width="12.5703125" style="44" customWidth="1"/>
    <col min="13069" max="13069" width="5.85546875" style="44" customWidth="1"/>
    <col min="13070" max="13070" width="6.7109375" style="44" customWidth="1"/>
    <col min="13071" max="13071" width="5.85546875" style="44" customWidth="1"/>
    <col min="13072" max="13313" width="11.42578125" style="44"/>
    <col min="13314" max="13314" width="20.7109375" style="44" customWidth="1"/>
    <col min="13315" max="13315" width="8.28515625" style="44" customWidth="1"/>
    <col min="13316" max="13316" width="28.7109375" style="44" customWidth="1"/>
    <col min="13317" max="13317" width="11.5703125" style="44" customWidth="1"/>
    <col min="13318" max="13318" width="8" style="44" customWidth="1"/>
    <col min="13319" max="13320" width="6.5703125" style="44" customWidth="1"/>
    <col min="13321" max="13321" width="11.5703125" style="44" customWidth="1"/>
    <col min="13322" max="13322" width="16" style="44" customWidth="1"/>
    <col min="13323" max="13323" width="12.140625" style="44" customWidth="1"/>
    <col min="13324" max="13324" width="12.5703125" style="44" customWidth="1"/>
    <col min="13325" max="13325" width="5.85546875" style="44" customWidth="1"/>
    <col min="13326" max="13326" width="6.7109375" style="44" customWidth="1"/>
    <col min="13327" max="13327" width="5.85546875" style="44" customWidth="1"/>
    <col min="13328" max="13569" width="11.42578125" style="44"/>
    <col min="13570" max="13570" width="20.7109375" style="44" customWidth="1"/>
    <col min="13571" max="13571" width="8.28515625" style="44" customWidth="1"/>
    <col min="13572" max="13572" width="28.7109375" style="44" customWidth="1"/>
    <col min="13573" max="13573" width="11.5703125" style="44" customWidth="1"/>
    <col min="13574" max="13574" width="8" style="44" customWidth="1"/>
    <col min="13575" max="13576" width="6.5703125" style="44" customWidth="1"/>
    <col min="13577" max="13577" width="11.5703125" style="44" customWidth="1"/>
    <col min="13578" max="13578" width="16" style="44" customWidth="1"/>
    <col min="13579" max="13579" width="12.140625" style="44" customWidth="1"/>
    <col min="13580" max="13580" width="12.5703125" style="44" customWidth="1"/>
    <col min="13581" max="13581" width="5.85546875" style="44" customWidth="1"/>
    <col min="13582" max="13582" width="6.7109375" style="44" customWidth="1"/>
    <col min="13583" max="13583" width="5.85546875" style="44" customWidth="1"/>
    <col min="13584" max="13825" width="11.42578125" style="44"/>
    <col min="13826" max="13826" width="20.7109375" style="44" customWidth="1"/>
    <col min="13827" max="13827" width="8.28515625" style="44" customWidth="1"/>
    <col min="13828" max="13828" width="28.7109375" style="44" customWidth="1"/>
    <col min="13829" max="13829" width="11.5703125" style="44" customWidth="1"/>
    <col min="13830" max="13830" width="8" style="44" customWidth="1"/>
    <col min="13831" max="13832" width="6.5703125" style="44" customWidth="1"/>
    <col min="13833" max="13833" width="11.5703125" style="44" customWidth="1"/>
    <col min="13834" max="13834" width="16" style="44" customWidth="1"/>
    <col min="13835" max="13835" width="12.140625" style="44" customWidth="1"/>
    <col min="13836" max="13836" width="12.5703125" style="44" customWidth="1"/>
    <col min="13837" max="13837" width="5.85546875" style="44" customWidth="1"/>
    <col min="13838" max="13838" width="6.7109375" style="44" customWidth="1"/>
    <col min="13839" max="13839" width="5.85546875" style="44" customWidth="1"/>
    <col min="13840" max="14081" width="11.42578125" style="44"/>
    <col min="14082" max="14082" width="20.7109375" style="44" customWidth="1"/>
    <col min="14083" max="14083" width="8.28515625" style="44" customWidth="1"/>
    <col min="14084" max="14084" width="28.7109375" style="44" customWidth="1"/>
    <col min="14085" max="14085" width="11.5703125" style="44" customWidth="1"/>
    <col min="14086" max="14086" width="8" style="44" customWidth="1"/>
    <col min="14087" max="14088" width="6.5703125" style="44" customWidth="1"/>
    <col min="14089" max="14089" width="11.5703125" style="44" customWidth="1"/>
    <col min="14090" max="14090" width="16" style="44" customWidth="1"/>
    <col min="14091" max="14091" width="12.140625" style="44" customWidth="1"/>
    <col min="14092" max="14092" width="12.5703125" style="44" customWidth="1"/>
    <col min="14093" max="14093" width="5.85546875" style="44" customWidth="1"/>
    <col min="14094" max="14094" width="6.7109375" style="44" customWidth="1"/>
    <col min="14095" max="14095" width="5.85546875" style="44" customWidth="1"/>
    <col min="14096" max="14337" width="11.42578125" style="44"/>
    <col min="14338" max="14338" width="20.7109375" style="44" customWidth="1"/>
    <col min="14339" max="14339" width="8.28515625" style="44" customWidth="1"/>
    <col min="14340" max="14340" width="28.7109375" style="44" customWidth="1"/>
    <col min="14341" max="14341" width="11.5703125" style="44" customWidth="1"/>
    <col min="14342" max="14342" width="8" style="44" customWidth="1"/>
    <col min="14343" max="14344" width="6.5703125" style="44" customWidth="1"/>
    <col min="14345" max="14345" width="11.5703125" style="44" customWidth="1"/>
    <col min="14346" max="14346" width="16" style="44" customWidth="1"/>
    <col min="14347" max="14347" width="12.140625" style="44" customWidth="1"/>
    <col min="14348" max="14348" width="12.5703125" style="44" customWidth="1"/>
    <col min="14349" max="14349" width="5.85546875" style="44" customWidth="1"/>
    <col min="14350" max="14350" width="6.7109375" style="44" customWidth="1"/>
    <col min="14351" max="14351" width="5.85546875" style="44" customWidth="1"/>
    <col min="14352" max="14593" width="11.42578125" style="44"/>
    <col min="14594" max="14594" width="20.7109375" style="44" customWidth="1"/>
    <col min="14595" max="14595" width="8.28515625" style="44" customWidth="1"/>
    <col min="14596" max="14596" width="28.7109375" style="44" customWidth="1"/>
    <col min="14597" max="14597" width="11.5703125" style="44" customWidth="1"/>
    <col min="14598" max="14598" width="8" style="44" customWidth="1"/>
    <col min="14599" max="14600" width="6.5703125" style="44" customWidth="1"/>
    <col min="14601" max="14601" width="11.5703125" style="44" customWidth="1"/>
    <col min="14602" max="14602" width="16" style="44" customWidth="1"/>
    <col min="14603" max="14603" width="12.140625" style="44" customWidth="1"/>
    <col min="14604" max="14604" width="12.5703125" style="44" customWidth="1"/>
    <col min="14605" max="14605" width="5.85546875" style="44" customWidth="1"/>
    <col min="14606" max="14606" width="6.7109375" style="44" customWidth="1"/>
    <col min="14607" max="14607" width="5.85546875" style="44" customWidth="1"/>
    <col min="14608" max="14849" width="11.42578125" style="44"/>
    <col min="14850" max="14850" width="20.7109375" style="44" customWidth="1"/>
    <col min="14851" max="14851" width="8.28515625" style="44" customWidth="1"/>
    <col min="14852" max="14852" width="28.7109375" style="44" customWidth="1"/>
    <col min="14853" max="14853" width="11.5703125" style="44" customWidth="1"/>
    <col min="14854" max="14854" width="8" style="44" customWidth="1"/>
    <col min="14855" max="14856" width="6.5703125" style="44" customWidth="1"/>
    <col min="14857" max="14857" width="11.5703125" style="44" customWidth="1"/>
    <col min="14858" max="14858" width="16" style="44" customWidth="1"/>
    <col min="14859" max="14859" width="12.140625" style="44" customWidth="1"/>
    <col min="14860" max="14860" width="12.5703125" style="44" customWidth="1"/>
    <col min="14861" max="14861" width="5.85546875" style="44" customWidth="1"/>
    <col min="14862" max="14862" width="6.7109375" style="44" customWidth="1"/>
    <col min="14863" max="14863" width="5.85546875" style="44" customWidth="1"/>
    <col min="14864" max="15105" width="11.42578125" style="44"/>
    <col min="15106" max="15106" width="20.7109375" style="44" customWidth="1"/>
    <col min="15107" max="15107" width="8.28515625" style="44" customWidth="1"/>
    <col min="15108" max="15108" width="28.7109375" style="44" customWidth="1"/>
    <col min="15109" max="15109" width="11.5703125" style="44" customWidth="1"/>
    <col min="15110" max="15110" width="8" style="44" customWidth="1"/>
    <col min="15111" max="15112" width="6.5703125" style="44" customWidth="1"/>
    <col min="15113" max="15113" width="11.5703125" style="44" customWidth="1"/>
    <col min="15114" max="15114" width="16" style="44" customWidth="1"/>
    <col min="15115" max="15115" width="12.140625" style="44" customWidth="1"/>
    <col min="15116" max="15116" width="12.5703125" style="44" customWidth="1"/>
    <col min="15117" max="15117" width="5.85546875" style="44" customWidth="1"/>
    <col min="15118" max="15118" width="6.7109375" style="44" customWidth="1"/>
    <col min="15119" max="15119" width="5.85546875" style="44" customWidth="1"/>
    <col min="15120" max="15361" width="11.42578125" style="44"/>
    <col min="15362" max="15362" width="20.7109375" style="44" customWidth="1"/>
    <col min="15363" max="15363" width="8.28515625" style="44" customWidth="1"/>
    <col min="15364" max="15364" width="28.7109375" style="44" customWidth="1"/>
    <col min="15365" max="15365" width="11.5703125" style="44" customWidth="1"/>
    <col min="15366" max="15366" width="8" style="44" customWidth="1"/>
    <col min="15367" max="15368" width="6.5703125" style="44" customWidth="1"/>
    <col min="15369" max="15369" width="11.5703125" style="44" customWidth="1"/>
    <col min="15370" max="15370" width="16" style="44" customWidth="1"/>
    <col min="15371" max="15371" width="12.140625" style="44" customWidth="1"/>
    <col min="15372" max="15372" width="12.5703125" style="44" customWidth="1"/>
    <col min="15373" max="15373" width="5.85546875" style="44" customWidth="1"/>
    <col min="15374" max="15374" width="6.7109375" style="44" customWidth="1"/>
    <col min="15375" max="15375" width="5.85546875" style="44" customWidth="1"/>
    <col min="15376" max="15617" width="11.42578125" style="44"/>
    <col min="15618" max="15618" width="20.7109375" style="44" customWidth="1"/>
    <col min="15619" max="15619" width="8.28515625" style="44" customWidth="1"/>
    <col min="15620" max="15620" width="28.7109375" style="44" customWidth="1"/>
    <col min="15621" max="15621" width="11.5703125" style="44" customWidth="1"/>
    <col min="15622" max="15622" width="8" style="44" customWidth="1"/>
    <col min="15623" max="15624" width="6.5703125" style="44" customWidth="1"/>
    <col min="15625" max="15625" width="11.5703125" style="44" customWidth="1"/>
    <col min="15626" max="15626" width="16" style="44" customWidth="1"/>
    <col min="15627" max="15627" width="12.140625" style="44" customWidth="1"/>
    <col min="15628" max="15628" width="12.5703125" style="44" customWidth="1"/>
    <col min="15629" max="15629" width="5.85546875" style="44" customWidth="1"/>
    <col min="15630" max="15630" width="6.7109375" style="44" customWidth="1"/>
    <col min="15631" max="15631" width="5.85546875" style="44" customWidth="1"/>
    <col min="15632" max="15873" width="11.42578125" style="44"/>
    <col min="15874" max="15874" width="20.7109375" style="44" customWidth="1"/>
    <col min="15875" max="15875" width="8.28515625" style="44" customWidth="1"/>
    <col min="15876" max="15876" width="28.7109375" style="44" customWidth="1"/>
    <col min="15877" max="15877" width="11.5703125" style="44" customWidth="1"/>
    <col min="15878" max="15878" width="8" style="44" customWidth="1"/>
    <col min="15879" max="15880" width="6.5703125" style="44" customWidth="1"/>
    <col min="15881" max="15881" width="11.5703125" style="44" customWidth="1"/>
    <col min="15882" max="15882" width="16" style="44" customWidth="1"/>
    <col min="15883" max="15883" width="12.140625" style="44" customWidth="1"/>
    <col min="15884" max="15884" width="12.5703125" style="44" customWidth="1"/>
    <col min="15885" max="15885" width="5.85546875" style="44" customWidth="1"/>
    <col min="15886" max="15886" width="6.7109375" style="44" customWidth="1"/>
    <col min="15887" max="15887" width="5.85546875" style="44" customWidth="1"/>
    <col min="15888" max="16129" width="11.42578125" style="44"/>
    <col min="16130" max="16130" width="20.7109375" style="44" customWidth="1"/>
    <col min="16131" max="16131" width="8.28515625" style="44" customWidth="1"/>
    <col min="16132" max="16132" width="28.7109375" style="44" customWidth="1"/>
    <col min="16133" max="16133" width="11.5703125" style="44" customWidth="1"/>
    <col min="16134" max="16134" width="8" style="44" customWidth="1"/>
    <col min="16135" max="16136" width="6.5703125" style="44" customWidth="1"/>
    <col min="16137" max="16137" width="11.5703125" style="44" customWidth="1"/>
    <col min="16138" max="16138" width="16" style="44" customWidth="1"/>
    <col min="16139" max="16139" width="12.140625" style="44" customWidth="1"/>
    <col min="16140" max="16140" width="12.5703125" style="44" customWidth="1"/>
    <col min="16141" max="16141" width="5.85546875" style="44" customWidth="1"/>
    <col min="16142" max="16142" width="6.7109375" style="44" customWidth="1"/>
    <col min="16143" max="16143" width="5.85546875" style="44" customWidth="1"/>
    <col min="16144" max="16384" width="11.42578125" style="44"/>
  </cols>
  <sheetData>
    <row r="1" spans="1:20" ht="36.6" customHeight="1" x14ac:dyDescent="0.25">
      <c r="A1" s="605"/>
      <c r="B1" s="605"/>
      <c r="C1" s="617"/>
      <c r="D1" s="617"/>
      <c r="E1" s="617"/>
      <c r="F1" s="617"/>
      <c r="G1" s="617"/>
      <c r="H1" s="617"/>
      <c r="I1" s="617"/>
      <c r="J1" s="617"/>
      <c r="K1" s="617"/>
      <c r="L1" s="617"/>
      <c r="M1" s="617"/>
      <c r="N1" s="617"/>
      <c r="O1" s="617"/>
      <c r="P1" s="617"/>
      <c r="Q1" s="617"/>
      <c r="R1" s="617"/>
      <c r="S1" s="615"/>
      <c r="T1" s="615"/>
    </row>
    <row r="2" spans="1:20" ht="34.5" customHeight="1" x14ac:dyDescent="0.25">
      <c r="A2" s="605"/>
      <c r="B2" s="605"/>
      <c r="C2" s="617"/>
      <c r="D2" s="617"/>
      <c r="E2" s="617"/>
      <c r="F2" s="617"/>
      <c r="G2" s="617"/>
      <c r="H2" s="617"/>
      <c r="I2" s="617"/>
      <c r="J2" s="617"/>
      <c r="K2" s="617"/>
      <c r="L2" s="617"/>
      <c r="M2" s="617"/>
      <c r="N2" s="617"/>
      <c r="O2" s="617"/>
      <c r="P2" s="617"/>
      <c r="Q2" s="617"/>
      <c r="R2" s="617"/>
      <c r="S2" s="615"/>
      <c r="T2" s="615"/>
    </row>
    <row r="3" spans="1:20" ht="28.9" customHeight="1" x14ac:dyDescent="0.25">
      <c r="A3" s="605"/>
      <c r="B3" s="605"/>
      <c r="C3" s="617"/>
      <c r="D3" s="617"/>
      <c r="E3" s="617"/>
      <c r="F3" s="617"/>
      <c r="G3" s="617"/>
      <c r="H3" s="617"/>
      <c r="I3" s="617"/>
      <c r="J3" s="617"/>
      <c r="K3" s="617"/>
      <c r="L3" s="617"/>
      <c r="M3" s="617"/>
      <c r="N3" s="617"/>
      <c r="O3" s="617"/>
      <c r="P3" s="617"/>
      <c r="Q3" s="617"/>
      <c r="R3" s="617"/>
      <c r="S3" s="616"/>
      <c r="T3" s="616"/>
    </row>
    <row r="4" spans="1:20" ht="20.100000000000001" customHeight="1" x14ac:dyDescent="0.25">
      <c r="A4" s="136"/>
      <c r="B4" s="621" t="s">
        <v>27</v>
      </c>
      <c r="C4" s="621"/>
      <c r="D4" s="621"/>
      <c r="E4" s="621"/>
      <c r="F4" s="621"/>
      <c r="G4" s="621"/>
      <c r="H4" s="621"/>
      <c r="I4" s="621"/>
      <c r="J4" s="621"/>
      <c r="K4" s="621"/>
      <c r="L4" s="621"/>
      <c r="M4" s="137"/>
      <c r="N4" s="137"/>
      <c r="O4" s="137"/>
      <c r="P4" s="136"/>
      <c r="Q4" s="136"/>
      <c r="R4" s="136"/>
      <c r="S4" s="136"/>
      <c r="T4" s="136"/>
    </row>
    <row r="5" spans="1:20" ht="15.75" x14ac:dyDescent="0.25">
      <c r="A5" s="136"/>
      <c r="B5" s="618" t="s">
        <v>194</v>
      </c>
      <c r="C5" s="618"/>
      <c r="D5" s="618"/>
      <c r="E5" s="618"/>
      <c r="F5" s="618"/>
      <c r="G5" s="618"/>
      <c r="H5" s="618"/>
      <c r="I5" s="618"/>
      <c r="J5" s="618"/>
      <c r="K5" s="618"/>
      <c r="L5" s="618"/>
      <c r="M5" s="138"/>
      <c r="N5" s="138"/>
      <c r="O5" s="138"/>
      <c r="P5" s="136"/>
      <c r="Q5" s="136"/>
      <c r="R5" s="136"/>
      <c r="S5" s="136"/>
      <c r="T5" s="136"/>
    </row>
    <row r="6" spans="1:20" ht="5.0999999999999996" customHeight="1" thickBot="1" x14ac:dyDescent="0.3">
      <c r="B6" s="45"/>
      <c r="C6" s="45"/>
      <c r="D6" s="45"/>
      <c r="E6" s="45"/>
      <c r="F6" s="45"/>
      <c r="G6" s="45"/>
      <c r="H6" s="45"/>
      <c r="I6" s="45"/>
      <c r="J6" s="45"/>
      <c r="K6" s="45"/>
      <c r="L6" s="45"/>
      <c r="M6" s="45"/>
      <c r="N6" s="45"/>
      <c r="O6" s="45"/>
    </row>
    <row r="7" spans="1:20" ht="30" customHeight="1" thickBot="1" x14ac:dyDescent="0.3">
      <c r="A7" s="341" t="s">
        <v>36</v>
      </c>
      <c r="B7" s="342" t="s">
        <v>49</v>
      </c>
      <c r="C7" s="343" t="s">
        <v>50</v>
      </c>
      <c r="D7" s="344" t="s">
        <v>51</v>
      </c>
      <c r="E7" s="344" t="s">
        <v>52</v>
      </c>
      <c r="F7" s="345" t="s">
        <v>53</v>
      </c>
      <c r="G7" s="345" t="s">
        <v>54</v>
      </c>
      <c r="H7" s="346" t="s">
        <v>55</v>
      </c>
      <c r="I7" s="347" t="s">
        <v>36</v>
      </c>
      <c r="J7" s="344" t="s">
        <v>5</v>
      </c>
      <c r="K7" s="344" t="s">
        <v>6</v>
      </c>
      <c r="L7" s="348" t="s">
        <v>7</v>
      </c>
      <c r="M7" s="349" t="s">
        <v>43</v>
      </c>
      <c r="N7" s="350" t="s">
        <v>44</v>
      </c>
      <c r="O7" s="350" t="s">
        <v>45</v>
      </c>
      <c r="P7" s="351" t="s">
        <v>56</v>
      </c>
      <c r="Q7" s="351" t="s">
        <v>57</v>
      </c>
      <c r="R7" s="351" t="s">
        <v>58</v>
      </c>
      <c r="S7" s="351" t="s">
        <v>59</v>
      </c>
      <c r="T7" s="351" t="s">
        <v>60</v>
      </c>
    </row>
    <row r="8" spans="1:20" ht="69.95" customHeight="1" thickBot="1" x14ac:dyDescent="0.3">
      <c r="A8" s="262"/>
      <c r="B8" s="352"/>
      <c r="C8" s="134"/>
      <c r="D8" s="250"/>
      <c r="E8" s="135"/>
      <c r="F8" s="251"/>
      <c r="G8" s="251"/>
      <c r="H8" s="46"/>
      <c r="I8" s="252"/>
      <c r="J8" s="252"/>
      <c r="K8" s="252"/>
      <c r="L8" s="258"/>
      <c r="M8" s="168"/>
      <c r="N8" s="168"/>
      <c r="O8" s="168"/>
      <c r="P8" s="145"/>
      <c r="Q8" s="145"/>
      <c r="R8" s="145"/>
      <c r="S8" s="145"/>
      <c r="T8" s="184"/>
    </row>
    <row r="9" spans="1:20" ht="69.95" customHeight="1" thickBot="1" x14ac:dyDescent="0.3">
      <c r="A9" s="262"/>
      <c r="B9" s="352"/>
      <c r="C9" s="134"/>
      <c r="D9" s="131"/>
      <c r="E9" s="132"/>
      <c r="F9" s="133"/>
      <c r="G9" s="133"/>
      <c r="H9" s="133"/>
      <c r="I9" s="254"/>
      <c r="J9" s="254"/>
      <c r="K9" s="254"/>
      <c r="L9" s="260"/>
      <c r="M9" s="168"/>
      <c r="N9" s="168"/>
      <c r="O9" s="168"/>
      <c r="P9" s="145"/>
      <c r="Q9" s="145"/>
      <c r="R9" s="145"/>
      <c r="S9" s="145"/>
      <c r="T9" s="184"/>
    </row>
    <row r="10" spans="1:20" ht="69.95" customHeight="1" thickBot="1" x14ac:dyDescent="0.3">
      <c r="A10" s="262"/>
      <c r="B10" s="352"/>
      <c r="C10" s="134"/>
      <c r="D10" s="58"/>
      <c r="E10" s="122"/>
      <c r="F10" s="60"/>
      <c r="G10" s="60"/>
      <c r="H10" s="60"/>
      <c r="I10" s="61"/>
      <c r="J10" s="61"/>
      <c r="K10" s="61"/>
      <c r="L10" s="75"/>
      <c r="M10" s="168"/>
      <c r="N10" s="168"/>
      <c r="O10" s="168"/>
      <c r="P10" s="145"/>
      <c r="Q10" s="145"/>
      <c r="R10" s="145"/>
      <c r="S10" s="145"/>
      <c r="T10" s="184"/>
    </row>
    <row r="11" spans="1:20" ht="69.95" customHeight="1" thickBot="1" x14ac:dyDescent="0.3">
      <c r="A11" s="354"/>
      <c r="B11" s="352"/>
      <c r="C11" s="134"/>
      <c r="D11" s="58"/>
      <c r="E11" s="122"/>
      <c r="F11" s="60"/>
      <c r="G11" s="60"/>
      <c r="H11" s="60"/>
      <c r="I11" s="62"/>
      <c r="J11" s="61"/>
      <c r="K11" s="61"/>
      <c r="L11" s="75"/>
      <c r="M11" s="168"/>
      <c r="N11" s="168"/>
      <c r="O11" s="168"/>
      <c r="P11" s="145"/>
      <c r="Q11" s="145"/>
      <c r="R11" s="145"/>
      <c r="S11" s="145"/>
      <c r="T11" s="184"/>
    </row>
    <row r="12" spans="1:20" ht="69.95" customHeight="1" thickBot="1" x14ac:dyDescent="0.3">
      <c r="A12" s="262"/>
      <c r="B12" s="352"/>
      <c r="C12" s="134"/>
      <c r="D12" s="56"/>
      <c r="E12" s="122"/>
      <c r="F12" s="46"/>
      <c r="G12" s="46"/>
      <c r="H12" s="46"/>
      <c r="I12" s="47"/>
      <c r="J12" s="81"/>
      <c r="K12" s="81"/>
      <c r="L12" s="180"/>
      <c r="M12" s="168"/>
      <c r="N12" s="168"/>
      <c r="O12" s="168"/>
      <c r="P12" s="145"/>
      <c r="Q12" s="145"/>
      <c r="R12" s="145"/>
      <c r="S12" s="145"/>
      <c r="T12" s="184"/>
    </row>
    <row r="13" spans="1:20" ht="69.95" customHeight="1" thickBot="1" x14ac:dyDescent="0.3">
      <c r="A13" s="262"/>
      <c r="B13" s="352"/>
      <c r="C13" s="134"/>
      <c r="D13" s="84"/>
      <c r="E13" s="122"/>
      <c r="F13" s="80"/>
      <c r="G13" s="80"/>
      <c r="H13" s="55"/>
      <c r="I13" s="255"/>
      <c r="J13" s="257"/>
      <c r="K13" s="257"/>
      <c r="L13" s="261"/>
      <c r="M13" s="168"/>
      <c r="N13" s="168"/>
      <c r="O13" s="168"/>
      <c r="P13" s="145"/>
      <c r="Q13" s="145"/>
      <c r="R13" s="145"/>
      <c r="S13" s="145"/>
      <c r="T13" s="184"/>
    </row>
    <row r="14" spans="1:20" ht="69.95" customHeight="1" thickBot="1" x14ac:dyDescent="0.3">
      <c r="A14" s="262"/>
      <c r="B14" s="352"/>
      <c r="C14" s="134"/>
      <c r="D14" s="58"/>
      <c r="E14" s="122"/>
      <c r="F14" s="60"/>
      <c r="G14" s="60"/>
      <c r="H14" s="60"/>
      <c r="I14" s="61"/>
      <c r="J14" s="61"/>
      <c r="K14" s="61"/>
      <c r="L14" s="75"/>
      <c r="M14" s="168"/>
      <c r="N14" s="168"/>
      <c r="O14" s="168"/>
      <c r="P14" s="145"/>
      <c r="Q14" s="145"/>
      <c r="R14" s="145"/>
      <c r="S14" s="145"/>
      <c r="T14" s="184"/>
    </row>
    <row r="15" spans="1:20" ht="69.95" customHeight="1" thickBot="1" x14ac:dyDescent="0.3">
      <c r="A15" s="262"/>
      <c r="B15" s="352"/>
      <c r="C15" s="134"/>
      <c r="D15" s="58"/>
      <c r="E15" s="122"/>
      <c r="F15" s="60"/>
      <c r="G15" s="60"/>
      <c r="H15" s="60"/>
      <c r="I15" s="61"/>
      <c r="J15" s="61"/>
      <c r="K15" s="61"/>
      <c r="L15" s="75"/>
      <c r="M15" s="168"/>
      <c r="N15" s="168"/>
      <c r="O15" s="168"/>
      <c r="P15" s="145"/>
      <c r="Q15" s="145"/>
      <c r="R15" s="145"/>
      <c r="S15" s="145"/>
      <c r="T15" s="184"/>
    </row>
    <row r="16" spans="1:20" ht="69.95" customHeight="1" thickBot="1" x14ac:dyDescent="0.3">
      <c r="A16" s="262"/>
      <c r="B16" s="352"/>
      <c r="C16" s="134"/>
      <c r="D16" s="58"/>
      <c r="E16" s="122"/>
      <c r="F16" s="60"/>
      <c r="G16" s="60"/>
      <c r="H16" s="60"/>
      <c r="I16" s="59"/>
      <c r="J16" s="61"/>
      <c r="K16" s="61"/>
      <c r="L16" s="75"/>
      <c r="M16" s="168"/>
      <c r="N16" s="168"/>
      <c r="O16" s="168"/>
      <c r="P16" s="145"/>
      <c r="Q16" s="145"/>
      <c r="R16" s="145"/>
      <c r="S16" s="145"/>
      <c r="T16" s="184"/>
    </row>
    <row r="17" spans="1:20" ht="69.95" customHeight="1" thickBot="1" x14ac:dyDescent="0.3">
      <c r="A17" s="262"/>
      <c r="B17" s="352"/>
      <c r="C17" s="134"/>
      <c r="D17" s="58"/>
      <c r="E17" s="122"/>
      <c r="F17" s="63"/>
      <c r="G17" s="63"/>
      <c r="H17" s="60"/>
      <c r="I17" s="62"/>
      <c r="J17" s="79"/>
      <c r="K17" s="79"/>
      <c r="L17" s="85"/>
      <c r="M17" s="168"/>
      <c r="N17" s="168"/>
      <c r="O17" s="168"/>
      <c r="P17" s="145"/>
      <c r="Q17" s="145"/>
      <c r="R17" s="145"/>
      <c r="S17" s="145"/>
      <c r="T17" s="184"/>
    </row>
    <row r="18" spans="1:20" ht="69.95" customHeight="1" thickBot="1" x14ac:dyDescent="0.3">
      <c r="A18" s="262"/>
      <c r="B18" s="352"/>
      <c r="C18" s="134"/>
      <c r="D18" s="58"/>
      <c r="E18" s="122"/>
      <c r="F18" s="63"/>
      <c r="G18" s="63"/>
      <c r="H18" s="60"/>
      <c r="I18" s="62"/>
      <c r="J18" s="79"/>
      <c r="K18" s="79"/>
      <c r="L18" s="85"/>
      <c r="M18" s="168"/>
      <c r="N18" s="168"/>
      <c r="O18" s="168"/>
      <c r="P18" s="145"/>
      <c r="Q18" s="145"/>
      <c r="R18" s="145"/>
      <c r="S18" s="145"/>
      <c r="T18" s="184"/>
    </row>
    <row r="19" spans="1:20" ht="69.95" customHeight="1" thickBot="1" x14ac:dyDescent="0.3">
      <c r="A19" s="262"/>
      <c r="B19" s="352"/>
      <c r="C19" s="134"/>
      <c r="D19" s="58"/>
      <c r="E19" s="122"/>
      <c r="F19" s="63"/>
      <c r="G19" s="63"/>
      <c r="H19" s="60"/>
      <c r="I19" s="62"/>
      <c r="J19" s="79"/>
      <c r="K19" s="79"/>
      <c r="L19" s="85"/>
      <c r="M19" s="168"/>
      <c r="N19" s="168"/>
      <c r="O19" s="168"/>
      <c r="P19" s="145"/>
      <c r="Q19" s="145"/>
      <c r="R19" s="145"/>
      <c r="S19" s="145"/>
      <c r="T19" s="184"/>
    </row>
    <row r="20" spans="1:20" ht="69.95" customHeight="1" thickBot="1" x14ac:dyDescent="0.3">
      <c r="A20" s="262"/>
      <c r="B20" s="352"/>
      <c r="C20" s="134"/>
      <c r="D20" s="58"/>
      <c r="E20" s="122"/>
      <c r="F20" s="63"/>
      <c r="G20" s="63"/>
      <c r="H20" s="60"/>
      <c r="I20" s="62"/>
      <c r="J20" s="77"/>
      <c r="K20" s="77"/>
      <c r="L20" s="83"/>
      <c r="M20" s="168"/>
      <c r="N20" s="168"/>
      <c r="O20" s="168"/>
      <c r="P20" s="145"/>
      <c r="Q20" s="145"/>
      <c r="R20" s="145"/>
      <c r="S20" s="145"/>
      <c r="T20" s="184"/>
    </row>
    <row r="21" spans="1:20" ht="69.95" customHeight="1" thickBot="1" x14ac:dyDescent="0.3">
      <c r="A21" s="262"/>
      <c r="B21" s="352"/>
      <c r="C21" s="134"/>
      <c r="D21" s="58"/>
      <c r="E21" s="122"/>
      <c r="F21" s="63"/>
      <c r="G21" s="63"/>
      <c r="H21" s="60"/>
      <c r="I21" s="62"/>
      <c r="J21" s="77"/>
      <c r="K21" s="77"/>
      <c r="L21" s="83"/>
      <c r="M21" s="168"/>
      <c r="N21" s="168"/>
      <c r="O21" s="168"/>
      <c r="P21" s="145"/>
      <c r="Q21" s="145"/>
      <c r="R21" s="145"/>
      <c r="S21" s="145"/>
      <c r="T21" s="184"/>
    </row>
    <row r="22" spans="1:20" ht="69.95" customHeight="1" thickBot="1" x14ac:dyDescent="0.3">
      <c r="A22" s="262"/>
      <c r="B22" s="352"/>
      <c r="C22" s="134"/>
      <c r="D22" s="58"/>
      <c r="E22" s="122"/>
      <c r="F22" s="63"/>
      <c r="G22" s="63"/>
      <c r="H22" s="60"/>
      <c r="I22" s="62"/>
      <c r="J22" s="77"/>
      <c r="K22" s="77"/>
      <c r="L22" s="83"/>
      <c r="M22" s="168"/>
      <c r="N22" s="168"/>
      <c r="O22" s="168"/>
      <c r="P22" s="145"/>
      <c r="Q22" s="145"/>
      <c r="R22" s="145"/>
      <c r="S22" s="145"/>
      <c r="T22" s="184"/>
    </row>
    <row r="23" spans="1:20" ht="69.95" customHeight="1" thickBot="1" x14ac:dyDescent="0.3">
      <c r="A23" s="262"/>
      <c r="B23" s="352"/>
      <c r="C23" s="134"/>
      <c r="D23" s="58"/>
      <c r="E23" s="122"/>
      <c r="F23" s="63"/>
      <c r="G23" s="63"/>
      <c r="H23" s="60"/>
      <c r="I23" s="62"/>
      <c r="J23" s="77"/>
      <c r="K23" s="77"/>
      <c r="L23" s="83"/>
      <c r="M23" s="168"/>
      <c r="N23" s="168"/>
      <c r="O23" s="168"/>
      <c r="P23" s="145"/>
      <c r="Q23" s="145"/>
      <c r="R23" s="145"/>
      <c r="S23" s="145"/>
      <c r="T23" s="184"/>
    </row>
    <row r="24" spans="1:20" ht="69.95" customHeight="1" thickBot="1" x14ac:dyDescent="0.3">
      <c r="A24" s="262"/>
      <c r="B24" s="352"/>
      <c r="C24" s="134"/>
      <c r="D24" s="58"/>
      <c r="E24" s="122"/>
      <c r="F24" s="63"/>
      <c r="G24" s="63"/>
      <c r="H24" s="60"/>
      <c r="I24" s="62"/>
      <c r="J24" s="77"/>
      <c r="K24" s="77"/>
      <c r="L24" s="83"/>
      <c r="M24" s="168"/>
      <c r="N24" s="168"/>
      <c r="O24" s="168"/>
      <c r="P24" s="145"/>
      <c r="Q24" s="145"/>
      <c r="R24" s="145"/>
      <c r="S24" s="145"/>
      <c r="T24" s="184"/>
    </row>
    <row r="25" spans="1:20" ht="69.95" customHeight="1" thickBot="1" x14ac:dyDescent="0.3">
      <c r="A25" s="262"/>
      <c r="B25" s="352"/>
      <c r="C25" s="134"/>
      <c r="D25" s="58"/>
      <c r="E25" s="122"/>
      <c r="F25" s="63"/>
      <c r="G25" s="63"/>
      <c r="H25" s="60"/>
      <c r="I25" s="62"/>
      <c r="J25" s="77"/>
      <c r="K25" s="77"/>
      <c r="L25" s="83"/>
      <c r="M25" s="168"/>
      <c r="N25" s="168"/>
      <c r="O25" s="168"/>
      <c r="P25" s="145"/>
      <c r="Q25" s="145"/>
      <c r="R25" s="145"/>
      <c r="S25" s="145"/>
      <c r="T25" s="184"/>
    </row>
    <row r="26" spans="1:20" ht="69.95" customHeight="1" thickBot="1" x14ac:dyDescent="0.3">
      <c r="A26" s="262"/>
      <c r="B26" s="352"/>
      <c r="C26" s="134"/>
      <c r="D26" s="58"/>
      <c r="E26" s="122"/>
      <c r="F26" s="63"/>
      <c r="G26" s="63"/>
      <c r="H26" s="60"/>
      <c r="I26" s="62"/>
      <c r="J26" s="77"/>
      <c r="K26" s="77"/>
      <c r="L26" s="83"/>
      <c r="M26" s="168"/>
      <c r="N26" s="168"/>
      <c r="O26" s="168"/>
      <c r="P26" s="145"/>
      <c r="Q26" s="145"/>
      <c r="R26" s="145"/>
      <c r="S26" s="145"/>
      <c r="T26" s="184"/>
    </row>
    <row r="27" spans="1:20" ht="69.95" customHeight="1" thickBot="1" x14ac:dyDescent="0.3">
      <c r="A27" s="262"/>
      <c r="B27" s="352"/>
      <c r="C27" s="134"/>
      <c r="D27" s="58"/>
      <c r="E27" s="122"/>
      <c r="F27" s="63"/>
      <c r="G27" s="63"/>
      <c r="H27" s="60"/>
      <c r="I27" s="62"/>
      <c r="J27" s="77"/>
      <c r="K27" s="77"/>
      <c r="L27" s="83"/>
      <c r="M27" s="168"/>
      <c r="N27" s="168"/>
      <c r="O27" s="168"/>
      <c r="P27" s="145"/>
      <c r="Q27" s="145"/>
      <c r="R27" s="145"/>
      <c r="S27" s="145"/>
      <c r="T27" s="184"/>
    </row>
    <row r="28" spans="1:20" ht="69.95" customHeight="1" thickBot="1" x14ac:dyDescent="0.3">
      <c r="A28" s="262"/>
      <c r="B28" s="352"/>
      <c r="C28" s="134"/>
      <c r="D28" s="58"/>
      <c r="E28" s="122"/>
      <c r="F28" s="63"/>
      <c r="G28" s="63"/>
      <c r="H28" s="60"/>
      <c r="I28" s="62"/>
      <c r="J28" s="77"/>
      <c r="K28" s="77"/>
      <c r="L28" s="83"/>
      <c r="M28" s="168"/>
      <c r="N28" s="168"/>
      <c r="O28" s="168"/>
      <c r="P28" s="145"/>
      <c r="Q28" s="145"/>
      <c r="R28" s="145"/>
      <c r="S28" s="145"/>
      <c r="T28" s="184"/>
    </row>
    <row r="29" spans="1:20" ht="69.95" customHeight="1" thickBot="1" x14ac:dyDescent="0.3">
      <c r="A29" s="262"/>
      <c r="B29" s="352"/>
      <c r="C29" s="134"/>
      <c r="D29" s="58"/>
      <c r="E29" s="122"/>
      <c r="F29" s="63"/>
      <c r="G29" s="63"/>
      <c r="H29" s="60"/>
      <c r="I29" s="62"/>
      <c r="J29" s="77"/>
      <c r="K29" s="77"/>
      <c r="L29" s="83"/>
      <c r="M29" s="168"/>
      <c r="N29" s="168"/>
      <c r="O29" s="168"/>
      <c r="P29" s="145"/>
      <c r="Q29" s="145"/>
      <c r="R29" s="145"/>
      <c r="S29" s="145"/>
      <c r="T29" s="184"/>
    </row>
    <row r="30" spans="1:20" ht="69.95" customHeight="1" thickBot="1" x14ac:dyDescent="0.3">
      <c r="A30" s="262"/>
      <c r="B30" s="352"/>
      <c r="C30" s="134"/>
      <c r="D30" s="58"/>
      <c r="E30" s="122"/>
      <c r="F30" s="63"/>
      <c r="G30" s="63"/>
      <c r="H30" s="60"/>
      <c r="I30" s="62"/>
      <c r="J30" s="77"/>
      <c r="K30" s="77"/>
      <c r="L30" s="83"/>
      <c r="M30" s="168"/>
      <c r="N30" s="168"/>
      <c r="O30" s="168"/>
      <c r="P30" s="145"/>
      <c r="Q30" s="145"/>
      <c r="R30" s="145"/>
      <c r="S30" s="145"/>
      <c r="T30" s="184"/>
    </row>
    <row r="31" spans="1:20" ht="69.95" customHeight="1" thickBot="1" x14ac:dyDescent="0.3">
      <c r="A31" s="262"/>
      <c r="B31" s="352"/>
      <c r="C31" s="134"/>
      <c r="D31" s="58"/>
      <c r="E31" s="122"/>
      <c r="F31" s="63"/>
      <c r="G31" s="63"/>
      <c r="H31" s="60"/>
      <c r="I31" s="62"/>
      <c r="J31" s="77"/>
      <c r="K31" s="77"/>
      <c r="L31" s="83"/>
      <c r="M31" s="168"/>
      <c r="N31" s="168"/>
      <c r="O31" s="168"/>
      <c r="P31" s="145"/>
      <c r="Q31" s="145"/>
      <c r="R31" s="145"/>
      <c r="S31" s="145"/>
      <c r="T31" s="184"/>
    </row>
    <row r="32" spans="1:20" ht="69.95" customHeight="1" thickBot="1" x14ac:dyDescent="0.3">
      <c r="A32" s="262"/>
      <c r="B32" s="352"/>
      <c r="C32" s="134"/>
      <c r="D32" s="58"/>
      <c r="E32" s="122"/>
      <c r="F32" s="63"/>
      <c r="G32" s="63"/>
      <c r="H32" s="60"/>
      <c r="I32" s="62"/>
      <c r="J32" s="77"/>
      <c r="K32" s="77"/>
      <c r="L32" s="83"/>
      <c r="M32" s="168"/>
      <c r="N32" s="168"/>
      <c r="O32" s="168"/>
      <c r="P32" s="145"/>
      <c r="Q32" s="145"/>
      <c r="R32" s="145"/>
      <c r="S32" s="145"/>
      <c r="T32" s="184"/>
    </row>
    <row r="33" spans="1:20" ht="69.95" customHeight="1" thickBot="1" x14ac:dyDescent="0.3">
      <c r="A33" s="262"/>
      <c r="B33" s="352"/>
      <c r="C33" s="57"/>
      <c r="D33" s="58"/>
      <c r="E33" s="122"/>
      <c r="F33" s="63"/>
      <c r="G33" s="63"/>
      <c r="H33" s="60"/>
      <c r="I33" s="62"/>
      <c r="J33" s="77"/>
      <c r="K33" s="77"/>
      <c r="L33" s="83"/>
      <c r="M33" s="168"/>
      <c r="N33" s="168"/>
      <c r="O33" s="168"/>
      <c r="P33" s="145"/>
      <c r="Q33" s="145"/>
      <c r="R33" s="145"/>
      <c r="S33" s="145"/>
      <c r="T33" s="184"/>
    </row>
    <row r="34" spans="1:20" ht="69.95" customHeight="1" thickBot="1" x14ac:dyDescent="0.3">
      <c r="A34" s="262"/>
      <c r="B34" s="352"/>
      <c r="C34" s="134"/>
      <c r="D34" s="56"/>
      <c r="E34" s="135"/>
      <c r="F34" s="76"/>
      <c r="G34" s="76"/>
      <c r="H34" s="46"/>
      <c r="I34" s="47"/>
      <c r="J34" s="78"/>
      <c r="K34" s="78"/>
      <c r="L34" s="82"/>
      <c r="M34" s="168"/>
      <c r="N34" s="168"/>
      <c r="O34" s="168"/>
      <c r="P34" s="145"/>
      <c r="Q34" s="145"/>
      <c r="R34" s="145"/>
      <c r="S34" s="145"/>
      <c r="T34" s="184"/>
    </row>
    <row r="35" spans="1:20" ht="69.95" customHeight="1" thickBot="1" x14ac:dyDescent="0.3">
      <c r="A35" s="262"/>
      <c r="B35" s="352"/>
      <c r="C35" s="178"/>
      <c r="D35" s="131"/>
      <c r="E35" s="132"/>
      <c r="F35" s="179"/>
      <c r="G35" s="179"/>
      <c r="H35" s="133"/>
      <c r="I35" s="253"/>
      <c r="J35" s="256"/>
      <c r="K35" s="256"/>
      <c r="L35" s="259"/>
      <c r="M35" s="168"/>
      <c r="N35" s="168"/>
      <c r="O35" s="168"/>
      <c r="P35" s="145"/>
      <c r="Q35" s="145"/>
      <c r="R35" s="145"/>
      <c r="S35" s="145"/>
      <c r="T35" s="184"/>
    </row>
    <row r="36" spans="1:20" ht="69.95" customHeight="1" thickBot="1" x14ac:dyDescent="0.3">
      <c r="A36" s="262"/>
      <c r="B36" s="352"/>
      <c r="C36" s="134"/>
      <c r="D36" s="58"/>
      <c r="E36" s="122"/>
      <c r="F36" s="63"/>
      <c r="G36" s="63"/>
      <c r="H36" s="60"/>
      <c r="I36" s="62"/>
      <c r="J36" s="77"/>
      <c r="K36" s="77"/>
      <c r="L36" s="83"/>
      <c r="M36" s="168"/>
      <c r="N36" s="168"/>
      <c r="O36" s="168"/>
      <c r="P36" s="145"/>
      <c r="Q36" s="145"/>
      <c r="R36" s="145"/>
      <c r="S36" s="145"/>
      <c r="T36" s="184"/>
    </row>
    <row r="37" spans="1:20" ht="69.95" customHeight="1" thickBot="1" x14ac:dyDescent="0.3">
      <c r="A37" s="262"/>
      <c r="B37" s="352"/>
      <c r="C37" s="134"/>
      <c r="D37" s="58"/>
      <c r="E37" s="122"/>
      <c r="F37" s="63"/>
      <c r="G37" s="63"/>
      <c r="H37" s="60"/>
      <c r="I37" s="62"/>
      <c r="J37" s="77"/>
      <c r="K37" s="77"/>
      <c r="L37" s="83"/>
      <c r="M37" s="168"/>
      <c r="N37" s="168"/>
      <c r="O37" s="168"/>
      <c r="P37" s="145"/>
      <c r="Q37" s="145"/>
      <c r="R37" s="145"/>
      <c r="S37" s="145"/>
      <c r="T37" s="184"/>
    </row>
    <row r="38" spans="1:20" ht="69.95" customHeight="1" thickBot="1" x14ac:dyDescent="0.3">
      <c r="A38" s="262"/>
      <c r="B38" s="352"/>
      <c r="C38" s="134"/>
      <c r="D38" s="56"/>
      <c r="E38" s="135"/>
      <c r="F38" s="76"/>
      <c r="G38" s="76"/>
      <c r="H38" s="46"/>
      <c r="I38" s="47"/>
      <c r="J38" s="78"/>
      <c r="K38" s="78"/>
      <c r="L38" s="82"/>
      <c r="M38" s="168"/>
      <c r="N38" s="168"/>
      <c r="O38" s="168"/>
      <c r="P38" s="145"/>
      <c r="Q38" s="145"/>
      <c r="R38" s="145"/>
      <c r="S38" s="145"/>
      <c r="T38" s="184"/>
    </row>
    <row r="39" spans="1:20" ht="69.95" customHeight="1" thickBot="1" x14ac:dyDescent="0.3">
      <c r="A39" s="262"/>
      <c r="B39" s="352"/>
      <c r="C39" s="134"/>
      <c r="D39" s="56"/>
      <c r="E39" s="135"/>
      <c r="F39" s="76"/>
      <c r="G39" s="76"/>
      <c r="H39" s="46"/>
      <c r="I39" s="47"/>
      <c r="J39" s="78"/>
      <c r="K39" s="78"/>
      <c r="L39" s="82"/>
      <c r="M39" s="168"/>
      <c r="N39" s="168"/>
      <c r="O39" s="168"/>
      <c r="P39" s="145"/>
      <c r="Q39" s="145"/>
      <c r="R39" s="145"/>
      <c r="S39" s="145"/>
      <c r="T39" s="184"/>
    </row>
    <row r="40" spans="1:20" ht="69.95" customHeight="1" thickBot="1" x14ac:dyDescent="0.3">
      <c r="A40" s="262"/>
      <c r="B40" s="352"/>
      <c r="C40" s="134"/>
      <c r="D40" s="56"/>
      <c r="E40" s="135"/>
      <c r="F40" s="76"/>
      <c r="G40" s="76"/>
      <c r="H40" s="46"/>
      <c r="I40" s="47"/>
      <c r="J40" s="78"/>
      <c r="K40" s="78"/>
      <c r="L40" s="82"/>
      <c r="M40" s="168"/>
      <c r="N40" s="168"/>
      <c r="O40" s="168"/>
      <c r="P40" s="145"/>
      <c r="Q40" s="145"/>
      <c r="R40" s="145"/>
      <c r="S40" s="145"/>
      <c r="T40" s="184"/>
    </row>
    <row r="41" spans="1:20" ht="69.95" customHeight="1" thickBot="1" x14ac:dyDescent="0.3">
      <c r="A41" s="262"/>
      <c r="B41" s="352"/>
      <c r="C41" s="57"/>
      <c r="D41" s="58"/>
      <c r="E41" s="122"/>
      <c r="F41" s="63"/>
      <c r="G41" s="63"/>
      <c r="H41" s="60"/>
      <c r="I41" s="62"/>
      <c r="J41" s="77"/>
      <c r="K41" s="77"/>
      <c r="L41" s="83"/>
      <c r="M41" s="168"/>
      <c r="N41" s="168"/>
      <c r="O41" s="168"/>
      <c r="P41" s="248"/>
      <c r="Q41" s="145"/>
      <c r="R41" s="145"/>
      <c r="S41" s="145"/>
      <c r="T41" s="249"/>
    </row>
    <row r="42" spans="1:20" ht="69.95" customHeight="1" thickBot="1" x14ac:dyDescent="0.3">
      <c r="A42" s="262"/>
      <c r="B42" s="352"/>
      <c r="C42" s="134"/>
      <c r="D42" s="56"/>
      <c r="E42" s="135"/>
      <c r="F42" s="76"/>
      <c r="G42" s="76"/>
      <c r="H42" s="46"/>
      <c r="I42" s="47"/>
      <c r="J42" s="78"/>
      <c r="K42" s="78"/>
      <c r="L42" s="82"/>
      <c r="M42" s="168"/>
      <c r="N42" s="168"/>
      <c r="O42" s="168"/>
      <c r="P42" s="145"/>
      <c r="Q42" s="145"/>
      <c r="R42" s="145"/>
      <c r="S42" s="145"/>
      <c r="T42" s="184"/>
    </row>
    <row r="43" spans="1:20" ht="69.95" customHeight="1" thickBot="1" x14ac:dyDescent="0.3">
      <c r="A43" s="262"/>
      <c r="B43" s="352"/>
      <c r="C43" s="134"/>
      <c r="D43" s="56"/>
      <c r="E43" s="135"/>
      <c r="F43" s="76"/>
      <c r="G43" s="76"/>
      <c r="H43" s="46"/>
      <c r="I43" s="47"/>
      <c r="J43" s="78"/>
      <c r="K43" s="78"/>
      <c r="L43" s="82"/>
      <c r="M43" s="168"/>
      <c r="N43" s="168"/>
      <c r="O43" s="168"/>
      <c r="P43" s="145"/>
      <c r="Q43" s="145"/>
      <c r="R43" s="145"/>
      <c r="S43" s="145"/>
      <c r="T43" s="184"/>
    </row>
    <row r="44" spans="1:20" ht="69.95" customHeight="1" thickBot="1" x14ac:dyDescent="0.3">
      <c r="A44" s="262"/>
      <c r="B44" s="352"/>
      <c r="C44" s="134"/>
      <c r="D44" s="56"/>
      <c r="E44" s="135"/>
      <c r="F44" s="76"/>
      <c r="G44" s="76"/>
      <c r="H44" s="46"/>
      <c r="I44" s="47"/>
      <c r="J44" s="78"/>
      <c r="K44" s="78"/>
      <c r="L44" s="82"/>
      <c r="M44" s="168"/>
      <c r="N44" s="168"/>
      <c r="O44" s="168"/>
      <c r="P44" s="145"/>
      <c r="Q44" s="145"/>
      <c r="R44" s="145"/>
      <c r="S44" s="145"/>
      <c r="T44" s="184"/>
    </row>
    <row r="45" spans="1:20" ht="69.95" customHeight="1" thickBot="1" x14ac:dyDescent="0.3">
      <c r="A45" s="262"/>
      <c r="B45" s="352"/>
      <c r="C45" s="134"/>
      <c r="D45" s="56"/>
      <c r="E45" s="135"/>
      <c r="F45" s="76"/>
      <c r="G45" s="76"/>
      <c r="H45" s="46"/>
      <c r="I45" s="47"/>
      <c r="J45" s="78"/>
      <c r="K45" s="78"/>
      <c r="L45" s="82"/>
      <c r="M45" s="168"/>
      <c r="N45" s="168"/>
      <c r="O45" s="168"/>
      <c r="P45" s="145"/>
      <c r="Q45" s="145"/>
      <c r="R45" s="145"/>
      <c r="S45" s="145"/>
      <c r="T45" s="184"/>
    </row>
    <row r="46" spans="1:20" ht="69.95" customHeight="1" thickBot="1" x14ac:dyDescent="0.3">
      <c r="A46" s="262"/>
      <c r="B46" s="352"/>
      <c r="C46" s="134"/>
      <c r="D46" s="56"/>
      <c r="E46" s="135"/>
      <c r="F46" s="76"/>
      <c r="G46" s="76"/>
      <c r="H46" s="46"/>
      <c r="I46" s="47"/>
      <c r="J46" s="78"/>
      <c r="K46" s="78"/>
      <c r="L46" s="82"/>
      <c r="M46" s="168"/>
      <c r="N46" s="168"/>
      <c r="O46" s="168"/>
      <c r="P46" s="145"/>
      <c r="Q46" s="145"/>
      <c r="R46" s="145"/>
      <c r="S46" s="145"/>
      <c r="T46" s="184"/>
    </row>
    <row r="47" spans="1:20" ht="69.95" customHeight="1" thickBot="1" x14ac:dyDescent="0.3">
      <c r="A47" s="262"/>
      <c r="B47" s="352"/>
      <c r="C47" s="134"/>
      <c r="D47" s="56"/>
      <c r="E47" s="135"/>
      <c r="F47" s="76"/>
      <c r="G47" s="76"/>
      <c r="H47" s="46"/>
      <c r="I47" s="47"/>
      <c r="J47" s="78"/>
      <c r="K47" s="78"/>
      <c r="L47" s="82"/>
      <c r="M47" s="168"/>
      <c r="N47" s="168"/>
      <c r="O47" s="168"/>
      <c r="P47" s="145"/>
      <c r="Q47" s="145"/>
      <c r="R47" s="145"/>
      <c r="S47" s="145"/>
      <c r="T47" s="184"/>
    </row>
    <row r="48" spans="1:20" ht="69.95" customHeight="1" thickBot="1" x14ac:dyDescent="0.3">
      <c r="A48" s="262"/>
      <c r="B48" s="352"/>
      <c r="C48" s="134"/>
      <c r="D48" s="56"/>
      <c r="E48" s="135"/>
      <c r="F48" s="76"/>
      <c r="G48" s="76"/>
      <c r="H48" s="46"/>
      <c r="I48" s="47"/>
      <c r="J48" s="78"/>
      <c r="K48" s="78"/>
      <c r="L48" s="82"/>
      <c r="M48" s="168"/>
      <c r="N48" s="168"/>
      <c r="O48" s="168"/>
      <c r="P48" s="145"/>
      <c r="Q48" s="145"/>
      <c r="R48" s="145"/>
      <c r="S48" s="145"/>
      <c r="T48" s="184"/>
    </row>
    <row r="49" spans="1:20" ht="69.95" customHeight="1" thickBot="1" x14ac:dyDescent="0.3">
      <c r="A49" s="262"/>
      <c r="B49" s="352"/>
      <c r="C49" s="134"/>
      <c r="D49" s="56"/>
      <c r="E49" s="135"/>
      <c r="F49" s="76"/>
      <c r="G49" s="76"/>
      <c r="H49" s="46"/>
      <c r="I49" s="47"/>
      <c r="J49" s="78"/>
      <c r="K49" s="78"/>
      <c r="L49" s="82"/>
      <c r="M49" s="168"/>
      <c r="N49" s="168"/>
      <c r="O49" s="168"/>
      <c r="P49" s="145"/>
      <c r="Q49" s="145"/>
      <c r="R49" s="145"/>
      <c r="S49" s="145"/>
      <c r="T49" s="184"/>
    </row>
    <row r="50" spans="1:20" ht="69.95" customHeight="1" thickBot="1" x14ac:dyDescent="0.3">
      <c r="A50" s="262"/>
      <c r="B50" s="352"/>
      <c r="C50" s="134"/>
      <c r="D50" s="56"/>
      <c r="E50" s="135"/>
      <c r="F50" s="76"/>
      <c r="G50" s="76"/>
      <c r="H50" s="46"/>
      <c r="I50" s="47"/>
      <c r="J50" s="78"/>
      <c r="K50" s="78"/>
      <c r="L50" s="82"/>
      <c r="M50" s="168"/>
      <c r="N50" s="168"/>
      <c r="O50" s="168"/>
      <c r="P50" s="145"/>
      <c r="Q50" s="145"/>
      <c r="R50" s="145"/>
      <c r="S50" s="145"/>
      <c r="T50" s="184"/>
    </row>
    <row r="51" spans="1:20" ht="69.95" customHeight="1" thickBot="1" x14ac:dyDescent="0.3">
      <c r="A51" s="262"/>
      <c r="B51" s="352"/>
      <c r="C51" s="134"/>
      <c r="D51" s="56"/>
      <c r="E51" s="135"/>
      <c r="F51" s="76"/>
      <c r="G51" s="76"/>
      <c r="H51" s="46"/>
      <c r="I51" s="47"/>
      <c r="J51" s="78"/>
      <c r="K51" s="78"/>
      <c r="L51" s="82"/>
      <c r="M51" s="168"/>
      <c r="N51" s="168"/>
      <c r="O51" s="168"/>
      <c r="P51" s="145"/>
      <c r="Q51" s="145"/>
      <c r="R51" s="145"/>
      <c r="S51" s="145"/>
      <c r="T51" s="184"/>
    </row>
    <row r="52" spans="1:20" ht="69.95" customHeight="1" thickBot="1" x14ac:dyDescent="0.3">
      <c r="A52" s="262"/>
      <c r="B52" s="352"/>
      <c r="C52" s="134"/>
      <c r="D52" s="56"/>
      <c r="E52" s="135"/>
      <c r="F52" s="76"/>
      <c r="G52" s="76"/>
      <c r="H52" s="46"/>
      <c r="I52" s="47"/>
      <c r="J52" s="78"/>
      <c r="K52" s="78"/>
      <c r="L52" s="82"/>
      <c r="M52" s="168"/>
      <c r="N52" s="168"/>
      <c r="O52" s="168"/>
      <c r="P52" s="145"/>
      <c r="Q52" s="145"/>
      <c r="R52" s="145"/>
      <c r="S52" s="145"/>
      <c r="T52" s="184"/>
    </row>
    <row r="53" spans="1:20" ht="69.95" customHeight="1" thickBot="1" x14ac:dyDescent="0.3">
      <c r="A53" s="262"/>
      <c r="B53" s="352"/>
      <c r="C53" s="134"/>
      <c r="D53" s="56"/>
      <c r="E53" s="135"/>
      <c r="F53" s="76"/>
      <c r="G53" s="76"/>
      <c r="H53" s="46"/>
      <c r="I53" s="47"/>
      <c r="J53" s="78"/>
      <c r="K53" s="78"/>
      <c r="L53" s="82"/>
      <c r="M53" s="168"/>
      <c r="N53" s="168"/>
      <c r="O53" s="168"/>
      <c r="P53" s="145"/>
      <c r="Q53" s="145"/>
      <c r="R53" s="145"/>
      <c r="S53" s="145"/>
      <c r="T53" s="184"/>
    </row>
    <row r="54" spans="1:20" ht="69.95" customHeight="1" thickBot="1" x14ac:dyDescent="0.3">
      <c r="A54" s="262"/>
      <c r="B54" s="352"/>
      <c r="C54" s="134"/>
      <c r="D54" s="56"/>
      <c r="E54" s="135"/>
      <c r="F54" s="76"/>
      <c r="G54" s="76"/>
      <c r="H54" s="46"/>
      <c r="I54" s="47"/>
      <c r="J54" s="78"/>
      <c r="K54" s="78"/>
      <c r="L54" s="82"/>
      <c r="M54" s="168"/>
      <c r="N54" s="168"/>
      <c r="O54" s="168"/>
      <c r="P54" s="145"/>
      <c r="Q54" s="145"/>
      <c r="R54" s="145"/>
      <c r="S54" s="145"/>
      <c r="T54" s="184"/>
    </row>
    <row r="55" spans="1:20" ht="69.95" customHeight="1" thickBot="1" x14ac:dyDescent="0.3">
      <c r="A55" s="262"/>
      <c r="B55" s="352"/>
      <c r="C55" s="134"/>
      <c r="D55" s="56"/>
      <c r="E55" s="135"/>
      <c r="F55" s="76"/>
      <c r="G55" s="76"/>
      <c r="H55" s="46"/>
      <c r="I55" s="47"/>
      <c r="J55" s="78"/>
      <c r="K55" s="78"/>
      <c r="L55" s="82"/>
      <c r="M55" s="168"/>
      <c r="N55" s="168"/>
      <c r="O55" s="168"/>
      <c r="P55" s="145"/>
      <c r="Q55" s="145"/>
      <c r="R55" s="145"/>
      <c r="S55" s="145"/>
      <c r="T55" s="184"/>
    </row>
    <row r="56" spans="1:20" ht="69.95" customHeight="1" thickBot="1" x14ac:dyDescent="0.3">
      <c r="A56" s="262"/>
      <c r="B56" s="352"/>
      <c r="C56" s="134"/>
      <c r="D56" s="56"/>
      <c r="E56" s="135"/>
      <c r="F56" s="76"/>
      <c r="G56" s="76"/>
      <c r="H56" s="46"/>
      <c r="I56" s="47"/>
      <c r="J56" s="78"/>
      <c r="K56" s="78"/>
      <c r="L56" s="82"/>
      <c r="M56" s="168"/>
      <c r="N56" s="168"/>
      <c r="O56" s="168"/>
      <c r="P56" s="145"/>
      <c r="Q56" s="145"/>
      <c r="R56" s="145"/>
      <c r="S56" s="145"/>
      <c r="T56" s="184"/>
    </row>
    <row r="57" spans="1:20" ht="69.95" customHeight="1" thickBot="1" x14ac:dyDescent="0.3">
      <c r="A57" s="262"/>
      <c r="B57" s="352"/>
      <c r="C57" s="134"/>
      <c r="D57" s="56"/>
      <c r="E57" s="135"/>
      <c r="F57" s="76"/>
      <c r="G57" s="76"/>
      <c r="H57" s="46"/>
      <c r="I57" s="47"/>
      <c r="J57" s="78"/>
      <c r="K57" s="78"/>
      <c r="L57" s="82"/>
      <c r="M57" s="168"/>
      <c r="N57" s="168"/>
      <c r="O57" s="168"/>
      <c r="P57" s="145"/>
      <c r="Q57" s="145"/>
      <c r="R57" s="145"/>
      <c r="S57" s="145"/>
      <c r="T57" s="184"/>
    </row>
    <row r="58" spans="1:20" ht="69.95" customHeight="1" thickBot="1" x14ac:dyDescent="0.3">
      <c r="A58" s="262"/>
      <c r="B58" s="352"/>
      <c r="C58" s="134"/>
      <c r="D58" s="56"/>
      <c r="E58" s="135"/>
      <c r="F58" s="76"/>
      <c r="G58" s="76"/>
      <c r="H58" s="46"/>
      <c r="I58" s="47"/>
      <c r="J58" s="78"/>
      <c r="K58" s="78"/>
      <c r="L58" s="82"/>
      <c r="M58" s="168"/>
      <c r="N58" s="168"/>
      <c r="O58" s="168"/>
      <c r="P58" s="145"/>
      <c r="Q58" s="145"/>
      <c r="R58" s="145"/>
      <c r="S58" s="145"/>
      <c r="T58" s="184"/>
    </row>
    <row r="59" spans="1:20" ht="69.95" customHeight="1" thickBot="1" x14ac:dyDescent="0.3">
      <c r="A59" s="262"/>
      <c r="B59" s="352"/>
      <c r="C59" s="134"/>
      <c r="D59" s="56"/>
      <c r="E59" s="135"/>
      <c r="F59" s="76"/>
      <c r="G59" s="76"/>
      <c r="H59" s="46"/>
      <c r="I59" s="47"/>
      <c r="J59" s="78"/>
      <c r="K59" s="78"/>
      <c r="L59" s="82"/>
      <c r="M59" s="168"/>
      <c r="N59" s="168"/>
      <c r="O59" s="168"/>
      <c r="P59" s="145"/>
      <c r="Q59" s="145"/>
      <c r="R59" s="145"/>
      <c r="S59" s="145"/>
      <c r="T59" s="184"/>
    </row>
    <row r="60" spans="1:20" ht="69.95" customHeight="1" thickBot="1" x14ac:dyDescent="0.3">
      <c r="A60" s="262"/>
      <c r="B60" s="352"/>
      <c r="C60" s="134"/>
      <c r="D60" s="56"/>
      <c r="E60" s="135"/>
      <c r="F60" s="76"/>
      <c r="G60" s="76"/>
      <c r="H60" s="46"/>
      <c r="I60" s="47"/>
      <c r="J60" s="78"/>
      <c r="K60" s="78"/>
      <c r="L60" s="82"/>
      <c r="M60" s="168"/>
      <c r="N60" s="168"/>
      <c r="O60" s="168"/>
      <c r="P60" s="145"/>
      <c r="Q60" s="145"/>
      <c r="R60" s="145"/>
      <c r="S60" s="145"/>
      <c r="T60" s="184"/>
    </row>
    <row r="61" spans="1:20" ht="69.95" customHeight="1" thickBot="1" x14ac:dyDescent="0.3">
      <c r="A61" s="262"/>
      <c r="B61" s="352"/>
      <c r="C61" s="134"/>
      <c r="D61" s="56"/>
      <c r="E61" s="135"/>
      <c r="F61" s="76"/>
      <c r="G61" s="76"/>
      <c r="H61" s="46"/>
      <c r="I61" s="47"/>
      <c r="J61" s="78"/>
      <c r="K61" s="78"/>
      <c r="L61" s="82"/>
      <c r="M61" s="168"/>
      <c r="N61" s="168"/>
      <c r="O61" s="168"/>
      <c r="P61" s="145"/>
      <c r="Q61" s="145"/>
      <c r="R61" s="145"/>
      <c r="S61" s="145"/>
      <c r="T61" s="184"/>
    </row>
    <row r="62" spans="1:20" ht="69.95" customHeight="1" thickBot="1" x14ac:dyDescent="0.3">
      <c r="A62" s="262"/>
      <c r="B62" s="352"/>
      <c r="C62" s="134"/>
      <c r="D62" s="56"/>
      <c r="E62" s="135"/>
      <c r="F62" s="76"/>
      <c r="G62" s="76"/>
      <c r="H62" s="46"/>
      <c r="I62" s="47"/>
      <c r="J62" s="78"/>
      <c r="K62" s="78"/>
      <c r="L62" s="82"/>
      <c r="M62" s="168"/>
      <c r="N62" s="168"/>
      <c r="O62" s="168"/>
      <c r="P62" s="145"/>
      <c r="Q62" s="145"/>
      <c r="R62" s="145"/>
      <c r="S62" s="145"/>
      <c r="T62" s="184"/>
    </row>
    <row r="63" spans="1:20" ht="69.95" customHeight="1" thickBot="1" x14ac:dyDescent="0.3">
      <c r="A63" s="262"/>
      <c r="B63" s="352"/>
      <c r="C63" s="134"/>
      <c r="D63" s="56"/>
      <c r="E63" s="135"/>
      <c r="F63" s="76"/>
      <c r="G63" s="76"/>
      <c r="H63" s="46"/>
      <c r="I63" s="47"/>
      <c r="J63" s="78"/>
      <c r="K63" s="78"/>
      <c r="L63" s="82"/>
      <c r="M63" s="168"/>
      <c r="N63" s="168"/>
      <c r="O63" s="168"/>
      <c r="P63" s="145"/>
      <c r="Q63" s="145"/>
      <c r="R63" s="145"/>
      <c r="S63" s="145"/>
      <c r="T63" s="184"/>
    </row>
    <row r="64" spans="1:20" ht="69.95" customHeight="1" thickBot="1" x14ac:dyDescent="0.3">
      <c r="A64" s="262"/>
      <c r="B64" s="352"/>
      <c r="C64" s="134"/>
      <c r="D64" s="56"/>
      <c r="E64" s="135"/>
      <c r="F64" s="76"/>
      <c r="G64" s="76"/>
      <c r="H64" s="46"/>
      <c r="I64" s="47"/>
      <c r="J64" s="78"/>
      <c r="K64" s="78"/>
      <c r="L64" s="82"/>
      <c r="M64" s="168"/>
      <c r="N64" s="168"/>
      <c r="O64" s="168"/>
      <c r="P64" s="145"/>
      <c r="Q64" s="145"/>
      <c r="R64" s="145"/>
      <c r="S64" s="145"/>
      <c r="T64" s="184"/>
    </row>
    <row r="65" spans="1:20" ht="69.95" customHeight="1" thickBot="1" x14ac:dyDescent="0.3">
      <c r="A65" s="262"/>
      <c r="B65" s="352"/>
      <c r="C65" s="134"/>
      <c r="D65" s="56"/>
      <c r="E65" s="135"/>
      <c r="F65" s="76"/>
      <c r="G65" s="76"/>
      <c r="H65" s="46"/>
      <c r="I65" s="47"/>
      <c r="J65" s="78"/>
      <c r="K65" s="78"/>
      <c r="L65" s="82"/>
      <c r="M65" s="168"/>
      <c r="N65" s="168"/>
      <c r="O65" s="168"/>
      <c r="P65" s="145"/>
      <c r="Q65" s="145"/>
      <c r="R65" s="145"/>
      <c r="S65" s="145"/>
      <c r="T65" s="184"/>
    </row>
    <row r="66" spans="1:20" ht="69.95" customHeight="1" thickBot="1" x14ac:dyDescent="0.3">
      <c r="A66" s="262"/>
      <c r="B66" s="352"/>
      <c r="C66" s="134"/>
      <c r="D66" s="56"/>
      <c r="E66" s="135"/>
      <c r="F66" s="76"/>
      <c r="G66" s="76"/>
      <c r="H66" s="46"/>
      <c r="I66" s="47"/>
      <c r="J66" s="78"/>
      <c r="K66" s="78"/>
      <c r="L66" s="82"/>
      <c r="M66" s="168"/>
      <c r="N66" s="168"/>
      <c r="O66" s="168"/>
      <c r="P66" s="145"/>
      <c r="Q66" s="145"/>
      <c r="R66" s="145"/>
      <c r="S66" s="145"/>
      <c r="T66" s="184"/>
    </row>
    <row r="67" spans="1:20" ht="69.95" customHeight="1" thickBot="1" x14ac:dyDescent="0.3">
      <c r="A67" s="262"/>
      <c r="B67" s="352"/>
      <c r="C67" s="134"/>
      <c r="D67" s="56"/>
      <c r="E67" s="135"/>
      <c r="F67" s="76"/>
      <c r="G67" s="76"/>
      <c r="H67" s="46"/>
      <c r="I67" s="47"/>
      <c r="J67" s="78"/>
      <c r="K67" s="78"/>
      <c r="L67" s="82"/>
      <c r="M67" s="168"/>
      <c r="N67" s="168"/>
      <c r="O67" s="168"/>
      <c r="P67" s="145"/>
      <c r="Q67" s="145"/>
      <c r="R67" s="145"/>
      <c r="S67" s="145"/>
      <c r="T67" s="184"/>
    </row>
    <row r="68" spans="1:20" ht="69.95" customHeight="1" thickBot="1" x14ac:dyDescent="0.3">
      <c r="A68" s="262"/>
      <c r="B68" s="352"/>
      <c r="C68" s="134"/>
      <c r="D68" s="56"/>
      <c r="E68" s="135"/>
      <c r="F68" s="76"/>
      <c r="G68" s="76"/>
      <c r="H68" s="46"/>
      <c r="I68" s="47"/>
      <c r="J68" s="78"/>
      <c r="K68" s="78"/>
      <c r="L68" s="82"/>
      <c r="M68" s="168"/>
      <c r="N68" s="168"/>
      <c r="O68" s="168"/>
      <c r="P68" s="145"/>
      <c r="Q68" s="145"/>
      <c r="R68" s="145"/>
      <c r="S68" s="145"/>
      <c r="T68" s="184"/>
    </row>
    <row r="69" spans="1:20" ht="69.95" customHeight="1" thickBot="1" x14ac:dyDescent="0.3">
      <c r="A69" s="262"/>
      <c r="B69" s="352"/>
      <c r="C69" s="134"/>
      <c r="D69" s="56"/>
      <c r="E69" s="135"/>
      <c r="F69" s="76"/>
      <c r="G69" s="76"/>
      <c r="H69" s="46"/>
      <c r="I69" s="47"/>
      <c r="J69" s="78"/>
      <c r="K69" s="78"/>
      <c r="L69" s="82"/>
      <c r="M69" s="168"/>
      <c r="N69" s="168"/>
      <c r="O69" s="168"/>
      <c r="P69" s="145"/>
      <c r="Q69" s="145"/>
      <c r="R69" s="145"/>
      <c r="S69" s="145"/>
      <c r="T69" s="184"/>
    </row>
    <row r="70" spans="1:20" ht="69.95" customHeight="1" thickBot="1" x14ac:dyDescent="0.3">
      <c r="A70" s="262"/>
      <c r="B70" s="352"/>
      <c r="C70" s="134"/>
      <c r="D70" s="56"/>
      <c r="E70" s="135"/>
      <c r="F70" s="76"/>
      <c r="G70" s="76"/>
      <c r="H70" s="46"/>
      <c r="I70" s="47"/>
      <c r="J70" s="78"/>
      <c r="K70" s="78"/>
      <c r="L70" s="82"/>
      <c r="M70" s="168"/>
      <c r="N70" s="168"/>
      <c r="O70" s="168"/>
      <c r="P70" s="145"/>
      <c r="Q70" s="145"/>
      <c r="R70" s="145"/>
      <c r="S70" s="145"/>
      <c r="T70" s="184"/>
    </row>
    <row r="71" spans="1:20" ht="69.95" customHeight="1" thickBot="1" x14ac:dyDescent="0.3">
      <c r="A71" s="262"/>
      <c r="B71" s="352"/>
      <c r="C71" s="134"/>
      <c r="D71" s="56"/>
      <c r="E71" s="135"/>
      <c r="F71" s="76"/>
      <c r="G71" s="76"/>
      <c r="H71" s="46"/>
      <c r="I71" s="47"/>
      <c r="J71" s="78"/>
      <c r="K71" s="78"/>
      <c r="L71" s="82"/>
      <c r="M71" s="168"/>
      <c r="N71" s="168"/>
      <c r="O71" s="168"/>
      <c r="P71" s="145"/>
      <c r="Q71" s="145"/>
      <c r="R71" s="145"/>
      <c r="S71" s="145"/>
      <c r="T71" s="184"/>
    </row>
    <row r="72" spans="1:20" ht="69.95" customHeight="1" thickBot="1" x14ac:dyDescent="0.3">
      <c r="A72" s="262"/>
      <c r="B72" s="352"/>
      <c r="C72" s="134"/>
      <c r="D72" s="56"/>
      <c r="E72" s="135"/>
      <c r="F72" s="76"/>
      <c r="G72" s="76"/>
      <c r="H72" s="46"/>
      <c r="I72" s="47"/>
      <c r="J72" s="78"/>
      <c r="K72" s="78"/>
      <c r="L72" s="82"/>
      <c r="M72" s="168"/>
      <c r="N72" s="168"/>
      <c r="O72" s="168"/>
      <c r="P72" s="145"/>
      <c r="Q72" s="145"/>
      <c r="R72" s="145"/>
      <c r="S72" s="145"/>
      <c r="T72" s="184"/>
    </row>
    <row r="73" spans="1:20" ht="69.95" customHeight="1" thickBot="1" x14ac:dyDescent="0.3">
      <c r="A73" s="262"/>
      <c r="B73" s="352"/>
      <c r="C73" s="134"/>
      <c r="D73" s="56"/>
      <c r="E73" s="135"/>
      <c r="F73" s="76"/>
      <c r="G73" s="76"/>
      <c r="H73" s="46"/>
      <c r="I73" s="47"/>
      <c r="J73" s="78"/>
      <c r="K73" s="78"/>
      <c r="L73" s="82"/>
      <c r="M73" s="168"/>
      <c r="N73" s="168"/>
      <c r="O73" s="168"/>
      <c r="P73" s="145"/>
      <c r="Q73" s="145"/>
      <c r="R73" s="145"/>
      <c r="S73" s="145"/>
      <c r="T73" s="184"/>
    </row>
    <row r="74" spans="1:20" ht="69.95" customHeight="1" thickBot="1" x14ac:dyDescent="0.3">
      <c r="A74" s="262"/>
      <c r="B74" s="352"/>
      <c r="C74" s="134"/>
      <c r="D74" s="56"/>
      <c r="E74" s="135"/>
      <c r="F74" s="76"/>
      <c r="G74" s="76"/>
      <c r="H74" s="46"/>
      <c r="I74" s="47"/>
      <c r="J74" s="78"/>
      <c r="K74" s="78"/>
      <c r="L74" s="82"/>
      <c r="M74" s="168"/>
      <c r="N74" s="168"/>
      <c r="O74" s="168"/>
      <c r="P74" s="145"/>
      <c r="Q74" s="145"/>
      <c r="R74" s="145"/>
      <c r="S74" s="145"/>
      <c r="T74" s="184"/>
    </row>
    <row r="75" spans="1:20" ht="69.95" customHeight="1" thickBot="1" x14ac:dyDescent="0.3">
      <c r="A75" s="262"/>
      <c r="B75" s="352"/>
      <c r="C75" s="134"/>
      <c r="D75" s="56"/>
      <c r="E75" s="135"/>
      <c r="F75" s="76"/>
      <c r="G75" s="76"/>
      <c r="H75" s="46"/>
      <c r="I75" s="47"/>
      <c r="J75" s="78"/>
      <c r="K75" s="78"/>
      <c r="L75" s="82"/>
      <c r="M75" s="168"/>
      <c r="N75" s="168"/>
      <c r="O75" s="168"/>
      <c r="P75" s="145"/>
      <c r="Q75" s="145"/>
      <c r="R75" s="145"/>
      <c r="S75" s="145"/>
      <c r="T75" s="184"/>
    </row>
    <row r="76" spans="1:20" ht="69.95" customHeight="1" thickBot="1" x14ac:dyDescent="0.3">
      <c r="A76" s="262"/>
      <c r="B76" s="352"/>
      <c r="C76" s="134"/>
      <c r="D76" s="56"/>
      <c r="E76" s="135"/>
      <c r="F76" s="76"/>
      <c r="G76" s="76"/>
      <c r="H76" s="46"/>
      <c r="I76" s="47"/>
      <c r="J76" s="78"/>
      <c r="K76" s="78"/>
      <c r="L76" s="82"/>
      <c r="M76" s="168"/>
      <c r="N76" s="168"/>
      <c r="O76" s="168"/>
      <c r="P76" s="145"/>
      <c r="Q76" s="145"/>
      <c r="R76" s="145"/>
      <c r="S76" s="145"/>
      <c r="T76" s="184"/>
    </row>
    <row r="77" spans="1:20" ht="69.95" customHeight="1" thickBot="1" x14ac:dyDescent="0.3">
      <c r="A77" s="262"/>
      <c r="B77" s="352"/>
      <c r="C77" s="134"/>
      <c r="D77" s="56"/>
      <c r="E77" s="135"/>
      <c r="F77" s="76"/>
      <c r="G77" s="76"/>
      <c r="H77" s="46"/>
      <c r="I77" s="47"/>
      <c r="J77" s="78"/>
      <c r="K77" s="78"/>
      <c r="L77" s="82"/>
      <c r="M77" s="168"/>
      <c r="N77" s="168"/>
      <c r="O77" s="168"/>
      <c r="P77" s="145"/>
      <c r="Q77" s="145"/>
      <c r="R77" s="145"/>
      <c r="S77" s="145"/>
      <c r="T77" s="184"/>
    </row>
    <row r="78" spans="1:20" ht="69.95" customHeight="1" thickBot="1" x14ac:dyDescent="0.3">
      <c r="A78" s="262"/>
      <c r="B78" s="352"/>
      <c r="C78" s="134"/>
      <c r="D78" s="56"/>
      <c r="E78" s="135"/>
      <c r="F78" s="76"/>
      <c r="G78" s="76"/>
      <c r="H78" s="46"/>
      <c r="I78" s="47"/>
      <c r="J78" s="78"/>
      <c r="K78" s="78"/>
      <c r="L78" s="82"/>
      <c r="M78" s="168"/>
      <c r="N78" s="168"/>
      <c r="O78" s="168"/>
      <c r="P78" s="145"/>
      <c r="Q78" s="145"/>
      <c r="R78" s="145"/>
      <c r="S78" s="145"/>
      <c r="T78" s="184"/>
    </row>
    <row r="79" spans="1:20" ht="69.95" customHeight="1" thickBot="1" x14ac:dyDescent="0.3">
      <c r="A79" s="262"/>
      <c r="B79" s="352"/>
      <c r="C79" s="134"/>
      <c r="D79" s="56"/>
      <c r="E79" s="135"/>
      <c r="F79" s="76"/>
      <c r="G79" s="76"/>
      <c r="H79" s="46"/>
      <c r="I79" s="47"/>
      <c r="J79" s="78"/>
      <c r="K79" s="78"/>
      <c r="L79" s="82"/>
      <c r="M79" s="168"/>
      <c r="N79" s="168"/>
      <c r="O79" s="168"/>
      <c r="P79" s="145"/>
      <c r="Q79" s="145"/>
      <c r="R79" s="145"/>
      <c r="S79" s="145"/>
      <c r="T79" s="184"/>
    </row>
    <row r="80" spans="1:20" ht="69.95" customHeight="1" thickBot="1" x14ac:dyDescent="0.3">
      <c r="A80" s="262"/>
      <c r="B80" s="352"/>
      <c r="C80" s="134"/>
      <c r="D80" s="56"/>
      <c r="E80" s="135"/>
      <c r="F80" s="76"/>
      <c r="G80" s="76"/>
      <c r="H80" s="46"/>
      <c r="I80" s="47"/>
      <c r="J80" s="78"/>
      <c r="K80" s="78"/>
      <c r="L80" s="82"/>
      <c r="M80" s="168"/>
      <c r="N80" s="168"/>
      <c r="O80" s="168"/>
      <c r="P80" s="145"/>
      <c r="Q80" s="145"/>
      <c r="R80" s="145"/>
      <c r="S80" s="145"/>
      <c r="T80" s="184"/>
    </row>
    <row r="81" spans="1:20" ht="69.95" customHeight="1" thickBot="1" x14ac:dyDescent="0.3">
      <c r="A81" s="262"/>
      <c r="B81" s="352"/>
      <c r="C81" s="134"/>
      <c r="D81" s="56"/>
      <c r="E81" s="135"/>
      <c r="F81" s="76"/>
      <c r="G81" s="76"/>
      <c r="H81" s="46"/>
      <c r="I81" s="47"/>
      <c r="J81" s="78"/>
      <c r="K81" s="78"/>
      <c r="L81" s="82"/>
      <c r="M81" s="168"/>
      <c r="N81" s="168"/>
      <c r="O81" s="168"/>
      <c r="P81" s="145"/>
      <c r="Q81" s="145"/>
      <c r="R81" s="145"/>
      <c r="S81" s="145"/>
      <c r="T81" s="184"/>
    </row>
    <row r="82" spans="1:20" ht="69.95" customHeight="1" thickBot="1" x14ac:dyDescent="0.3">
      <c r="A82" s="262"/>
      <c r="B82" s="352"/>
      <c r="C82" s="134"/>
      <c r="D82" s="56"/>
      <c r="E82" s="135"/>
      <c r="F82" s="76"/>
      <c r="G82" s="76"/>
      <c r="H82" s="46"/>
      <c r="I82" s="47"/>
      <c r="J82" s="78"/>
      <c r="K82" s="78"/>
      <c r="L82" s="82"/>
      <c r="M82" s="168"/>
      <c r="N82" s="168"/>
      <c r="O82" s="168"/>
      <c r="P82" s="145"/>
      <c r="Q82" s="145"/>
      <c r="R82" s="145"/>
      <c r="S82" s="145"/>
      <c r="T82" s="184"/>
    </row>
    <row r="83" spans="1:20" ht="69.95" customHeight="1" thickBot="1" x14ac:dyDescent="0.3">
      <c r="A83" s="262"/>
      <c r="B83" s="352"/>
      <c r="C83" s="134"/>
      <c r="D83" s="56"/>
      <c r="E83" s="135"/>
      <c r="F83" s="76"/>
      <c r="G83" s="76"/>
      <c r="H83" s="46"/>
      <c r="I83" s="47"/>
      <c r="J83" s="78"/>
      <c r="K83" s="78"/>
      <c r="L83" s="82"/>
      <c r="M83" s="168"/>
      <c r="N83" s="168"/>
      <c r="O83" s="168"/>
      <c r="P83" s="145"/>
      <c r="Q83" s="145"/>
      <c r="R83" s="145"/>
      <c r="S83" s="145"/>
      <c r="T83" s="184"/>
    </row>
    <row r="84" spans="1:20" ht="69.95" customHeight="1" thickBot="1" x14ac:dyDescent="0.3">
      <c r="A84" s="262"/>
      <c r="B84" s="352"/>
      <c r="C84" s="134"/>
      <c r="D84" s="56"/>
      <c r="E84" s="135"/>
      <c r="F84" s="76"/>
      <c r="G84" s="76"/>
      <c r="H84" s="46"/>
      <c r="I84" s="47"/>
      <c r="J84" s="78"/>
      <c r="K84" s="78"/>
      <c r="L84" s="82"/>
      <c r="M84" s="168"/>
      <c r="N84" s="168"/>
      <c r="O84" s="168"/>
      <c r="P84" s="145"/>
      <c r="Q84" s="145"/>
      <c r="R84" s="145"/>
      <c r="S84" s="145"/>
      <c r="T84" s="184"/>
    </row>
    <row r="85" spans="1:20" ht="69.95" customHeight="1" thickBot="1" x14ac:dyDescent="0.3">
      <c r="A85" s="262"/>
      <c r="B85" s="352"/>
      <c r="C85" s="134"/>
      <c r="D85" s="56"/>
      <c r="E85" s="135"/>
      <c r="F85" s="76"/>
      <c r="G85" s="76"/>
      <c r="H85" s="46"/>
      <c r="I85" s="47"/>
      <c r="J85" s="78"/>
      <c r="K85" s="78"/>
      <c r="L85" s="82"/>
      <c r="M85" s="168"/>
      <c r="N85" s="168"/>
      <c r="O85" s="168"/>
      <c r="P85" s="145"/>
      <c r="Q85" s="145"/>
      <c r="R85" s="145"/>
      <c r="S85" s="145"/>
      <c r="T85" s="184"/>
    </row>
    <row r="86" spans="1:20" ht="69.95" customHeight="1" thickBot="1" x14ac:dyDescent="0.3">
      <c r="A86" s="262"/>
      <c r="B86" s="352"/>
      <c r="C86" s="134"/>
      <c r="D86" s="56"/>
      <c r="E86" s="135"/>
      <c r="F86" s="76"/>
      <c r="G86" s="76"/>
      <c r="H86" s="46"/>
      <c r="I86" s="47"/>
      <c r="J86" s="78"/>
      <c r="K86" s="78"/>
      <c r="L86" s="82"/>
      <c r="M86" s="168"/>
      <c r="N86" s="168"/>
      <c r="O86" s="168"/>
      <c r="P86" s="145"/>
      <c r="Q86" s="145"/>
      <c r="R86" s="145"/>
      <c r="S86" s="145"/>
      <c r="T86" s="184"/>
    </row>
    <row r="87" spans="1:20" ht="69.95" customHeight="1" thickBot="1" x14ac:dyDescent="0.3">
      <c r="A87" s="262"/>
      <c r="B87" s="352"/>
      <c r="C87" s="134"/>
      <c r="D87" s="56"/>
      <c r="E87" s="135"/>
      <c r="F87" s="76"/>
      <c r="G87" s="76"/>
      <c r="H87" s="46"/>
      <c r="I87" s="47"/>
      <c r="J87" s="78"/>
      <c r="K87" s="78"/>
      <c r="L87" s="82"/>
      <c r="M87" s="168"/>
      <c r="N87" s="168"/>
      <c r="O87" s="168"/>
      <c r="P87" s="145"/>
      <c r="Q87" s="145"/>
      <c r="R87" s="145"/>
      <c r="S87" s="145"/>
      <c r="T87" s="184"/>
    </row>
    <row r="88" spans="1:20" ht="69.95" customHeight="1" thickBot="1" x14ac:dyDescent="0.3">
      <c r="A88" s="262"/>
      <c r="B88" s="352"/>
      <c r="C88" s="134"/>
      <c r="D88" s="56"/>
      <c r="E88" s="135"/>
      <c r="F88" s="76"/>
      <c r="G88" s="76"/>
      <c r="H88" s="46"/>
      <c r="I88" s="47"/>
      <c r="J88" s="78"/>
      <c r="K88" s="78"/>
      <c r="L88" s="82"/>
      <c r="M88" s="168"/>
      <c r="N88" s="168"/>
      <c r="O88" s="168"/>
      <c r="P88" s="145"/>
      <c r="Q88" s="145"/>
      <c r="R88" s="145"/>
      <c r="S88" s="145"/>
      <c r="T88" s="184"/>
    </row>
    <row r="89" spans="1:20" ht="69.95" customHeight="1" thickBot="1" x14ac:dyDescent="0.3">
      <c r="A89" s="262"/>
      <c r="B89" s="352"/>
      <c r="C89" s="134"/>
      <c r="D89" s="56"/>
      <c r="E89" s="135"/>
      <c r="F89" s="76"/>
      <c r="G89" s="76"/>
      <c r="H89" s="46"/>
      <c r="I89" s="47"/>
      <c r="J89" s="78"/>
      <c r="K89" s="78"/>
      <c r="L89" s="82"/>
      <c r="M89" s="168"/>
      <c r="N89" s="168"/>
      <c r="O89" s="168"/>
      <c r="P89" s="145"/>
      <c r="Q89" s="145"/>
      <c r="R89" s="145"/>
      <c r="S89" s="145"/>
      <c r="T89" s="184"/>
    </row>
    <row r="90" spans="1:20" ht="69.95" customHeight="1" thickBot="1" x14ac:dyDescent="0.3">
      <c r="A90" s="262"/>
      <c r="B90" s="352"/>
      <c r="C90" s="134"/>
      <c r="D90" s="56"/>
      <c r="E90" s="135"/>
      <c r="F90" s="76"/>
      <c r="G90" s="76"/>
      <c r="H90" s="46"/>
      <c r="I90" s="47"/>
      <c r="J90" s="78"/>
      <c r="K90" s="78"/>
      <c r="L90" s="82"/>
      <c r="M90" s="168"/>
      <c r="N90" s="168"/>
      <c r="O90" s="168"/>
      <c r="P90" s="145"/>
      <c r="Q90" s="145"/>
      <c r="R90" s="145"/>
      <c r="S90" s="145"/>
      <c r="T90" s="184"/>
    </row>
    <row r="91" spans="1:20" ht="69.95" customHeight="1" thickBot="1" x14ac:dyDescent="0.3">
      <c r="A91" s="262"/>
      <c r="B91" s="352"/>
      <c r="C91" s="134"/>
      <c r="D91" s="56"/>
      <c r="E91" s="135"/>
      <c r="F91" s="76"/>
      <c r="G91" s="76"/>
      <c r="H91" s="46"/>
      <c r="I91" s="47"/>
      <c r="J91" s="78"/>
      <c r="K91" s="78"/>
      <c r="L91" s="82"/>
      <c r="M91" s="168"/>
      <c r="N91" s="168"/>
      <c r="O91" s="168"/>
      <c r="P91" s="145"/>
      <c r="Q91" s="145"/>
      <c r="R91" s="145"/>
      <c r="S91" s="145"/>
      <c r="T91" s="184"/>
    </row>
    <row r="92" spans="1:20" ht="69.95" customHeight="1" thickBot="1" x14ac:dyDescent="0.3">
      <c r="A92" s="262"/>
      <c r="B92" s="352"/>
      <c r="C92" s="134"/>
      <c r="D92" s="56"/>
      <c r="E92" s="135"/>
      <c r="F92" s="76"/>
      <c r="G92" s="76"/>
      <c r="H92" s="46"/>
      <c r="I92" s="47"/>
      <c r="J92" s="78"/>
      <c r="K92" s="78"/>
      <c r="L92" s="82"/>
      <c r="M92" s="168"/>
      <c r="N92" s="168"/>
      <c r="O92" s="168"/>
      <c r="P92" s="145"/>
      <c r="Q92" s="145"/>
      <c r="R92" s="145"/>
      <c r="S92" s="145"/>
      <c r="T92" s="184"/>
    </row>
    <row r="93" spans="1:20" ht="69.95" customHeight="1" thickBot="1" x14ac:dyDescent="0.3">
      <c r="A93" s="262"/>
      <c r="B93" s="352"/>
      <c r="C93" s="134"/>
      <c r="D93" s="56"/>
      <c r="E93" s="135"/>
      <c r="F93" s="76"/>
      <c r="G93" s="76"/>
      <c r="H93" s="46"/>
      <c r="I93" s="47"/>
      <c r="J93" s="78"/>
      <c r="K93" s="78"/>
      <c r="L93" s="82"/>
      <c r="M93" s="168"/>
      <c r="N93" s="168"/>
      <c r="O93" s="168"/>
      <c r="P93" s="145"/>
      <c r="Q93" s="145"/>
      <c r="R93" s="145"/>
      <c r="S93" s="145"/>
      <c r="T93" s="184"/>
    </row>
    <row r="94" spans="1:20" ht="69.95" customHeight="1" thickBot="1" x14ac:dyDescent="0.3">
      <c r="A94" s="262"/>
      <c r="B94" s="352"/>
      <c r="C94" s="134"/>
      <c r="D94" s="56"/>
      <c r="E94" s="135"/>
      <c r="F94" s="76"/>
      <c r="G94" s="76"/>
      <c r="H94" s="46"/>
      <c r="I94" s="47"/>
      <c r="J94" s="78"/>
      <c r="K94" s="78"/>
      <c r="L94" s="82"/>
      <c r="M94" s="168"/>
      <c r="N94" s="168"/>
      <c r="O94" s="168"/>
      <c r="P94" s="145"/>
      <c r="Q94" s="145"/>
      <c r="R94" s="145"/>
      <c r="S94" s="145"/>
      <c r="T94" s="184"/>
    </row>
    <row r="95" spans="1:20" ht="69.95" customHeight="1" thickBot="1" x14ac:dyDescent="0.3">
      <c r="A95" s="262"/>
      <c r="B95" s="352"/>
      <c r="C95" s="134"/>
      <c r="D95" s="56"/>
      <c r="E95" s="135"/>
      <c r="F95" s="76"/>
      <c r="G95" s="76"/>
      <c r="H95" s="46"/>
      <c r="I95" s="47"/>
      <c r="J95" s="78"/>
      <c r="K95" s="78"/>
      <c r="L95" s="82"/>
      <c r="M95" s="168"/>
      <c r="N95" s="168"/>
      <c r="O95" s="168"/>
      <c r="P95" s="145"/>
      <c r="Q95" s="145"/>
      <c r="R95" s="145"/>
      <c r="S95" s="145"/>
      <c r="T95" s="184"/>
    </row>
    <row r="96" spans="1:20" ht="69.95" customHeight="1" thickBot="1" x14ac:dyDescent="0.3">
      <c r="A96" s="262"/>
      <c r="B96" s="352"/>
      <c r="C96" s="134"/>
      <c r="D96" s="56"/>
      <c r="E96" s="135"/>
      <c r="F96" s="76"/>
      <c r="G96" s="76"/>
      <c r="H96" s="46"/>
      <c r="I96" s="47"/>
      <c r="J96" s="78"/>
      <c r="K96" s="78"/>
      <c r="L96" s="82"/>
      <c r="M96" s="168"/>
      <c r="N96" s="168"/>
      <c r="O96" s="168"/>
      <c r="P96" s="145"/>
      <c r="Q96" s="145"/>
      <c r="R96" s="145"/>
      <c r="S96" s="145"/>
      <c r="T96" s="184"/>
    </row>
    <row r="97" spans="2:16143" customFormat="1" x14ac:dyDescent="0.25">
      <c r="P97" s="44"/>
      <c r="Q97" s="44"/>
      <c r="R97" s="44"/>
      <c r="S97" s="44"/>
      <c r="T97" s="44"/>
      <c r="U97" s="44"/>
      <c r="V97" s="44"/>
      <c r="W97" s="44"/>
      <c r="X97" s="44"/>
      <c r="Y97" s="44"/>
      <c r="Z97" s="44"/>
      <c r="AA97" s="44"/>
      <c r="AB97" s="44"/>
      <c r="AC97" s="44"/>
      <c r="AD97" s="44"/>
      <c r="AE97" s="44"/>
      <c r="AF97" s="44"/>
      <c r="AG97" s="44"/>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4"/>
      <c r="BH97" s="44"/>
      <c r="BI97" s="44"/>
      <c r="BJ97" s="44"/>
      <c r="BK97" s="44"/>
      <c r="BL97" s="44"/>
      <c r="BM97" s="44"/>
      <c r="BN97" s="44"/>
      <c r="BO97" s="44"/>
      <c r="BP97" s="44"/>
      <c r="BQ97" s="44"/>
      <c r="BR97" s="44"/>
      <c r="BS97" s="44"/>
      <c r="BT97" s="44"/>
      <c r="BU97" s="44"/>
      <c r="BV97" s="44"/>
      <c r="BW97" s="44"/>
      <c r="BX97" s="44"/>
      <c r="BY97" s="44"/>
      <c r="BZ97" s="44"/>
      <c r="CA97" s="44"/>
      <c r="CB97" s="44"/>
      <c r="CC97" s="44"/>
      <c r="CD97" s="44"/>
      <c r="CE97" s="44"/>
      <c r="CF97" s="44"/>
      <c r="CG97" s="44"/>
      <c r="CH97" s="44"/>
      <c r="CI97" s="44"/>
      <c r="CJ97" s="44"/>
      <c r="CK97" s="44"/>
      <c r="CL97" s="44"/>
      <c r="CM97" s="44"/>
      <c r="CN97" s="44"/>
      <c r="CO97" s="44"/>
      <c r="CP97" s="44"/>
      <c r="CQ97" s="44"/>
      <c r="CR97" s="44"/>
      <c r="CS97" s="44"/>
      <c r="CT97" s="44"/>
      <c r="CU97" s="44"/>
      <c r="CV97" s="44"/>
      <c r="CW97" s="44"/>
      <c r="CX97" s="44"/>
      <c r="CY97" s="44"/>
      <c r="CZ97" s="44"/>
      <c r="DA97" s="44"/>
      <c r="DB97" s="44"/>
      <c r="DC97" s="44"/>
      <c r="DD97" s="44"/>
      <c r="DE97" s="44"/>
      <c r="DF97" s="44"/>
      <c r="DG97" s="44"/>
      <c r="DH97" s="44"/>
      <c r="DI97" s="44"/>
      <c r="DJ97" s="44"/>
      <c r="DK97" s="44"/>
      <c r="DL97" s="44"/>
      <c r="DM97" s="44"/>
      <c r="DN97" s="44"/>
      <c r="DO97" s="44"/>
      <c r="DP97" s="44"/>
      <c r="DQ97" s="44"/>
      <c r="DR97" s="44"/>
      <c r="DS97" s="44"/>
      <c r="DT97" s="44"/>
      <c r="DU97" s="44"/>
      <c r="DV97" s="44"/>
      <c r="DW97" s="44"/>
      <c r="DX97" s="44"/>
      <c r="DY97" s="44"/>
      <c r="DZ97" s="44"/>
      <c r="EA97" s="44"/>
      <c r="EB97" s="44"/>
      <c r="EC97" s="44"/>
      <c r="ED97" s="44"/>
      <c r="EE97" s="44"/>
      <c r="EF97" s="44"/>
      <c r="EG97" s="44"/>
      <c r="EH97" s="44"/>
      <c r="EI97" s="44"/>
      <c r="EJ97" s="44"/>
      <c r="EK97" s="44"/>
      <c r="EL97" s="44"/>
      <c r="EM97" s="44"/>
      <c r="EN97" s="44"/>
      <c r="EO97" s="44"/>
      <c r="EP97" s="44"/>
      <c r="EQ97" s="44"/>
      <c r="ER97" s="44"/>
      <c r="ES97" s="44"/>
      <c r="ET97" s="44"/>
      <c r="EU97" s="44"/>
      <c r="EV97" s="44"/>
      <c r="EW97" s="44"/>
      <c r="EX97" s="44"/>
      <c r="EY97" s="44"/>
      <c r="EZ97" s="44"/>
      <c r="FA97" s="44"/>
      <c r="FB97" s="44"/>
      <c r="FC97" s="44"/>
      <c r="FD97" s="44"/>
      <c r="FE97" s="44"/>
      <c r="FF97" s="44"/>
      <c r="FG97" s="44"/>
      <c r="FH97" s="44"/>
      <c r="FI97" s="44"/>
      <c r="FJ97" s="44"/>
      <c r="FK97" s="44"/>
      <c r="FL97" s="44"/>
      <c r="FM97" s="44"/>
      <c r="FN97" s="44"/>
      <c r="FO97" s="44"/>
      <c r="FP97" s="44"/>
      <c r="FQ97" s="44"/>
      <c r="FR97" s="44"/>
      <c r="FS97" s="44"/>
      <c r="FT97" s="44"/>
      <c r="FU97" s="44"/>
      <c r="FV97" s="44"/>
      <c r="FW97" s="44"/>
      <c r="FX97" s="44"/>
      <c r="FY97" s="44"/>
      <c r="FZ97" s="44"/>
      <c r="GA97" s="44"/>
      <c r="GB97" s="44"/>
      <c r="GC97" s="44"/>
      <c r="GD97" s="44"/>
      <c r="GE97" s="44"/>
      <c r="GF97" s="44"/>
      <c r="GG97" s="44"/>
      <c r="GH97" s="44"/>
      <c r="GI97" s="44"/>
      <c r="GJ97" s="44"/>
      <c r="GK97" s="44"/>
      <c r="GL97" s="44"/>
      <c r="GM97" s="44"/>
      <c r="GN97" s="44"/>
      <c r="GO97" s="44"/>
      <c r="GP97" s="44"/>
      <c r="GQ97" s="44"/>
      <c r="GR97" s="44"/>
      <c r="GS97" s="44"/>
      <c r="GT97" s="44"/>
      <c r="GU97" s="44"/>
      <c r="GV97" s="44"/>
      <c r="GW97" s="44"/>
      <c r="GX97" s="44"/>
      <c r="GY97" s="44"/>
      <c r="GZ97" s="44"/>
      <c r="HA97" s="44"/>
      <c r="HB97" s="44"/>
      <c r="HC97" s="44"/>
      <c r="HD97" s="44"/>
      <c r="HE97" s="44"/>
      <c r="HF97" s="44"/>
      <c r="HG97" s="44"/>
      <c r="HH97" s="44"/>
      <c r="HI97" s="44"/>
      <c r="HJ97" s="44"/>
      <c r="HK97" s="44"/>
      <c r="HL97" s="44"/>
      <c r="HM97" s="44"/>
      <c r="HN97" s="44"/>
      <c r="HO97" s="44"/>
      <c r="HP97" s="44"/>
      <c r="HQ97" s="44"/>
      <c r="HR97" s="44"/>
      <c r="HS97" s="44"/>
      <c r="HT97" s="44"/>
      <c r="HU97" s="44"/>
      <c r="HV97" s="44"/>
      <c r="HW97" s="44"/>
      <c r="HX97" s="44"/>
      <c r="HY97" s="44"/>
      <c r="HZ97" s="44"/>
      <c r="IA97" s="44"/>
      <c r="IB97" s="44"/>
      <c r="IC97" s="44"/>
      <c r="ID97" s="44"/>
      <c r="IE97" s="44"/>
      <c r="IF97" s="44"/>
      <c r="IG97" s="44"/>
      <c r="IH97" s="44"/>
      <c r="II97" s="44"/>
      <c r="IJ97" s="44"/>
      <c r="IK97" s="44"/>
      <c r="IL97" s="44"/>
      <c r="IM97" s="44"/>
      <c r="IN97" s="44"/>
      <c r="IO97" s="44"/>
      <c r="IP97" s="44"/>
      <c r="IQ97" s="44"/>
      <c r="IR97" s="44"/>
      <c r="IS97" s="44"/>
      <c r="IT97" s="44"/>
      <c r="IU97" s="44"/>
      <c r="IV97" s="44"/>
      <c r="IW97" s="44"/>
      <c r="IX97" s="44"/>
      <c r="IY97" s="44"/>
      <c r="IZ97" s="44"/>
      <c r="JA97" s="44"/>
      <c r="JB97" s="44"/>
      <c r="JC97" s="44"/>
      <c r="JD97" s="44"/>
      <c r="JE97" s="44"/>
      <c r="JF97" s="44"/>
      <c r="JG97" s="44"/>
      <c r="JH97" s="44"/>
      <c r="JI97" s="44"/>
      <c r="JJ97" s="44"/>
      <c r="JK97" s="44"/>
      <c r="JL97" s="44"/>
      <c r="JM97" s="44"/>
      <c r="JN97" s="44"/>
      <c r="JO97" s="44"/>
      <c r="JP97" s="44"/>
      <c r="JQ97" s="44"/>
      <c r="JR97" s="44"/>
      <c r="JS97" s="44"/>
      <c r="JT97" s="44"/>
      <c r="JU97" s="44"/>
      <c r="JV97" s="44"/>
      <c r="JW97" s="44"/>
      <c r="JX97" s="44"/>
      <c r="JY97" s="44"/>
      <c r="JZ97" s="44"/>
      <c r="KA97" s="44"/>
      <c r="KB97" s="44"/>
      <c r="KC97" s="44"/>
      <c r="KD97" s="44"/>
      <c r="KE97" s="44"/>
      <c r="KF97" s="44"/>
      <c r="KG97" s="44"/>
      <c r="KH97" s="44"/>
      <c r="KI97" s="44"/>
      <c r="KJ97" s="44"/>
      <c r="KK97" s="44"/>
      <c r="KL97" s="44"/>
      <c r="KM97" s="44"/>
      <c r="KN97" s="44"/>
      <c r="KO97" s="44"/>
      <c r="KP97" s="44"/>
      <c r="KQ97" s="44"/>
      <c r="KR97" s="44"/>
      <c r="KS97" s="44"/>
      <c r="KT97" s="44"/>
      <c r="KU97" s="44"/>
      <c r="KV97" s="44"/>
      <c r="KW97" s="44"/>
      <c r="KX97" s="44"/>
      <c r="KY97" s="44"/>
      <c r="KZ97" s="44"/>
      <c r="LA97" s="44"/>
      <c r="LB97" s="44"/>
      <c r="LC97" s="44"/>
      <c r="LD97" s="44"/>
      <c r="LE97" s="44"/>
      <c r="LF97" s="44"/>
      <c r="LG97" s="44"/>
      <c r="LH97" s="44"/>
      <c r="LI97" s="44"/>
      <c r="LJ97" s="44"/>
      <c r="LK97" s="44"/>
      <c r="LL97" s="44"/>
      <c r="LM97" s="44"/>
      <c r="LN97" s="44"/>
      <c r="LO97" s="44"/>
      <c r="LP97" s="44"/>
      <c r="LQ97" s="44"/>
      <c r="LR97" s="44"/>
      <c r="LS97" s="44"/>
      <c r="LT97" s="44"/>
      <c r="LU97" s="44"/>
      <c r="LV97" s="44"/>
      <c r="LW97" s="44"/>
      <c r="LX97" s="44"/>
      <c r="LY97" s="44"/>
      <c r="LZ97" s="44"/>
      <c r="MA97" s="44"/>
      <c r="MB97" s="44"/>
      <c r="MC97" s="44"/>
      <c r="MD97" s="44"/>
      <c r="ME97" s="44"/>
      <c r="MF97" s="44"/>
      <c r="MG97" s="44"/>
      <c r="MH97" s="44"/>
      <c r="MI97" s="44"/>
      <c r="MJ97" s="44"/>
      <c r="MK97" s="44"/>
      <c r="ML97" s="44"/>
      <c r="MM97" s="44"/>
      <c r="MN97" s="44"/>
      <c r="MO97" s="44"/>
      <c r="MP97" s="44"/>
      <c r="MQ97" s="44"/>
      <c r="MR97" s="44"/>
      <c r="MS97" s="44"/>
      <c r="MT97" s="44"/>
      <c r="MU97" s="44"/>
      <c r="MV97" s="44"/>
      <c r="MW97" s="44"/>
      <c r="MX97" s="44"/>
      <c r="MY97" s="44"/>
      <c r="MZ97" s="44"/>
      <c r="NA97" s="44"/>
      <c r="NB97" s="44"/>
      <c r="NC97" s="44"/>
      <c r="ND97" s="44"/>
      <c r="NE97" s="44"/>
      <c r="NF97" s="44"/>
      <c r="NG97" s="44"/>
      <c r="NH97" s="44"/>
      <c r="NI97" s="44"/>
      <c r="NJ97" s="44"/>
      <c r="NK97" s="44"/>
      <c r="NL97" s="44"/>
      <c r="NM97" s="44"/>
      <c r="NN97" s="44"/>
      <c r="NO97" s="44"/>
      <c r="NP97" s="44"/>
      <c r="NQ97" s="44"/>
      <c r="NR97" s="44"/>
      <c r="NS97" s="44"/>
      <c r="NT97" s="44"/>
      <c r="NU97" s="44"/>
      <c r="NV97" s="44"/>
      <c r="NW97" s="44"/>
      <c r="NX97" s="44"/>
      <c r="NY97" s="44"/>
      <c r="NZ97" s="44"/>
      <c r="OA97" s="44"/>
      <c r="OB97" s="44"/>
      <c r="OC97" s="44"/>
      <c r="OD97" s="44"/>
      <c r="OE97" s="44"/>
      <c r="OF97" s="44"/>
      <c r="OG97" s="44"/>
      <c r="OH97" s="44"/>
      <c r="OI97" s="44"/>
      <c r="OJ97" s="44"/>
      <c r="OK97" s="44"/>
      <c r="OL97" s="44"/>
      <c r="OM97" s="44"/>
      <c r="ON97" s="44"/>
      <c r="OO97" s="44"/>
      <c r="OP97" s="44"/>
      <c r="OQ97" s="44"/>
      <c r="OR97" s="44"/>
      <c r="OS97" s="44"/>
      <c r="OT97" s="44"/>
      <c r="OU97" s="44"/>
      <c r="OV97" s="44"/>
      <c r="OW97" s="44"/>
      <c r="OX97" s="44"/>
      <c r="OY97" s="44"/>
      <c r="OZ97" s="44"/>
      <c r="PA97" s="44"/>
      <c r="PB97" s="44"/>
      <c r="PC97" s="44"/>
      <c r="PD97" s="44"/>
      <c r="PE97" s="44"/>
      <c r="PF97" s="44"/>
      <c r="PG97" s="44"/>
      <c r="PH97" s="44"/>
      <c r="PI97" s="44"/>
      <c r="PJ97" s="44"/>
      <c r="PK97" s="44"/>
      <c r="PL97" s="44"/>
      <c r="PM97" s="44"/>
      <c r="PN97" s="44"/>
      <c r="PO97" s="44"/>
      <c r="PP97" s="44"/>
      <c r="PQ97" s="44"/>
      <c r="PR97" s="44"/>
      <c r="PS97" s="44"/>
      <c r="PT97" s="44"/>
      <c r="PU97" s="44"/>
      <c r="PV97" s="44"/>
      <c r="PW97" s="44"/>
      <c r="PX97" s="44"/>
      <c r="PY97" s="44"/>
      <c r="PZ97" s="44"/>
      <c r="QA97" s="44"/>
      <c r="QB97" s="44"/>
      <c r="QC97" s="44"/>
      <c r="QD97" s="44"/>
      <c r="QE97" s="44"/>
      <c r="QF97" s="44"/>
      <c r="QG97" s="44"/>
      <c r="QH97" s="44"/>
      <c r="QI97" s="44"/>
      <c r="QJ97" s="44"/>
      <c r="QK97" s="44"/>
      <c r="QL97" s="44"/>
      <c r="QM97" s="44"/>
      <c r="QN97" s="44"/>
      <c r="QO97" s="44"/>
      <c r="QP97" s="44"/>
      <c r="QQ97" s="44"/>
      <c r="QR97" s="44"/>
      <c r="QS97" s="44"/>
      <c r="QT97" s="44"/>
      <c r="QU97" s="44"/>
      <c r="QV97" s="44"/>
      <c r="QW97" s="44"/>
      <c r="QX97" s="44"/>
      <c r="QY97" s="44"/>
      <c r="QZ97" s="44"/>
      <c r="RA97" s="44"/>
      <c r="RB97" s="44"/>
      <c r="RC97" s="44"/>
      <c r="RD97" s="44"/>
      <c r="RE97" s="44"/>
      <c r="RF97" s="44"/>
      <c r="RG97" s="44"/>
      <c r="RH97" s="44"/>
      <c r="RI97" s="44"/>
      <c r="RJ97" s="44"/>
      <c r="RK97" s="44"/>
      <c r="RL97" s="44"/>
      <c r="RM97" s="44"/>
      <c r="RN97" s="44"/>
      <c r="RO97" s="44"/>
      <c r="RP97" s="44"/>
      <c r="RQ97" s="44"/>
      <c r="RR97" s="44"/>
      <c r="RS97" s="44"/>
      <c r="RT97" s="44"/>
      <c r="RU97" s="44"/>
      <c r="RV97" s="44"/>
      <c r="RW97" s="44"/>
      <c r="RX97" s="44"/>
      <c r="RY97" s="44"/>
      <c r="RZ97" s="44"/>
      <c r="SA97" s="44"/>
      <c r="SB97" s="44"/>
      <c r="SC97" s="44"/>
      <c r="SD97" s="44"/>
      <c r="SE97" s="44"/>
      <c r="SF97" s="44"/>
      <c r="SG97" s="44"/>
      <c r="SH97" s="44"/>
      <c r="SI97" s="44"/>
      <c r="SJ97" s="44"/>
      <c r="SK97" s="44"/>
      <c r="SL97" s="44"/>
      <c r="SM97" s="44"/>
      <c r="SN97" s="44"/>
      <c r="SO97" s="44"/>
      <c r="SP97" s="44"/>
      <c r="SQ97" s="44"/>
      <c r="SR97" s="44"/>
      <c r="SS97" s="44"/>
      <c r="ST97" s="44"/>
      <c r="SU97" s="44"/>
      <c r="SV97" s="44"/>
      <c r="SW97" s="44"/>
      <c r="SX97" s="44"/>
      <c r="SY97" s="44"/>
      <c r="SZ97" s="44"/>
      <c r="TA97" s="44"/>
      <c r="TB97" s="44"/>
      <c r="TC97" s="44"/>
      <c r="TD97" s="44"/>
      <c r="TE97" s="44"/>
      <c r="TF97" s="44"/>
      <c r="TG97" s="44"/>
      <c r="TH97" s="44"/>
      <c r="TI97" s="44"/>
      <c r="TJ97" s="44"/>
      <c r="TK97" s="44"/>
      <c r="TL97" s="44"/>
      <c r="TM97" s="44"/>
      <c r="TN97" s="44"/>
      <c r="TO97" s="44"/>
      <c r="TP97" s="44"/>
      <c r="TQ97" s="44"/>
      <c r="TR97" s="44"/>
      <c r="TS97" s="44"/>
      <c r="TT97" s="44"/>
      <c r="TU97" s="44"/>
      <c r="TV97" s="44"/>
      <c r="TW97" s="44"/>
      <c r="TX97" s="44"/>
      <c r="TY97" s="44"/>
      <c r="TZ97" s="44"/>
      <c r="UA97" s="44"/>
      <c r="UB97" s="44"/>
      <c r="UC97" s="44"/>
      <c r="UD97" s="44"/>
      <c r="UE97" s="44"/>
      <c r="UF97" s="44"/>
      <c r="UG97" s="44"/>
      <c r="UH97" s="44"/>
      <c r="UI97" s="44"/>
      <c r="UJ97" s="44"/>
      <c r="UK97" s="44"/>
      <c r="UL97" s="44"/>
      <c r="UM97" s="44"/>
      <c r="UN97" s="44"/>
      <c r="UO97" s="44"/>
      <c r="UP97" s="44"/>
      <c r="UQ97" s="44"/>
      <c r="UR97" s="44"/>
      <c r="US97" s="44"/>
      <c r="UT97" s="44"/>
      <c r="UU97" s="44"/>
      <c r="UV97" s="44"/>
      <c r="UW97" s="44"/>
      <c r="UX97" s="44"/>
      <c r="UY97" s="44"/>
      <c r="UZ97" s="44"/>
      <c r="VA97" s="44"/>
      <c r="VB97" s="44"/>
      <c r="VC97" s="44"/>
      <c r="VD97" s="44"/>
      <c r="VE97" s="44"/>
      <c r="VF97" s="44"/>
      <c r="VG97" s="44"/>
      <c r="VH97" s="44"/>
      <c r="VI97" s="44"/>
      <c r="VJ97" s="44"/>
      <c r="VK97" s="44"/>
      <c r="VL97" s="44"/>
      <c r="VM97" s="44"/>
      <c r="VN97" s="44"/>
      <c r="VO97" s="44"/>
      <c r="VP97" s="44"/>
      <c r="VQ97" s="44"/>
      <c r="VR97" s="44"/>
      <c r="VS97" s="44"/>
      <c r="VT97" s="44"/>
      <c r="VU97" s="44"/>
      <c r="VV97" s="44"/>
      <c r="VW97" s="44"/>
      <c r="VX97" s="44"/>
      <c r="VY97" s="44"/>
      <c r="VZ97" s="44"/>
      <c r="WA97" s="44"/>
      <c r="WB97" s="44"/>
      <c r="WC97" s="44"/>
      <c r="WD97" s="44"/>
      <c r="WE97" s="44"/>
      <c r="WF97" s="44"/>
      <c r="WG97" s="44"/>
      <c r="WH97" s="44"/>
      <c r="WI97" s="44"/>
      <c r="WJ97" s="44"/>
      <c r="WK97" s="44"/>
      <c r="WL97" s="44"/>
      <c r="WM97" s="44"/>
      <c r="WN97" s="44"/>
      <c r="WO97" s="44"/>
      <c r="WP97" s="44"/>
      <c r="WQ97" s="44"/>
      <c r="WR97" s="44"/>
      <c r="WS97" s="44"/>
      <c r="WT97" s="44"/>
      <c r="WU97" s="44"/>
      <c r="WV97" s="44"/>
      <c r="WW97" s="44"/>
      <c r="WX97" s="44"/>
      <c r="WY97" s="44"/>
      <c r="WZ97" s="44"/>
      <c r="XA97" s="44"/>
      <c r="XB97" s="44"/>
      <c r="XC97" s="44"/>
      <c r="XD97" s="44"/>
      <c r="XE97" s="44"/>
      <c r="XF97" s="44"/>
      <c r="XG97" s="44"/>
      <c r="XH97" s="44"/>
      <c r="XI97" s="44"/>
      <c r="XJ97" s="44"/>
      <c r="XK97" s="44"/>
      <c r="XL97" s="44"/>
      <c r="XM97" s="44"/>
      <c r="XN97" s="44"/>
      <c r="XO97" s="44"/>
      <c r="XP97" s="44"/>
      <c r="XQ97" s="44"/>
      <c r="XR97" s="44"/>
      <c r="XS97" s="44"/>
      <c r="XT97" s="44"/>
      <c r="XU97" s="44"/>
      <c r="XV97" s="44"/>
      <c r="XW97" s="44"/>
      <c r="XX97" s="44"/>
      <c r="XY97" s="44"/>
      <c r="XZ97" s="44"/>
      <c r="YA97" s="44"/>
      <c r="YB97" s="44"/>
      <c r="YC97" s="44"/>
      <c r="YD97" s="44"/>
      <c r="YE97" s="44"/>
      <c r="YF97" s="44"/>
      <c r="YG97" s="44"/>
      <c r="YH97" s="44"/>
      <c r="YI97" s="44"/>
      <c r="YJ97" s="44"/>
      <c r="YK97" s="44"/>
      <c r="YL97" s="44"/>
      <c r="YM97" s="44"/>
      <c r="YN97" s="44"/>
      <c r="YO97" s="44"/>
      <c r="YP97" s="44"/>
      <c r="YQ97" s="44"/>
      <c r="YR97" s="44"/>
      <c r="YS97" s="44"/>
      <c r="YT97" s="44"/>
      <c r="YU97" s="44"/>
      <c r="YV97" s="44"/>
      <c r="YW97" s="44"/>
      <c r="YX97" s="44"/>
      <c r="YY97" s="44"/>
      <c r="YZ97" s="44"/>
      <c r="ZA97" s="44"/>
      <c r="ZB97" s="44"/>
      <c r="ZC97" s="44"/>
      <c r="ZD97" s="44"/>
      <c r="ZE97" s="44"/>
      <c r="ZF97" s="44"/>
      <c r="ZG97" s="44"/>
      <c r="ZH97" s="44"/>
      <c r="ZI97" s="44"/>
      <c r="ZJ97" s="44"/>
      <c r="ZK97" s="44"/>
      <c r="ZL97" s="44"/>
      <c r="ZM97" s="44"/>
      <c r="ZN97" s="44"/>
      <c r="ZO97" s="44"/>
      <c r="ZP97" s="44"/>
      <c r="ZQ97" s="44"/>
      <c r="ZR97" s="44"/>
      <c r="ZS97" s="44"/>
      <c r="ZT97" s="44"/>
      <c r="ZU97" s="44"/>
      <c r="ZV97" s="44"/>
      <c r="ZW97" s="44"/>
      <c r="ZX97" s="44"/>
      <c r="ZY97" s="44"/>
      <c r="ZZ97" s="44"/>
      <c r="AAA97" s="44"/>
      <c r="AAB97" s="44"/>
      <c r="AAC97" s="44"/>
      <c r="AAD97" s="44"/>
      <c r="AAE97" s="44"/>
      <c r="AAF97" s="44"/>
      <c r="AAG97" s="44"/>
      <c r="AAH97" s="44"/>
      <c r="AAI97" s="44"/>
      <c r="AAJ97" s="44"/>
      <c r="AAK97" s="44"/>
      <c r="AAL97" s="44"/>
      <c r="AAM97" s="44"/>
      <c r="AAN97" s="44"/>
      <c r="AAO97" s="44"/>
      <c r="AAP97" s="44"/>
      <c r="AAQ97" s="44"/>
      <c r="AAR97" s="44"/>
      <c r="AAS97" s="44"/>
      <c r="AAT97" s="44"/>
      <c r="AAU97" s="44"/>
      <c r="AAV97" s="44"/>
      <c r="AAW97" s="44"/>
      <c r="AAX97" s="44"/>
      <c r="AAY97" s="44"/>
      <c r="AAZ97" s="44"/>
      <c r="ABA97" s="44"/>
      <c r="ABB97" s="44"/>
      <c r="ABC97" s="44"/>
      <c r="ABD97" s="44"/>
      <c r="ABE97" s="44"/>
      <c r="ABF97" s="44"/>
      <c r="ABG97" s="44"/>
      <c r="ABH97" s="44"/>
      <c r="ABI97" s="44"/>
      <c r="ABJ97" s="44"/>
      <c r="ABK97" s="44"/>
      <c r="ABL97" s="44"/>
      <c r="ABM97" s="44"/>
      <c r="ABN97" s="44"/>
      <c r="ABO97" s="44"/>
      <c r="ABP97" s="44"/>
      <c r="ABQ97" s="44"/>
      <c r="ABR97" s="44"/>
      <c r="ABS97" s="44"/>
      <c r="ABT97" s="44"/>
      <c r="ABU97" s="44"/>
      <c r="ABV97" s="44"/>
      <c r="ABW97" s="44"/>
      <c r="ABX97" s="44"/>
      <c r="ABY97" s="44"/>
      <c r="ABZ97" s="44"/>
      <c r="ACA97" s="44"/>
      <c r="ACB97" s="44"/>
      <c r="ACC97" s="44"/>
      <c r="ACD97" s="44"/>
      <c r="ACE97" s="44"/>
      <c r="ACF97" s="44"/>
      <c r="ACG97" s="44"/>
      <c r="ACH97" s="44"/>
      <c r="ACI97" s="44"/>
      <c r="ACJ97" s="44"/>
      <c r="ACK97" s="44"/>
      <c r="ACL97" s="44"/>
      <c r="ACM97" s="44"/>
      <c r="ACN97" s="44"/>
      <c r="ACO97" s="44"/>
      <c r="ACP97" s="44"/>
      <c r="ACQ97" s="44"/>
      <c r="ACR97" s="44"/>
      <c r="ACS97" s="44"/>
      <c r="ACT97" s="44"/>
      <c r="ACU97" s="44"/>
      <c r="ACV97" s="44"/>
      <c r="ACW97" s="44"/>
      <c r="ACX97" s="44"/>
      <c r="ACY97" s="44"/>
      <c r="ACZ97" s="44"/>
      <c r="ADA97" s="44"/>
      <c r="ADB97" s="44"/>
      <c r="ADC97" s="44"/>
      <c r="ADD97" s="44"/>
      <c r="ADE97" s="44"/>
      <c r="ADF97" s="44"/>
      <c r="ADG97" s="44"/>
      <c r="ADH97" s="44"/>
      <c r="ADI97" s="44"/>
      <c r="ADJ97" s="44"/>
      <c r="ADK97" s="44"/>
      <c r="ADL97" s="44"/>
      <c r="ADM97" s="44"/>
      <c r="ADN97" s="44"/>
      <c r="ADO97" s="44"/>
      <c r="ADP97" s="44"/>
      <c r="ADQ97" s="44"/>
      <c r="ADR97" s="44"/>
      <c r="ADS97" s="44"/>
      <c r="ADT97" s="44"/>
      <c r="ADU97" s="44"/>
      <c r="ADV97" s="44"/>
      <c r="ADW97" s="44"/>
      <c r="ADX97" s="44"/>
      <c r="ADY97" s="44"/>
      <c r="ADZ97" s="44"/>
      <c r="AEA97" s="44"/>
      <c r="AEB97" s="44"/>
      <c r="AEC97" s="44"/>
      <c r="AED97" s="44"/>
      <c r="AEE97" s="44"/>
      <c r="AEF97" s="44"/>
      <c r="AEG97" s="44"/>
      <c r="AEH97" s="44"/>
      <c r="AEI97" s="44"/>
      <c r="AEJ97" s="44"/>
      <c r="AEK97" s="44"/>
      <c r="AEL97" s="44"/>
      <c r="AEM97" s="44"/>
      <c r="AEN97" s="44"/>
      <c r="AEO97" s="44"/>
      <c r="AEP97" s="44"/>
      <c r="AEQ97" s="44"/>
      <c r="AER97" s="44"/>
      <c r="AES97" s="44"/>
      <c r="AET97" s="44"/>
      <c r="AEU97" s="44"/>
      <c r="AEV97" s="44"/>
      <c r="AEW97" s="44"/>
      <c r="AEX97" s="44"/>
      <c r="AEY97" s="44"/>
      <c r="AEZ97" s="44"/>
      <c r="AFA97" s="44"/>
      <c r="AFB97" s="44"/>
      <c r="AFC97" s="44"/>
      <c r="AFD97" s="44"/>
      <c r="AFE97" s="44"/>
      <c r="AFF97" s="44"/>
      <c r="AFG97" s="44"/>
      <c r="AFH97" s="44"/>
      <c r="AFI97" s="44"/>
      <c r="AFJ97" s="44"/>
      <c r="AFK97" s="44"/>
      <c r="AFL97" s="44"/>
      <c r="AFM97" s="44"/>
      <c r="AFN97" s="44"/>
      <c r="AFO97" s="44"/>
      <c r="AFP97" s="44"/>
      <c r="AFQ97" s="44"/>
      <c r="AFR97" s="44"/>
      <c r="AFS97" s="44"/>
      <c r="AFT97" s="44"/>
      <c r="AFU97" s="44"/>
      <c r="AFV97" s="44"/>
      <c r="AFW97" s="44"/>
      <c r="AFX97" s="44"/>
      <c r="AFY97" s="44"/>
      <c r="AFZ97" s="44"/>
      <c r="AGA97" s="44"/>
      <c r="AGB97" s="44"/>
      <c r="AGC97" s="44"/>
      <c r="AGD97" s="44"/>
      <c r="AGE97" s="44"/>
      <c r="AGF97" s="44"/>
      <c r="AGG97" s="44"/>
      <c r="AGH97" s="44"/>
      <c r="AGI97" s="44"/>
      <c r="AGJ97" s="44"/>
      <c r="AGK97" s="44"/>
      <c r="AGL97" s="44"/>
      <c r="AGM97" s="44"/>
      <c r="AGN97" s="44"/>
      <c r="AGO97" s="44"/>
      <c r="AGP97" s="44"/>
      <c r="AGQ97" s="44"/>
      <c r="AGR97" s="44"/>
      <c r="AGS97" s="44"/>
      <c r="AGT97" s="44"/>
      <c r="AGU97" s="44"/>
      <c r="AGV97" s="44"/>
      <c r="AGW97" s="44"/>
      <c r="AGX97" s="44"/>
      <c r="AGY97" s="44"/>
      <c r="AGZ97" s="44"/>
      <c r="AHA97" s="44"/>
      <c r="AHB97" s="44"/>
      <c r="AHC97" s="44"/>
      <c r="AHD97" s="44"/>
      <c r="AHE97" s="44"/>
      <c r="AHF97" s="44"/>
      <c r="AHG97" s="44"/>
      <c r="AHH97" s="44"/>
      <c r="AHI97" s="44"/>
      <c r="AHJ97" s="44"/>
      <c r="AHK97" s="44"/>
      <c r="AHL97" s="44"/>
      <c r="AHM97" s="44"/>
      <c r="AHN97" s="44"/>
      <c r="AHO97" s="44"/>
      <c r="AHP97" s="44"/>
      <c r="AHQ97" s="44"/>
      <c r="AHR97" s="44"/>
      <c r="AHS97" s="44"/>
      <c r="AHT97" s="44"/>
      <c r="AHU97" s="44"/>
      <c r="AHV97" s="44"/>
      <c r="AHW97" s="44"/>
      <c r="AHX97" s="44"/>
      <c r="AHY97" s="44"/>
      <c r="AHZ97" s="44"/>
      <c r="AIA97" s="44"/>
      <c r="AIB97" s="44"/>
      <c r="AIC97" s="44"/>
      <c r="AID97" s="44"/>
      <c r="AIE97" s="44"/>
      <c r="AIF97" s="44"/>
      <c r="AIG97" s="44"/>
      <c r="AIH97" s="44"/>
      <c r="AII97" s="44"/>
      <c r="AIJ97" s="44"/>
      <c r="AIK97" s="44"/>
      <c r="AIL97" s="44"/>
      <c r="AIM97" s="44"/>
      <c r="AIN97" s="44"/>
      <c r="AIO97" s="44"/>
      <c r="AIP97" s="44"/>
      <c r="AIQ97" s="44"/>
      <c r="AIR97" s="44"/>
      <c r="AIS97" s="44"/>
      <c r="AIT97" s="44"/>
      <c r="AIU97" s="44"/>
      <c r="AIV97" s="44"/>
      <c r="AIW97" s="44"/>
      <c r="AIX97" s="44"/>
      <c r="AIY97" s="44"/>
      <c r="AIZ97" s="44"/>
      <c r="AJA97" s="44"/>
      <c r="AJB97" s="44"/>
      <c r="AJC97" s="44"/>
      <c r="AJD97" s="44"/>
      <c r="AJE97" s="44"/>
      <c r="AJF97" s="44"/>
      <c r="AJG97" s="44"/>
      <c r="AJH97" s="44"/>
      <c r="AJI97" s="44"/>
      <c r="AJJ97" s="44"/>
      <c r="AJK97" s="44"/>
      <c r="AJL97" s="44"/>
      <c r="AJM97" s="44"/>
      <c r="AJN97" s="44"/>
      <c r="AJO97" s="44"/>
      <c r="AJP97" s="44"/>
      <c r="AJQ97" s="44"/>
      <c r="AJR97" s="44"/>
      <c r="AJS97" s="44"/>
      <c r="AJT97" s="44"/>
      <c r="AJU97" s="44"/>
      <c r="AJV97" s="44"/>
      <c r="AJW97" s="44"/>
      <c r="AJX97" s="44"/>
      <c r="AJY97" s="44"/>
      <c r="AJZ97" s="44"/>
      <c r="AKA97" s="44"/>
      <c r="AKB97" s="44"/>
      <c r="AKC97" s="44"/>
      <c r="AKD97" s="44"/>
      <c r="AKE97" s="44"/>
      <c r="AKF97" s="44"/>
      <c r="AKG97" s="44"/>
      <c r="AKH97" s="44"/>
      <c r="AKI97" s="44"/>
      <c r="AKJ97" s="44"/>
      <c r="AKK97" s="44"/>
      <c r="AKL97" s="44"/>
      <c r="AKM97" s="44"/>
      <c r="AKN97" s="44"/>
      <c r="AKO97" s="44"/>
      <c r="AKP97" s="44"/>
      <c r="AKQ97" s="44"/>
      <c r="AKR97" s="44"/>
      <c r="AKS97" s="44"/>
      <c r="AKT97" s="44"/>
      <c r="AKU97" s="44"/>
      <c r="AKV97" s="44"/>
      <c r="AKW97" s="44"/>
      <c r="AKX97" s="44"/>
      <c r="AKY97" s="44"/>
      <c r="AKZ97" s="44"/>
      <c r="ALA97" s="44"/>
      <c r="ALB97" s="44"/>
      <c r="ALC97" s="44"/>
      <c r="ALD97" s="44"/>
      <c r="ALE97" s="44"/>
      <c r="ALF97" s="44"/>
      <c r="ALG97" s="44"/>
      <c r="ALH97" s="44"/>
      <c r="ALI97" s="44"/>
      <c r="ALJ97" s="44"/>
      <c r="ALK97" s="44"/>
      <c r="ALL97" s="44"/>
      <c r="ALM97" s="44"/>
      <c r="ALN97" s="44"/>
      <c r="ALO97" s="44"/>
      <c r="ALP97" s="44"/>
      <c r="ALQ97" s="44"/>
      <c r="ALR97" s="44"/>
      <c r="ALS97" s="44"/>
      <c r="ALT97" s="44"/>
      <c r="ALU97" s="44"/>
      <c r="ALV97" s="44"/>
      <c r="ALW97" s="44"/>
      <c r="ALX97" s="44"/>
      <c r="ALY97" s="44"/>
      <c r="ALZ97" s="44"/>
      <c r="AMA97" s="44"/>
      <c r="AMB97" s="44"/>
      <c r="AMC97" s="44"/>
      <c r="AMD97" s="44"/>
      <c r="AME97" s="44"/>
      <c r="AMF97" s="44"/>
      <c r="AMG97" s="44"/>
      <c r="AMH97" s="44"/>
      <c r="AMI97" s="44"/>
      <c r="AMJ97" s="44"/>
      <c r="AMK97" s="44"/>
      <c r="AML97" s="44"/>
      <c r="AMM97" s="44"/>
      <c r="AMN97" s="44"/>
      <c r="AMO97" s="44"/>
      <c r="AMP97" s="44"/>
      <c r="AMQ97" s="44"/>
      <c r="AMR97" s="44"/>
      <c r="AMS97" s="44"/>
      <c r="AMT97" s="44"/>
      <c r="AMU97" s="44"/>
      <c r="AMV97" s="44"/>
      <c r="AMW97" s="44"/>
      <c r="AMX97" s="44"/>
      <c r="AMY97" s="44"/>
      <c r="AMZ97" s="44"/>
      <c r="ANA97" s="44"/>
      <c r="ANB97" s="44"/>
      <c r="ANC97" s="44"/>
      <c r="AND97" s="44"/>
      <c r="ANE97" s="44"/>
      <c r="ANF97" s="44"/>
      <c r="ANG97" s="44"/>
      <c r="ANH97" s="44"/>
      <c r="ANI97" s="44"/>
      <c r="ANJ97" s="44"/>
      <c r="ANK97" s="44"/>
      <c r="ANL97" s="44"/>
      <c r="ANM97" s="44"/>
      <c r="ANN97" s="44"/>
      <c r="ANO97" s="44"/>
      <c r="ANP97" s="44"/>
      <c r="ANQ97" s="44"/>
      <c r="ANR97" s="44"/>
      <c r="ANS97" s="44"/>
      <c r="ANT97" s="44"/>
      <c r="ANU97" s="44"/>
      <c r="ANV97" s="44"/>
      <c r="ANW97" s="44"/>
      <c r="ANX97" s="44"/>
      <c r="ANY97" s="44"/>
      <c r="ANZ97" s="44"/>
      <c r="AOA97" s="44"/>
      <c r="AOB97" s="44"/>
      <c r="AOC97" s="44"/>
      <c r="AOD97" s="44"/>
      <c r="AOE97" s="44"/>
      <c r="AOF97" s="44"/>
      <c r="AOG97" s="44"/>
      <c r="AOH97" s="44"/>
      <c r="AOI97" s="44"/>
      <c r="AOJ97" s="44"/>
      <c r="AOK97" s="44"/>
      <c r="AOL97" s="44"/>
      <c r="AOM97" s="44"/>
      <c r="AON97" s="44"/>
      <c r="AOO97" s="44"/>
      <c r="AOP97" s="44"/>
      <c r="AOQ97" s="44"/>
      <c r="AOR97" s="44"/>
      <c r="AOS97" s="44"/>
      <c r="AOT97" s="44"/>
      <c r="AOU97" s="44"/>
      <c r="AOV97" s="44"/>
      <c r="AOW97" s="44"/>
      <c r="AOX97" s="44"/>
      <c r="AOY97" s="44"/>
      <c r="AOZ97" s="44"/>
      <c r="APA97" s="44"/>
      <c r="APB97" s="44"/>
      <c r="APC97" s="44"/>
      <c r="APD97" s="44"/>
      <c r="APE97" s="44"/>
      <c r="APF97" s="44"/>
      <c r="APG97" s="44"/>
      <c r="APH97" s="44"/>
      <c r="API97" s="44"/>
      <c r="APJ97" s="44"/>
      <c r="APK97" s="44"/>
      <c r="APL97" s="44"/>
      <c r="APM97" s="44"/>
      <c r="APN97" s="44"/>
      <c r="APO97" s="44"/>
      <c r="APP97" s="44"/>
      <c r="APQ97" s="44"/>
      <c r="APR97" s="44"/>
      <c r="APS97" s="44"/>
      <c r="APT97" s="44"/>
      <c r="APU97" s="44"/>
      <c r="APV97" s="44"/>
      <c r="APW97" s="44"/>
      <c r="APX97" s="44"/>
      <c r="APY97" s="44"/>
      <c r="APZ97" s="44"/>
      <c r="AQA97" s="44"/>
      <c r="AQB97" s="44"/>
      <c r="AQC97" s="44"/>
      <c r="AQD97" s="44"/>
      <c r="AQE97" s="44"/>
      <c r="AQF97" s="44"/>
      <c r="AQG97" s="44"/>
      <c r="AQH97" s="44"/>
      <c r="AQI97" s="44"/>
      <c r="AQJ97" s="44"/>
      <c r="AQK97" s="44"/>
      <c r="AQL97" s="44"/>
      <c r="AQM97" s="44"/>
      <c r="AQN97" s="44"/>
      <c r="AQO97" s="44"/>
      <c r="AQP97" s="44"/>
      <c r="AQQ97" s="44"/>
      <c r="AQR97" s="44"/>
      <c r="AQS97" s="44"/>
      <c r="AQT97" s="44"/>
      <c r="AQU97" s="44"/>
      <c r="AQV97" s="44"/>
      <c r="AQW97" s="44"/>
      <c r="AQX97" s="44"/>
      <c r="AQY97" s="44"/>
      <c r="AQZ97" s="44"/>
      <c r="ARA97" s="44"/>
      <c r="ARB97" s="44"/>
      <c r="ARC97" s="44"/>
      <c r="ARD97" s="44"/>
      <c r="ARE97" s="44"/>
      <c r="ARF97" s="44"/>
      <c r="ARG97" s="44"/>
      <c r="ARH97" s="44"/>
      <c r="ARI97" s="44"/>
      <c r="ARJ97" s="44"/>
      <c r="ARK97" s="44"/>
      <c r="ARL97" s="44"/>
      <c r="ARM97" s="44"/>
      <c r="ARN97" s="44"/>
      <c r="ARO97" s="44"/>
      <c r="ARP97" s="44"/>
      <c r="ARQ97" s="44"/>
      <c r="ARR97" s="44"/>
      <c r="ARS97" s="44"/>
      <c r="ART97" s="44"/>
      <c r="ARU97" s="44"/>
      <c r="ARV97" s="44"/>
      <c r="ARW97" s="44"/>
      <c r="ARX97" s="44"/>
      <c r="ARY97" s="44"/>
      <c r="ARZ97" s="44"/>
      <c r="ASA97" s="44"/>
      <c r="ASB97" s="44"/>
      <c r="ASC97" s="44"/>
      <c r="ASD97" s="44"/>
      <c r="ASE97" s="44"/>
      <c r="ASF97" s="44"/>
      <c r="ASG97" s="44"/>
      <c r="ASH97" s="44"/>
      <c r="ASI97" s="44"/>
      <c r="ASJ97" s="44"/>
      <c r="ASK97" s="44"/>
      <c r="ASL97" s="44"/>
      <c r="ASM97" s="44"/>
      <c r="ASN97" s="44"/>
      <c r="ASO97" s="44"/>
      <c r="ASP97" s="44"/>
      <c r="ASQ97" s="44"/>
      <c r="ASR97" s="44"/>
      <c r="ASS97" s="44"/>
      <c r="AST97" s="44"/>
      <c r="ASU97" s="44"/>
      <c r="ASV97" s="44"/>
      <c r="ASW97" s="44"/>
      <c r="ASX97" s="44"/>
      <c r="ASY97" s="44"/>
      <c r="ASZ97" s="44"/>
      <c r="ATA97" s="44"/>
      <c r="ATB97" s="44"/>
      <c r="ATC97" s="44"/>
      <c r="ATD97" s="44"/>
      <c r="ATE97" s="44"/>
      <c r="ATF97" s="44"/>
      <c r="ATG97" s="44"/>
      <c r="ATH97" s="44"/>
      <c r="ATI97" s="44"/>
      <c r="ATJ97" s="44"/>
      <c r="ATK97" s="44"/>
      <c r="ATL97" s="44"/>
      <c r="ATM97" s="44"/>
      <c r="ATN97" s="44"/>
      <c r="ATO97" s="44"/>
      <c r="ATP97" s="44"/>
      <c r="ATQ97" s="44"/>
      <c r="ATR97" s="44"/>
      <c r="ATS97" s="44"/>
      <c r="ATT97" s="44"/>
      <c r="ATU97" s="44"/>
      <c r="ATV97" s="44"/>
      <c r="ATW97" s="44"/>
      <c r="ATX97" s="44"/>
      <c r="ATY97" s="44"/>
      <c r="ATZ97" s="44"/>
      <c r="AUA97" s="44"/>
      <c r="AUB97" s="44"/>
      <c r="AUC97" s="44"/>
      <c r="AUD97" s="44"/>
      <c r="AUE97" s="44"/>
      <c r="AUF97" s="44"/>
      <c r="AUG97" s="44"/>
      <c r="AUH97" s="44"/>
      <c r="AUI97" s="44"/>
      <c r="AUJ97" s="44"/>
      <c r="AUK97" s="44"/>
      <c r="AUL97" s="44"/>
      <c r="AUM97" s="44"/>
      <c r="AUN97" s="44"/>
      <c r="AUO97" s="44"/>
      <c r="AUP97" s="44"/>
      <c r="AUQ97" s="44"/>
      <c r="AUR97" s="44"/>
      <c r="AUS97" s="44"/>
      <c r="AUT97" s="44"/>
      <c r="AUU97" s="44"/>
      <c r="AUV97" s="44"/>
      <c r="AUW97" s="44"/>
      <c r="AUX97" s="44"/>
      <c r="AUY97" s="44"/>
      <c r="AUZ97" s="44"/>
      <c r="AVA97" s="44"/>
      <c r="AVB97" s="44"/>
      <c r="AVC97" s="44"/>
      <c r="AVD97" s="44"/>
      <c r="AVE97" s="44"/>
      <c r="AVF97" s="44"/>
      <c r="AVG97" s="44"/>
      <c r="AVH97" s="44"/>
      <c r="AVI97" s="44"/>
      <c r="AVJ97" s="44"/>
      <c r="AVK97" s="44"/>
      <c r="AVL97" s="44"/>
      <c r="AVM97" s="44"/>
      <c r="AVN97" s="44"/>
      <c r="AVO97" s="44"/>
      <c r="AVP97" s="44"/>
      <c r="AVQ97" s="44"/>
      <c r="AVR97" s="44"/>
      <c r="AVS97" s="44"/>
      <c r="AVT97" s="44"/>
      <c r="AVU97" s="44"/>
      <c r="AVV97" s="44"/>
      <c r="AVW97" s="44"/>
      <c r="AVX97" s="44"/>
      <c r="AVY97" s="44"/>
      <c r="AVZ97" s="44"/>
      <c r="AWA97" s="44"/>
      <c r="AWB97" s="44"/>
      <c r="AWC97" s="44"/>
      <c r="AWD97" s="44"/>
      <c r="AWE97" s="44"/>
      <c r="AWF97" s="44"/>
      <c r="AWG97" s="44"/>
      <c r="AWH97" s="44"/>
      <c r="AWI97" s="44"/>
      <c r="AWJ97" s="44"/>
      <c r="AWK97" s="44"/>
      <c r="AWL97" s="44"/>
      <c r="AWM97" s="44"/>
      <c r="AWN97" s="44"/>
      <c r="AWO97" s="44"/>
      <c r="AWP97" s="44"/>
      <c r="AWQ97" s="44"/>
      <c r="AWR97" s="44"/>
      <c r="AWS97" s="44"/>
      <c r="AWT97" s="44"/>
      <c r="AWU97" s="44"/>
      <c r="AWV97" s="44"/>
      <c r="AWW97" s="44"/>
      <c r="AWX97" s="44"/>
      <c r="AWY97" s="44"/>
      <c r="AWZ97" s="44"/>
      <c r="AXA97" s="44"/>
      <c r="AXB97" s="44"/>
      <c r="AXC97" s="44"/>
      <c r="AXD97" s="44"/>
      <c r="AXE97" s="44"/>
      <c r="AXF97" s="44"/>
      <c r="AXG97" s="44"/>
      <c r="AXH97" s="44"/>
      <c r="AXI97" s="44"/>
      <c r="AXJ97" s="44"/>
      <c r="AXK97" s="44"/>
      <c r="AXL97" s="44"/>
      <c r="AXM97" s="44"/>
      <c r="AXN97" s="44"/>
      <c r="AXO97" s="44"/>
      <c r="AXP97" s="44"/>
      <c r="AXQ97" s="44"/>
      <c r="AXR97" s="44"/>
      <c r="AXS97" s="44"/>
      <c r="AXT97" s="44"/>
      <c r="AXU97" s="44"/>
      <c r="AXV97" s="44"/>
      <c r="AXW97" s="44"/>
      <c r="AXX97" s="44"/>
      <c r="AXY97" s="44"/>
      <c r="AXZ97" s="44"/>
      <c r="AYA97" s="44"/>
      <c r="AYB97" s="44"/>
      <c r="AYC97" s="44"/>
      <c r="AYD97" s="44"/>
      <c r="AYE97" s="44"/>
      <c r="AYF97" s="44"/>
      <c r="AYG97" s="44"/>
      <c r="AYH97" s="44"/>
      <c r="AYI97" s="44"/>
      <c r="AYJ97" s="44"/>
      <c r="AYK97" s="44"/>
      <c r="AYL97" s="44"/>
      <c r="AYM97" s="44"/>
      <c r="AYN97" s="44"/>
      <c r="AYO97" s="44"/>
      <c r="AYP97" s="44"/>
      <c r="AYQ97" s="44"/>
      <c r="AYR97" s="44"/>
      <c r="AYS97" s="44"/>
      <c r="AYT97" s="44"/>
      <c r="AYU97" s="44"/>
      <c r="AYV97" s="44"/>
      <c r="AYW97" s="44"/>
      <c r="AYX97" s="44"/>
      <c r="AYY97" s="44"/>
      <c r="AYZ97" s="44"/>
      <c r="AZA97" s="44"/>
      <c r="AZB97" s="44"/>
      <c r="AZC97" s="44"/>
      <c r="AZD97" s="44"/>
      <c r="AZE97" s="44"/>
      <c r="AZF97" s="44"/>
      <c r="AZG97" s="44"/>
      <c r="AZH97" s="44"/>
      <c r="AZI97" s="44"/>
      <c r="AZJ97" s="44"/>
      <c r="AZK97" s="44"/>
      <c r="AZL97" s="44"/>
      <c r="AZM97" s="44"/>
      <c r="AZN97" s="44"/>
      <c r="AZO97" s="44"/>
      <c r="AZP97" s="44"/>
      <c r="AZQ97" s="44"/>
      <c r="AZR97" s="44"/>
      <c r="AZS97" s="44"/>
      <c r="AZT97" s="44"/>
      <c r="AZU97" s="44"/>
      <c r="AZV97" s="44"/>
      <c r="AZW97" s="44"/>
      <c r="AZX97" s="44"/>
      <c r="AZY97" s="44"/>
      <c r="AZZ97" s="44"/>
      <c r="BAA97" s="44"/>
      <c r="BAB97" s="44"/>
      <c r="BAC97" s="44"/>
      <c r="BAD97" s="44"/>
      <c r="BAE97" s="44"/>
      <c r="BAF97" s="44"/>
      <c r="BAG97" s="44"/>
      <c r="BAH97" s="44"/>
      <c r="BAI97" s="44"/>
      <c r="BAJ97" s="44"/>
      <c r="BAK97" s="44"/>
      <c r="BAL97" s="44"/>
      <c r="BAM97" s="44"/>
      <c r="BAN97" s="44"/>
      <c r="BAO97" s="44"/>
      <c r="BAP97" s="44"/>
      <c r="BAQ97" s="44"/>
      <c r="BAR97" s="44"/>
      <c r="BAS97" s="44"/>
      <c r="BAT97" s="44"/>
      <c r="BAU97" s="44"/>
      <c r="BAV97" s="44"/>
      <c r="BAW97" s="44"/>
      <c r="BAX97" s="44"/>
      <c r="BAY97" s="44"/>
      <c r="BAZ97" s="44"/>
      <c r="BBA97" s="44"/>
      <c r="BBB97" s="44"/>
      <c r="BBC97" s="44"/>
      <c r="BBD97" s="44"/>
      <c r="BBE97" s="44"/>
      <c r="BBF97" s="44"/>
      <c r="BBG97" s="44"/>
      <c r="BBH97" s="44"/>
      <c r="BBI97" s="44"/>
      <c r="BBJ97" s="44"/>
      <c r="BBK97" s="44"/>
      <c r="BBL97" s="44"/>
      <c r="BBM97" s="44"/>
      <c r="BBN97" s="44"/>
      <c r="BBO97" s="44"/>
      <c r="BBP97" s="44"/>
      <c r="BBQ97" s="44"/>
      <c r="BBR97" s="44"/>
      <c r="BBS97" s="44"/>
      <c r="BBT97" s="44"/>
      <c r="BBU97" s="44"/>
      <c r="BBV97" s="44"/>
      <c r="BBW97" s="44"/>
      <c r="BBX97" s="44"/>
      <c r="BBY97" s="44"/>
      <c r="BBZ97" s="44"/>
      <c r="BCA97" s="44"/>
      <c r="BCB97" s="44"/>
      <c r="BCC97" s="44"/>
      <c r="BCD97" s="44"/>
      <c r="BCE97" s="44"/>
      <c r="BCF97" s="44"/>
      <c r="BCG97" s="44"/>
      <c r="BCH97" s="44"/>
      <c r="BCI97" s="44"/>
      <c r="BCJ97" s="44"/>
      <c r="BCK97" s="44"/>
      <c r="BCL97" s="44"/>
      <c r="BCM97" s="44"/>
      <c r="BCN97" s="44"/>
      <c r="BCO97" s="44"/>
      <c r="BCP97" s="44"/>
      <c r="BCQ97" s="44"/>
      <c r="BCR97" s="44"/>
      <c r="BCS97" s="44"/>
      <c r="BCT97" s="44"/>
      <c r="BCU97" s="44"/>
      <c r="BCV97" s="44"/>
      <c r="BCW97" s="44"/>
      <c r="BCX97" s="44"/>
      <c r="BCY97" s="44"/>
      <c r="BCZ97" s="44"/>
      <c r="BDA97" s="44"/>
      <c r="BDB97" s="44"/>
      <c r="BDC97" s="44"/>
      <c r="BDD97" s="44"/>
      <c r="BDE97" s="44"/>
      <c r="BDF97" s="44"/>
      <c r="BDG97" s="44"/>
      <c r="BDH97" s="44"/>
      <c r="BDI97" s="44"/>
      <c r="BDJ97" s="44"/>
      <c r="BDK97" s="44"/>
      <c r="BDL97" s="44"/>
      <c r="BDM97" s="44"/>
      <c r="BDN97" s="44"/>
      <c r="BDO97" s="44"/>
      <c r="BDP97" s="44"/>
      <c r="BDQ97" s="44"/>
      <c r="BDR97" s="44"/>
      <c r="BDS97" s="44"/>
      <c r="BDT97" s="44"/>
      <c r="BDU97" s="44"/>
      <c r="BDV97" s="44"/>
      <c r="BDW97" s="44"/>
      <c r="BDX97" s="44"/>
      <c r="BDY97" s="44"/>
      <c r="BDZ97" s="44"/>
      <c r="BEA97" s="44"/>
      <c r="BEB97" s="44"/>
      <c r="BEC97" s="44"/>
      <c r="BED97" s="44"/>
      <c r="BEE97" s="44"/>
      <c r="BEF97" s="44"/>
      <c r="BEG97" s="44"/>
      <c r="BEH97" s="44"/>
      <c r="BEI97" s="44"/>
      <c r="BEJ97" s="44"/>
      <c r="BEK97" s="44"/>
      <c r="BEL97" s="44"/>
      <c r="BEM97" s="44"/>
      <c r="BEN97" s="44"/>
      <c r="BEO97" s="44"/>
      <c r="BEP97" s="44"/>
      <c r="BEQ97" s="44"/>
      <c r="BER97" s="44"/>
      <c r="BES97" s="44"/>
      <c r="BET97" s="44"/>
      <c r="BEU97" s="44"/>
      <c r="BEV97" s="44"/>
      <c r="BEW97" s="44"/>
      <c r="BEX97" s="44"/>
      <c r="BEY97" s="44"/>
      <c r="BEZ97" s="44"/>
      <c r="BFA97" s="44"/>
      <c r="BFB97" s="44"/>
      <c r="BFC97" s="44"/>
      <c r="BFD97" s="44"/>
      <c r="BFE97" s="44"/>
      <c r="BFF97" s="44"/>
      <c r="BFG97" s="44"/>
      <c r="BFH97" s="44"/>
      <c r="BFI97" s="44"/>
      <c r="BFJ97" s="44"/>
      <c r="BFK97" s="44"/>
      <c r="BFL97" s="44"/>
      <c r="BFM97" s="44"/>
      <c r="BFN97" s="44"/>
      <c r="BFO97" s="44"/>
      <c r="BFP97" s="44"/>
      <c r="BFQ97" s="44"/>
      <c r="BFR97" s="44"/>
      <c r="BFS97" s="44"/>
      <c r="BFT97" s="44"/>
      <c r="BFU97" s="44"/>
      <c r="BFV97" s="44"/>
      <c r="BFW97" s="44"/>
      <c r="BFX97" s="44"/>
      <c r="BFY97" s="44"/>
      <c r="BFZ97" s="44"/>
      <c r="BGA97" s="44"/>
      <c r="BGB97" s="44"/>
      <c r="BGC97" s="44"/>
      <c r="BGD97" s="44"/>
      <c r="BGE97" s="44"/>
      <c r="BGF97" s="44"/>
      <c r="BGG97" s="44"/>
      <c r="BGH97" s="44"/>
      <c r="BGI97" s="44"/>
      <c r="BGJ97" s="44"/>
      <c r="BGK97" s="44"/>
      <c r="BGL97" s="44"/>
      <c r="BGM97" s="44"/>
      <c r="BGN97" s="44"/>
      <c r="BGO97" s="44"/>
      <c r="BGP97" s="44"/>
      <c r="BGQ97" s="44"/>
      <c r="BGR97" s="44"/>
      <c r="BGS97" s="44"/>
      <c r="BGT97" s="44"/>
      <c r="BGU97" s="44"/>
      <c r="BGV97" s="44"/>
      <c r="BGW97" s="44"/>
      <c r="BGX97" s="44"/>
      <c r="BGY97" s="44"/>
      <c r="BGZ97" s="44"/>
      <c r="BHA97" s="44"/>
      <c r="BHB97" s="44"/>
      <c r="BHC97" s="44"/>
      <c r="BHD97" s="44"/>
      <c r="BHE97" s="44"/>
      <c r="BHF97" s="44"/>
      <c r="BHG97" s="44"/>
      <c r="BHH97" s="44"/>
      <c r="BHI97" s="44"/>
      <c r="BHJ97" s="44"/>
      <c r="BHK97" s="44"/>
      <c r="BHL97" s="44"/>
      <c r="BHM97" s="44"/>
      <c r="BHN97" s="44"/>
      <c r="BHO97" s="44"/>
      <c r="BHP97" s="44"/>
      <c r="BHQ97" s="44"/>
      <c r="BHR97" s="44"/>
      <c r="BHS97" s="44"/>
      <c r="BHT97" s="44"/>
      <c r="BHU97" s="44"/>
      <c r="BHV97" s="44"/>
      <c r="BHW97" s="44"/>
      <c r="BHX97" s="44"/>
      <c r="BHY97" s="44"/>
      <c r="BHZ97" s="44"/>
      <c r="BIA97" s="44"/>
      <c r="BIB97" s="44"/>
      <c r="BIC97" s="44"/>
      <c r="BID97" s="44"/>
      <c r="BIE97" s="44"/>
      <c r="BIF97" s="44"/>
      <c r="BIG97" s="44"/>
      <c r="BIH97" s="44"/>
      <c r="BII97" s="44"/>
      <c r="BIJ97" s="44"/>
      <c r="BIK97" s="44"/>
      <c r="BIL97" s="44"/>
      <c r="BIM97" s="44"/>
      <c r="BIN97" s="44"/>
      <c r="BIO97" s="44"/>
      <c r="BIP97" s="44"/>
      <c r="BIQ97" s="44"/>
      <c r="BIR97" s="44"/>
      <c r="BIS97" s="44"/>
      <c r="BIT97" s="44"/>
      <c r="BIU97" s="44"/>
      <c r="BIV97" s="44"/>
      <c r="BIW97" s="44"/>
      <c r="BIX97" s="44"/>
      <c r="BIY97" s="44"/>
      <c r="BIZ97" s="44"/>
      <c r="BJA97" s="44"/>
      <c r="BJB97" s="44"/>
      <c r="BJC97" s="44"/>
      <c r="BJD97" s="44"/>
      <c r="BJE97" s="44"/>
      <c r="BJF97" s="44"/>
      <c r="BJG97" s="44"/>
      <c r="BJH97" s="44"/>
      <c r="BJI97" s="44"/>
      <c r="BJJ97" s="44"/>
      <c r="BJK97" s="44"/>
      <c r="BJL97" s="44"/>
      <c r="BJM97" s="44"/>
      <c r="BJN97" s="44"/>
      <c r="BJO97" s="44"/>
      <c r="BJP97" s="44"/>
      <c r="BJQ97" s="44"/>
      <c r="BJR97" s="44"/>
      <c r="BJS97" s="44"/>
      <c r="BJT97" s="44"/>
      <c r="BJU97" s="44"/>
      <c r="BJV97" s="44"/>
      <c r="BJW97" s="44"/>
      <c r="BJX97" s="44"/>
      <c r="BJY97" s="44"/>
      <c r="BJZ97" s="44"/>
      <c r="BKA97" s="44"/>
      <c r="BKB97" s="44"/>
      <c r="BKC97" s="44"/>
      <c r="BKD97" s="44"/>
      <c r="BKE97" s="44"/>
      <c r="BKF97" s="44"/>
      <c r="BKG97" s="44"/>
      <c r="BKH97" s="44"/>
      <c r="BKI97" s="44"/>
      <c r="BKJ97" s="44"/>
      <c r="BKK97" s="44"/>
      <c r="BKL97" s="44"/>
      <c r="BKM97" s="44"/>
      <c r="BKN97" s="44"/>
      <c r="BKO97" s="44"/>
      <c r="BKP97" s="44"/>
      <c r="BKQ97" s="44"/>
      <c r="BKR97" s="44"/>
      <c r="BKS97" s="44"/>
      <c r="BKT97" s="44"/>
      <c r="BKU97" s="44"/>
      <c r="BKV97" s="44"/>
      <c r="BKW97" s="44"/>
      <c r="BKX97" s="44"/>
      <c r="BKY97" s="44"/>
      <c r="BKZ97" s="44"/>
      <c r="BLA97" s="44"/>
      <c r="BLB97" s="44"/>
      <c r="BLC97" s="44"/>
      <c r="BLD97" s="44"/>
      <c r="BLE97" s="44"/>
      <c r="BLF97" s="44"/>
      <c r="BLG97" s="44"/>
      <c r="BLH97" s="44"/>
      <c r="BLI97" s="44"/>
      <c r="BLJ97" s="44"/>
      <c r="BLK97" s="44"/>
      <c r="BLL97" s="44"/>
      <c r="BLM97" s="44"/>
      <c r="BLN97" s="44"/>
      <c r="BLO97" s="44"/>
      <c r="BLP97" s="44"/>
      <c r="BLQ97" s="44"/>
      <c r="BLR97" s="44"/>
      <c r="BLS97" s="44"/>
      <c r="BLT97" s="44"/>
      <c r="BLU97" s="44"/>
      <c r="BLV97" s="44"/>
      <c r="BLW97" s="44"/>
      <c r="BLX97" s="44"/>
      <c r="BLY97" s="44"/>
      <c r="BLZ97" s="44"/>
      <c r="BMA97" s="44"/>
      <c r="BMB97" s="44"/>
      <c r="BMC97" s="44"/>
      <c r="BMD97" s="44"/>
      <c r="BME97" s="44"/>
      <c r="BMF97" s="44"/>
      <c r="BMG97" s="44"/>
      <c r="BMH97" s="44"/>
      <c r="BMI97" s="44"/>
      <c r="BMJ97" s="44"/>
      <c r="BMK97" s="44"/>
      <c r="BML97" s="44"/>
      <c r="BMM97" s="44"/>
      <c r="BMN97" s="44"/>
      <c r="BMO97" s="44"/>
      <c r="BMP97" s="44"/>
      <c r="BMQ97" s="44"/>
      <c r="BMR97" s="44"/>
      <c r="BMS97" s="44"/>
      <c r="BMT97" s="44"/>
      <c r="BMU97" s="44"/>
      <c r="BMV97" s="44"/>
      <c r="BMW97" s="44"/>
      <c r="BMX97" s="44"/>
      <c r="BMY97" s="44"/>
      <c r="BMZ97" s="44"/>
      <c r="BNA97" s="44"/>
      <c r="BNB97" s="44"/>
      <c r="BNC97" s="44"/>
      <c r="BND97" s="44"/>
      <c r="BNE97" s="44"/>
      <c r="BNF97" s="44"/>
      <c r="BNG97" s="44"/>
      <c r="BNH97" s="44"/>
      <c r="BNI97" s="44"/>
      <c r="BNJ97" s="44"/>
      <c r="BNK97" s="44"/>
      <c r="BNL97" s="44"/>
      <c r="BNM97" s="44"/>
      <c r="BNN97" s="44"/>
      <c r="BNO97" s="44"/>
      <c r="BNP97" s="44"/>
      <c r="BNQ97" s="44"/>
      <c r="BNR97" s="44"/>
      <c r="BNS97" s="44"/>
      <c r="BNT97" s="44"/>
      <c r="BNU97" s="44"/>
      <c r="BNV97" s="44"/>
      <c r="BNW97" s="44"/>
      <c r="BNX97" s="44"/>
      <c r="BNY97" s="44"/>
      <c r="BNZ97" s="44"/>
      <c r="BOA97" s="44"/>
      <c r="BOB97" s="44"/>
      <c r="BOC97" s="44"/>
      <c r="BOD97" s="44"/>
      <c r="BOE97" s="44"/>
      <c r="BOF97" s="44"/>
      <c r="BOG97" s="44"/>
      <c r="BOH97" s="44"/>
      <c r="BOI97" s="44"/>
      <c r="BOJ97" s="44"/>
      <c r="BOK97" s="44"/>
      <c r="BOL97" s="44"/>
      <c r="BOM97" s="44"/>
      <c r="BON97" s="44"/>
      <c r="BOO97" s="44"/>
      <c r="BOP97" s="44"/>
      <c r="BOQ97" s="44"/>
      <c r="BOR97" s="44"/>
      <c r="BOS97" s="44"/>
      <c r="BOT97" s="44"/>
      <c r="BOU97" s="44"/>
      <c r="BOV97" s="44"/>
      <c r="BOW97" s="44"/>
      <c r="BOX97" s="44"/>
      <c r="BOY97" s="44"/>
      <c r="BOZ97" s="44"/>
      <c r="BPA97" s="44"/>
      <c r="BPB97" s="44"/>
      <c r="BPC97" s="44"/>
      <c r="BPD97" s="44"/>
      <c r="BPE97" s="44"/>
      <c r="BPF97" s="44"/>
      <c r="BPG97" s="44"/>
      <c r="BPH97" s="44"/>
      <c r="BPI97" s="44"/>
      <c r="BPJ97" s="44"/>
      <c r="BPK97" s="44"/>
      <c r="BPL97" s="44"/>
      <c r="BPM97" s="44"/>
      <c r="BPN97" s="44"/>
      <c r="BPO97" s="44"/>
      <c r="BPP97" s="44"/>
      <c r="BPQ97" s="44"/>
      <c r="BPR97" s="44"/>
      <c r="BPS97" s="44"/>
      <c r="BPT97" s="44"/>
      <c r="BPU97" s="44"/>
      <c r="BPV97" s="44"/>
      <c r="BPW97" s="44"/>
      <c r="BPX97" s="44"/>
      <c r="BPY97" s="44"/>
      <c r="BPZ97" s="44"/>
      <c r="BQA97" s="44"/>
      <c r="BQB97" s="44"/>
      <c r="BQC97" s="44"/>
      <c r="BQD97" s="44"/>
      <c r="BQE97" s="44"/>
      <c r="BQF97" s="44"/>
      <c r="BQG97" s="44"/>
      <c r="BQH97" s="44"/>
      <c r="BQI97" s="44"/>
      <c r="BQJ97" s="44"/>
      <c r="BQK97" s="44"/>
      <c r="BQL97" s="44"/>
      <c r="BQM97" s="44"/>
      <c r="BQN97" s="44"/>
      <c r="BQO97" s="44"/>
      <c r="BQP97" s="44"/>
      <c r="BQQ97" s="44"/>
      <c r="BQR97" s="44"/>
      <c r="BQS97" s="44"/>
      <c r="BQT97" s="44"/>
      <c r="BQU97" s="44"/>
      <c r="BQV97" s="44"/>
      <c r="BQW97" s="44"/>
      <c r="BQX97" s="44"/>
      <c r="BQY97" s="44"/>
      <c r="BQZ97" s="44"/>
      <c r="BRA97" s="44"/>
      <c r="BRB97" s="44"/>
      <c r="BRC97" s="44"/>
      <c r="BRD97" s="44"/>
      <c r="BRE97" s="44"/>
      <c r="BRF97" s="44"/>
      <c r="BRG97" s="44"/>
      <c r="BRH97" s="44"/>
      <c r="BRI97" s="44"/>
      <c r="BRJ97" s="44"/>
      <c r="BRK97" s="44"/>
      <c r="BRL97" s="44"/>
      <c r="BRM97" s="44"/>
      <c r="BRN97" s="44"/>
      <c r="BRO97" s="44"/>
      <c r="BRP97" s="44"/>
      <c r="BRQ97" s="44"/>
      <c r="BRR97" s="44"/>
      <c r="BRS97" s="44"/>
      <c r="BRT97" s="44"/>
      <c r="BRU97" s="44"/>
      <c r="BRV97" s="44"/>
      <c r="BRW97" s="44"/>
      <c r="BRX97" s="44"/>
      <c r="BRY97" s="44"/>
      <c r="BRZ97" s="44"/>
      <c r="BSA97" s="44"/>
      <c r="BSB97" s="44"/>
      <c r="BSC97" s="44"/>
      <c r="BSD97" s="44"/>
      <c r="BSE97" s="44"/>
      <c r="BSF97" s="44"/>
      <c r="BSG97" s="44"/>
      <c r="BSH97" s="44"/>
      <c r="BSI97" s="44"/>
      <c r="BSJ97" s="44"/>
      <c r="BSK97" s="44"/>
      <c r="BSL97" s="44"/>
      <c r="BSM97" s="44"/>
      <c r="BSN97" s="44"/>
      <c r="BSO97" s="44"/>
      <c r="BSP97" s="44"/>
      <c r="BSQ97" s="44"/>
      <c r="BSR97" s="44"/>
      <c r="BSS97" s="44"/>
      <c r="BST97" s="44"/>
      <c r="BSU97" s="44"/>
      <c r="BSV97" s="44"/>
      <c r="BSW97" s="44"/>
      <c r="BSX97" s="44"/>
      <c r="BSY97" s="44"/>
      <c r="BSZ97" s="44"/>
      <c r="BTA97" s="44"/>
      <c r="BTB97" s="44"/>
      <c r="BTC97" s="44"/>
      <c r="BTD97" s="44"/>
      <c r="BTE97" s="44"/>
      <c r="BTF97" s="44"/>
      <c r="BTG97" s="44"/>
      <c r="BTH97" s="44"/>
      <c r="BTI97" s="44"/>
      <c r="BTJ97" s="44"/>
      <c r="BTK97" s="44"/>
      <c r="BTL97" s="44"/>
      <c r="BTM97" s="44"/>
      <c r="BTN97" s="44"/>
      <c r="BTO97" s="44"/>
      <c r="BTP97" s="44"/>
      <c r="BTQ97" s="44"/>
      <c r="BTR97" s="44"/>
      <c r="BTS97" s="44"/>
      <c r="BTT97" s="44"/>
      <c r="BTU97" s="44"/>
      <c r="BTV97" s="44"/>
      <c r="BTW97" s="44"/>
      <c r="BTX97" s="44"/>
      <c r="BTY97" s="44"/>
      <c r="BTZ97" s="44"/>
      <c r="BUA97" s="44"/>
      <c r="BUB97" s="44"/>
      <c r="BUC97" s="44"/>
      <c r="BUD97" s="44"/>
      <c r="BUE97" s="44"/>
      <c r="BUF97" s="44"/>
      <c r="BUG97" s="44"/>
      <c r="BUH97" s="44"/>
      <c r="BUI97" s="44"/>
      <c r="BUJ97" s="44"/>
      <c r="BUK97" s="44"/>
      <c r="BUL97" s="44"/>
      <c r="BUM97" s="44"/>
      <c r="BUN97" s="44"/>
      <c r="BUO97" s="44"/>
      <c r="BUP97" s="44"/>
      <c r="BUQ97" s="44"/>
      <c r="BUR97" s="44"/>
      <c r="BUS97" s="44"/>
      <c r="BUT97" s="44"/>
      <c r="BUU97" s="44"/>
      <c r="BUV97" s="44"/>
      <c r="BUW97" s="44"/>
      <c r="BUX97" s="44"/>
      <c r="BUY97" s="44"/>
      <c r="BUZ97" s="44"/>
      <c r="BVA97" s="44"/>
      <c r="BVB97" s="44"/>
      <c r="BVC97" s="44"/>
      <c r="BVD97" s="44"/>
      <c r="BVE97" s="44"/>
      <c r="BVF97" s="44"/>
      <c r="BVG97" s="44"/>
      <c r="BVH97" s="44"/>
      <c r="BVI97" s="44"/>
      <c r="BVJ97" s="44"/>
      <c r="BVK97" s="44"/>
      <c r="BVL97" s="44"/>
      <c r="BVM97" s="44"/>
      <c r="BVN97" s="44"/>
      <c r="BVO97" s="44"/>
      <c r="BVP97" s="44"/>
      <c r="BVQ97" s="44"/>
      <c r="BVR97" s="44"/>
      <c r="BVS97" s="44"/>
      <c r="BVT97" s="44"/>
      <c r="BVU97" s="44"/>
      <c r="BVV97" s="44"/>
      <c r="BVW97" s="44"/>
      <c r="BVX97" s="44"/>
      <c r="BVY97" s="44"/>
      <c r="BVZ97" s="44"/>
      <c r="BWA97" s="44"/>
      <c r="BWB97" s="44"/>
      <c r="BWC97" s="44"/>
      <c r="BWD97" s="44"/>
      <c r="BWE97" s="44"/>
      <c r="BWF97" s="44"/>
      <c r="BWG97" s="44"/>
      <c r="BWH97" s="44"/>
      <c r="BWI97" s="44"/>
      <c r="BWJ97" s="44"/>
      <c r="BWK97" s="44"/>
      <c r="BWL97" s="44"/>
      <c r="BWM97" s="44"/>
      <c r="BWN97" s="44"/>
      <c r="BWO97" s="44"/>
      <c r="BWP97" s="44"/>
      <c r="BWQ97" s="44"/>
      <c r="BWR97" s="44"/>
      <c r="BWS97" s="44"/>
      <c r="BWT97" s="44"/>
      <c r="BWU97" s="44"/>
      <c r="BWV97" s="44"/>
      <c r="BWW97" s="44"/>
      <c r="BWX97" s="44"/>
      <c r="BWY97" s="44"/>
      <c r="BWZ97" s="44"/>
      <c r="BXA97" s="44"/>
      <c r="BXB97" s="44"/>
      <c r="BXC97" s="44"/>
      <c r="BXD97" s="44"/>
      <c r="BXE97" s="44"/>
      <c r="BXF97" s="44"/>
      <c r="BXG97" s="44"/>
      <c r="BXH97" s="44"/>
      <c r="BXI97" s="44"/>
      <c r="BXJ97" s="44"/>
      <c r="BXK97" s="44"/>
      <c r="BXL97" s="44"/>
      <c r="BXM97" s="44"/>
      <c r="BXN97" s="44"/>
      <c r="BXO97" s="44"/>
      <c r="BXP97" s="44"/>
      <c r="BXQ97" s="44"/>
      <c r="BXR97" s="44"/>
      <c r="BXS97" s="44"/>
      <c r="BXT97" s="44"/>
      <c r="BXU97" s="44"/>
      <c r="BXV97" s="44"/>
      <c r="BXW97" s="44"/>
      <c r="BXX97" s="44"/>
      <c r="BXY97" s="44"/>
      <c r="BXZ97" s="44"/>
      <c r="BYA97" s="44"/>
      <c r="BYB97" s="44"/>
      <c r="BYC97" s="44"/>
      <c r="BYD97" s="44"/>
      <c r="BYE97" s="44"/>
      <c r="BYF97" s="44"/>
      <c r="BYG97" s="44"/>
      <c r="BYH97" s="44"/>
      <c r="BYI97" s="44"/>
      <c r="BYJ97" s="44"/>
      <c r="BYK97" s="44"/>
      <c r="BYL97" s="44"/>
      <c r="BYM97" s="44"/>
      <c r="BYN97" s="44"/>
      <c r="BYO97" s="44"/>
      <c r="BYP97" s="44"/>
      <c r="BYQ97" s="44"/>
      <c r="BYR97" s="44"/>
      <c r="BYS97" s="44"/>
      <c r="BYT97" s="44"/>
      <c r="BYU97" s="44"/>
      <c r="BYV97" s="44"/>
      <c r="BYW97" s="44"/>
      <c r="BYX97" s="44"/>
      <c r="BYY97" s="44"/>
      <c r="BYZ97" s="44"/>
      <c r="BZA97" s="44"/>
      <c r="BZB97" s="44"/>
      <c r="BZC97" s="44"/>
      <c r="BZD97" s="44"/>
      <c r="BZE97" s="44"/>
      <c r="BZF97" s="44"/>
      <c r="BZG97" s="44"/>
      <c r="BZH97" s="44"/>
      <c r="BZI97" s="44"/>
      <c r="BZJ97" s="44"/>
      <c r="BZK97" s="44"/>
      <c r="BZL97" s="44"/>
      <c r="BZM97" s="44"/>
      <c r="BZN97" s="44"/>
      <c r="BZO97" s="44"/>
      <c r="BZP97" s="44"/>
      <c r="BZQ97" s="44"/>
      <c r="BZR97" s="44"/>
      <c r="BZS97" s="44"/>
      <c r="BZT97" s="44"/>
      <c r="BZU97" s="44"/>
      <c r="BZV97" s="44"/>
      <c r="BZW97" s="44"/>
      <c r="BZX97" s="44"/>
      <c r="BZY97" s="44"/>
      <c r="BZZ97" s="44"/>
      <c r="CAA97" s="44"/>
      <c r="CAB97" s="44"/>
      <c r="CAC97" s="44"/>
      <c r="CAD97" s="44"/>
      <c r="CAE97" s="44"/>
      <c r="CAF97" s="44"/>
      <c r="CAG97" s="44"/>
      <c r="CAH97" s="44"/>
      <c r="CAI97" s="44"/>
      <c r="CAJ97" s="44"/>
      <c r="CAK97" s="44"/>
      <c r="CAL97" s="44"/>
      <c r="CAM97" s="44"/>
      <c r="CAN97" s="44"/>
      <c r="CAO97" s="44"/>
      <c r="CAP97" s="44"/>
      <c r="CAQ97" s="44"/>
      <c r="CAR97" s="44"/>
      <c r="CAS97" s="44"/>
      <c r="CAT97" s="44"/>
      <c r="CAU97" s="44"/>
      <c r="CAV97" s="44"/>
      <c r="CAW97" s="44"/>
      <c r="CAX97" s="44"/>
      <c r="CAY97" s="44"/>
      <c r="CAZ97" s="44"/>
      <c r="CBA97" s="44"/>
      <c r="CBB97" s="44"/>
      <c r="CBC97" s="44"/>
      <c r="CBD97" s="44"/>
      <c r="CBE97" s="44"/>
      <c r="CBF97" s="44"/>
      <c r="CBG97" s="44"/>
      <c r="CBH97" s="44"/>
      <c r="CBI97" s="44"/>
      <c r="CBJ97" s="44"/>
      <c r="CBK97" s="44"/>
      <c r="CBL97" s="44"/>
      <c r="CBM97" s="44"/>
      <c r="CBN97" s="44"/>
      <c r="CBO97" s="44"/>
      <c r="CBP97" s="44"/>
      <c r="CBQ97" s="44"/>
      <c r="CBR97" s="44"/>
      <c r="CBS97" s="44"/>
      <c r="CBT97" s="44"/>
      <c r="CBU97" s="44"/>
      <c r="CBV97" s="44"/>
      <c r="CBW97" s="44"/>
      <c r="CBX97" s="44"/>
      <c r="CBY97" s="44"/>
      <c r="CBZ97" s="44"/>
      <c r="CCA97" s="44"/>
      <c r="CCB97" s="44"/>
      <c r="CCC97" s="44"/>
      <c r="CCD97" s="44"/>
      <c r="CCE97" s="44"/>
      <c r="CCF97" s="44"/>
      <c r="CCG97" s="44"/>
      <c r="CCH97" s="44"/>
      <c r="CCI97" s="44"/>
      <c r="CCJ97" s="44"/>
      <c r="CCK97" s="44"/>
      <c r="CCL97" s="44"/>
      <c r="CCM97" s="44"/>
      <c r="CCN97" s="44"/>
      <c r="CCO97" s="44"/>
      <c r="CCP97" s="44"/>
      <c r="CCQ97" s="44"/>
      <c r="CCR97" s="44"/>
      <c r="CCS97" s="44"/>
      <c r="CCT97" s="44"/>
      <c r="CCU97" s="44"/>
      <c r="CCV97" s="44"/>
      <c r="CCW97" s="44"/>
      <c r="CCX97" s="44"/>
      <c r="CCY97" s="44"/>
      <c r="CCZ97" s="44"/>
      <c r="CDA97" s="44"/>
      <c r="CDB97" s="44"/>
      <c r="CDC97" s="44"/>
      <c r="CDD97" s="44"/>
      <c r="CDE97" s="44"/>
      <c r="CDF97" s="44"/>
      <c r="CDG97" s="44"/>
      <c r="CDH97" s="44"/>
      <c r="CDI97" s="44"/>
      <c r="CDJ97" s="44"/>
      <c r="CDK97" s="44"/>
      <c r="CDL97" s="44"/>
      <c r="CDM97" s="44"/>
      <c r="CDN97" s="44"/>
      <c r="CDO97" s="44"/>
      <c r="CDP97" s="44"/>
      <c r="CDQ97" s="44"/>
      <c r="CDR97" s="44"/>
      <c r="CDS97" s="44"/>
      <c r="CDT97" s="44"/>
      <c r="CDU97" s="44"/>
      <c r="CDV97" s="44"/>
      <c r="CDW97" s="44"/>
      <c r="CDX97" s="44"/>
      <c r="CDY97" s="44"/>
      <c r="CDZ97" s="44"/>
      <c r="CEA97" s="44"/>
      <c r="CEB97" s="44"/>
      <c r="CEC97" s="44"/>
      <c r="CED97" s="44"/>
      <c r="CEE97" s="44"/>
      <c r="CEF97" s="44"/>
      <c r="CEG97" s="44"/>
      <c r="CEH97" s="44"/>
      <c r="CEI97" s="44"/>
      <c r="CEJ97" s="44"/>
      <c r="CEK97" s="44"/>
      <c r="CEL97" s="44"/>
      <c r="CEM97" s="44"/>
      <c r="CEN97" s="44"/>
      <c r="CEO97" s="44"/>
      <c r="CEP97" s="44"/>
      <c r="CEQ97" s="44"/>
      <c r="CER97" s="44"/>
      <c r="CES97" s="44"/>
      <c r="CET97" s="44"/>
      <c r="CEU97" s="44"/>
      <c r="CEV97" s="44"/>
      <c r="CEW97" s="44"/>
      <c r="CEX97" s="44"/>
      <c r="CEY97" s="44"/>
      <c r="CEZ97" s="44"/>
      <c r="CFA97" s="44"/>
      <c r="CFB97" s="44"/>
      <c r="CFC97" s="44"/>
      <c r="CFD97" s="44"/>
      <c r="CFE97" s="44"/>
      <c r="CFF97" s="44"/>
      <c r="CFG97" s="44"/>
      <c r="CFH97" s="44"/>
      <c r="CFI97" s="44"/>
      <c r="CFJ97" s="44"/>
      <c r="CFK97" s="44"/>
      <c r="CFL97" s="44"/>
      <c r="CFM97" s="44"/>
      <c r="CFN97" s="44"/>
      <c r="CFO97" s="44"/>
      <c r="CFP97" s="44"/>
      <c r="CFQ97" s="44"/>
      <c r="CFR97" s="44"/>
      <c r="CFS97" s="44"/>
      <c r="CFT97" s="44"/>
      <c r="CFU97" s="44"/>
      <c r="CFV97" s="44"/>
      <c r="CFW97" s="44"/>
      <c r="CFX97" s="44"/>
      <c r="CFY97" s="44"/>
      <c r="CFZ97" s="44"/>
      <c r="CGA97" s="44"/>
      <c r="CGB97" s="44"/>
      <c r="CGC97" s="44"/>
      <c r="CGD97" s="44"/>
      <c r="CGE97" s="44"/>
      <c r="CGF97" s="44"/>
      <c r="CGG97" s="44"/>
      <c r="CGH97" s="44"/>
      <c r="CGI97" s="44"/>
      <c r="CGJ97" s="44"/>
      <c r="CGK97" s="44"/>
      <c r="CGL97" s="44"/>
      <c r="CGM97" s="44"/>
      <c r="CGN97" s="44"/>
      <c r="CGO97" s="44"/>
      <c r="CGP97" s="44"/>
      <c r="CGQ97" s="44"/>
      <c r="CGR97" s="44"/>
      <c r="CGS97" s="44"/>
      <c r="CGT97" s="44"/>
      <c r="CGU97" s="44"/>
      <c r="CGV97" s="44"/>
      <c r="CGW97" s="44"/>
      <c r="CGX97" s="44"/>
      <c r="CGY97" s="44"/>
      <c r="CGZ97" s="44"/>
      <c r="CHA97" s="44"/>
      <c r="CHB97" s="44"/>
      <c r="CHC97" s="44"/>
      <c r="CHD97" s="44"/>
      <c r="CHE97" s="44"/>
      <c r="CHF97" s="44"/>
      <c r="CHG97" s="44"/>
      <c r="CHH97" s="44"/>
      <c r="CHI97" s="44"/>
      <c r="CHJ97" s="44"/>
      <c r="CHK97" s="44"/>
      <c r="CHL97" s="44"/>
      <c r="CHM97" s="44"/>
      <c r="CHN97" s="44"/>
      <c r="CHO97" s="44"/>
      <c r="CHP97" s="44"/>
      <c r="CHQ97" s="44"/>
      <c r="CHR97" s="44"/>
      <c r="CHS97" s="44"/>
      <c r="CHT97" s="44"/>
      <c r="CHU97" s="44"/>
      <c r="CHV97" s="44"/>
      <c r="CHW97" s="44"/>
      <c r="CHX97" s="44"/>
      <c r="CHY97" s="44"/>
      <c r="CHZ97" s="44"/>
      <c r="CIA97" s="44"/>
      <c r="CIB97" s="44"/>
      <c r="CIC97" s="44"/>
      <c r="CID97" s="44"/>
      <c r="CIE97" s="44"/>
      <c r="CIF97" s="44"/>
      <c r="CIG97" s="44"/>
      <c r="CIH97" s="44"/>
      <c r="CII97" s="44"/>
      <c r="CIJ97" s="44"/>
      <c r="CIK97" s="44"/>
      <c r="CIL97" s="44"/>
      <c r="CIM97" s="44"/>
      <c r="CIN97" s="44"/>
      <c r="CIO97" s="44"/>
      <c r="CIP97" s="44"/>
      <c r="CIQ97" s="44"/>
      <c r="CIR97" s="44"/>
      <c r="CIS97" s="44"/>
      <c r="CIT97" s="44"/>
      <c r="CIU97" s="44"/>
      <c r="CIV97" s="44"/>
      <c r="CIW97" s="44"/>
      <c r="CIX97" s="44"/>
      <c r="CIY97" s="44"/>
      <c r="CIZ97" s="44"/>
      <c r="CJA97" s="44"/>
      <c r="CJB97" s="44"/>
      <c r="CJC97" s="44"/>
      <c r="CJD97" s="44"/>
      <c r="CJE97" s="44"/>
      <c r="CJF97" s="44"/>
      <c r="CJG97" s="44"/>
      <c r="CJH97" s="44"/>
      <c r="CJI97" s="44"/>
      <c r="CJJ97" s="44"/>
      <c r="CJK97" s="44"/>
      <c r="CJL97" s="44"/>
      <c r="CJM97" s="44"/>
      <c r="CJN97" s="44"/>
      <c r="CJO97" s="44"/>
      <c r="CJP97" s="44"/>
      <c r="CJQ97" s="44"/>
      <c r="CJR97" s="44"/>
      <c r="CJS97" s="44"/>
      <c r="CJT97" s="44"/>
      <c r="CJU97" s="44"/>
      <c r="CJV97" s="44"/>
      <c r="CJW97" s="44"/>
      <c r="CJX97" s="44"/>
      <c r="CJY97" s="44"/>
      <c r="CJZ97" s="44"/>
      <c r="CKA97" s="44"/>
      <c r="CKB97" s="44"/>
      <c r="CKC97" s="44"/>
      <c r="CKD97" s="44"/>
      <c r="CKE97" s="44"/>
      <c r="CKF97" s="44"/>
      <c r="CKG97" s="44"/>
      <c r="CKH97" s="44"/>
      <c r="CKI97" s="44"/>
      <c r="CKJ97" s="44"/>
      <c r="CKK97" s="44"/>
      <c r="CKL97" s="44"/>
      <c r="CKM97" s="44"/>
      <c r="CKN97" s="44"/>
      <c r="CKO97" s="44"/>
      <c r="CKP97" s="44"/>
      <c r="CKQ97" s="44"/>
      <c r="CKR97" s="44"/>
      <c r="CKS97" s="44"/>
      <c r="CKT97" s="44"/>
      <c r="CKU97" s="44"/>
      <c r="CKV97" s="44"/>
      <c r="CKW97" s="44"/>
      <c r="CKX97" s="44"/>
      <c r="CKY97" s="44"/>
      <c r="CKZ97" s="44"/>
      <c r="CLA97" s="44"/>
      <c r="CLB97" s="44"/>
      <c r="CLC97" s="44"/>
      <c r="CLD97" s="44"/>
      <c r="CLE97" s="44"/>
      <c r="CLF97" s="44"/>
      <c r="CLG97" s="44"/>
      <c r="CLH97" s="44"/>
      <c r="CLI97" s="44"/>
      <c r="CLJ97" s="44"/>
      <c r="CLK97" s="44"/>
      <c r="CLL97" s="44"/>
      <c r="CLM97" s="44"/>
      <c r="CLN97" s="44"/>
      <c r="CLO97" s="44"/>
      <c r="CLP97" s="44"/>
      <c r="CLQ97" s="44"/>
      <c r="CLR97" s="44"/>
      <c r="CLS97" s="44"/>
      <c r="CLT97" s="44"/>
      <c r="CLU97" s="44"/>
      <c r="CLV97" s="44"/>
      <c r="CLW97" s="44"/>
      <c r="CLX97" s="44"/>
      <c r="CLY97" s="44"/>
      <c r="CLZ97" s="44"/>
      <c r="CMA97" s="44"/>
      <c r="CMB97" s="44"/>
      <c r="CMC97" s="44"/>
      <c r="CMD97" s="44"/>
      <c r="CME97" s="44"/>
      <c r="CMF97" s="44"/>
      <c r="CMG97" s="44"/>
      <c r="CMH97" s="44"/>
      <c r="CMI97" s="44"/>
      <c r="CMJ97" s="44"/>
      <c r="CMK97" s="44"/>
      <c r="CML97" s="44"/>
      <c r="CMM97" s="44"/>
      <c r="CMN97" s="44"/>
      <c r="CMO97" s="44"/>
      <c r="CMP97" s="44"/>
      <c r="CMQ97" s="44"/>
      <c r="CMR97" s="44"/>
      <c r="CMS97" s="44"/>
      <c r="CMT97" s="44"/>
      <c r="CMU97" s="44"/>
      <c r="CMV97" s="44"/>
      <c r="CMW97" s="44"/>
      <c r="CMX97" s="44"/>
      <c r="CMY97" s="44"/>
      <c r="CMZ97" s="44"/>
      <c r="CNA97" s="44"/>
      <c r="CNB97" s="44"/>
      <c r="CNC97" s="44"/>
      <c r="CND97" s="44"/>
      <c r="CNE97" s="44"/>
      <c r="CNF97" s="44"/>
      <c r="CNG97" s="44"/>
      <c r="CNH97" s="44"/>
      <c r="CNI97" s="44"/>
      <c r="CNJ97" s="44"/>
      <c r="CNK97" s="44"/>
      <c r="CNL97" s="44"/>
      <c r="CNM97" s="44"/>
      <c r="CNN97" s="44"/>
      <c r="CNO97" s="44"/>
      <c r="CNP97" s="44"/>
      <c r="CNQ97" s="44"/>
      <c r="CNR97" s="44"/>
      <c r="CNS97" s="44"/>
      <c r="CNT97" s="44"/>
      <c r="CNU97" s="44"/>
      <c r="CNV97" s="44"/>
      <c r="CNW97" s="44"/>
      <c r="CNX97" s="44"/>
      <c r="CNY97" s="44"/>
      <c r="CNZ97" s="44"/>
      <c r="COA97" s="44"/>
      <c r="COB97" s="44"/>
      <c r="COC97" s="44"/>
      <c r="COD97" s="44"/>
      <c r="COE97" s="44"/>
      <c r="COF97" s="44"/>
      <c r="COG97" s="44"/>
      <c r="COH97" s="44"/>
      <c r="COI97" s="44"/>
      <c r="COJ97" s="44"/>
      <c r="COK97" s="44"/>
      <c r="COL97" s="44"/>
      <c r="COM97" s="44"/>
      <c r="CON97" s="44"/>
      <c r="COO97" s="44"/>
      <c r="COP97" s="44"/>
      <c r="COQ97" s="44"/>
      <c r="COR97" s="44"/>
      <c r="COS97" s="44"/>
      <c r="COT97" s="44"/>
      <c r="COU97" s="44"/>
      <c r="COV97" s="44"/>
      <c r="COW97" s="44"/>
      <c r="COX97" s="44"/>
      <c r="COY97" s="44"/>
      <c r="COZ97" s="44"/>
      <c r="CPA97" s="44"/>
      <c r="CPB97" s="44"/>
      <c r="CPC97" s="44"/>
      <c r="CPD97" s="44"/>
      <c r="CPE97" s="44"/>
      <c r="CPF97" s="44"/>
      <c r="CPG97" s="44"/>
      <c r="CPH97" s="44"/>
      <c r="CPI97" s="44"/>
      <c r="CPJ97" s="44"/>
      <c r="CPK97" s="44"/>
      <c r="CPL97" s="44"/>
      <c r="CPM97" s="44"/>
      <c r="CPN97" s="44"/>
      <c r="CPO97" s="44"/>
      <c r="CPP97" s="44"/>
      <c r="CPQ97" s="44"/>
      <c r="CPR97" s="44"/>
      <c r="CPS97" s="44"/>
      <c r="CPT97" s="44"/>
      <c r="CPU97" s="44"/>
      <c r="CPV97" s="44"/>
      <c r="CPW97" s="44"/>
      <c r="CPX97" s="44"/>
      <c r="CPY97" s="44"/>
      <c r="CPZ97" s="44"/>
      <c r="CQA97" s="44"/>
      <c r="CQB97" s="44"/>
      <c r="CQC97" s="44"/>
      <c r="CQD97" s="44"/>
      <c r="CQE97" s="44"/>
      <c r="CQF97" s="44"/>
      <c r="CQG97" s="44"/>
      <c r="CQH97" s="44"/>
      <c r="CQI97" s="44"/>
      <c r="CQJ97" s="44"/>
      <c r="CQK97" s="44"/>
      <c r="CQL97" s="44"/>
      <c r="CQM97" s="44"/>
      <c r="CQN97" s="44"/>
      <c r="CQO97" s="44"/>
      <c r="CQP97" s="44"/>
      <c r="CQQ97" s="44"/>
      <c r="CQR97" s="44"/>
      <c r="CQS97" s="44"/>
      <c r="CQT97" s="44"/>
      <c r="CQU97" s="44"/>
      <c r="CQV97" s="44"/>
      <c r="CQW97" s="44"/>
      <c r="CQX97" s="44"/>
      <c r="CQY97" s="44"/>
      <c r="CQZ97" s="44"/>
      <c r="CRA97" s="44"/>
      <c r="CRB97" s="44"/>
      <c r="CRC97" s="44"/>
      <c r="CRD97" s="44"/>
      <c r="CRE97" s="44"/>
      <c r="CRF97" s="44"/>
      <c r="CRG97" s="44"/>
      <c r="CRH97" s="44"/>
      <c r="CRI97" s="44"/>
      <c r="CRJ97" s="44"/>
      <c r="CRK97" s="44"/>
      <c r="CRL97" s="44"/>
      <c r="CRM97" s="44"/>
      <c r="CRN97" s="44"/>
      <c r="CRO97" s="44"/>
      <c r="CRP97" s="44"/>
      <c r="CRQ97" s="44"/>
      <c r="CRR97" s="44"/>
      <c r="CRS97" s="44"/>
      <c r="CRT97" s="44"/>
      <c r="CRU97" s="44"/>
      <c r="CRV97" s="44"/>
      <c r="CRW97" s="44"/>
      <c r="CRX97" s="44"/>
      <c r="CRY97" s="44"/>
      <c r="CRZ97" s="44"/>
      <c r="CSA97" s="44"/>
      <c r="CSB97" s="44"/>
      <c r="CSC97" s="44"/>
      <c r="CSD97" s="44"/>
      <c r="CSE97" s="44"/>
      <c r="CSF97" s="44"/>
      <c r="CSG97" s="44"/>
      <c r="CSH97" s="44"/>
      <c r="CSI97" s="44"/>
      <c r="CSJ97" s="44"/>
      <c r="CSK97" s="44"/>
      <c r="CSL97" s="44"/>
      <c r="CSM97" s="44"/>
      <c r="CSN97" s="44"/>
      <c r="CSO97" s="44"/>
      <c r="CSP97" s="44"/>
      <c r="CSQ97" s="44"/>
      <c r="CSR97" s="44"/>
      <c r="CSS97" s="44"/>
      <c r="CST97" s="44"/>
      <c r="CSU97" s="44"/>
      <c r="CSV97" s="44"/>
      <c r="CSW97" s="44"/>
      <c r="CSX97" s="44"/>
      <c r="CSY97" s="44"/>
      <c r="CSZ97" s="44"/>
      <c r="CTA97" s="44"/>
      <c r="CTB97" s="44"/>
      <c r="CTC97" s="44"/>
      <c r="CTD97" s="44"/>
      <c r="CTE97" s="44"/>
      <c r="CTF97" s="44"/>
      <c r="CTG97" s="44"/>
      <c r="CTH97" s="44"/>
      <c r="CTI97" s="44"/>
      <c r="CTJ97" s="44"/>
      <c r="CTK97" s="44"/>
      <c r="CTL97" s="44"/>
      <c r="CTM97" s="44"/>
      <c r="CTN97" s="44"/>
      <c r="CTO97" s="44"/>
      <c r="CTP97" s="44"/>
      <c r="CTQ97" s="44"/>
      <c r="CTR97" s="44"/>
      <c r="CTS97" s="44"/>
      <c r="CTT97" s="44"/>
      <c r="CTU97" s="44"/>
      <c r="CTV97" s="44"/>
      <c r="CTW97" s="44"/>
      <c r="CTX97" s="44"/>
      <c r="CTY97" s="44"/>
      <c r="CTZ97" s="44"/>
      <c r="CUA97" s="44"/>
      <c r="CUB97" s="44"/>
      <c r="CUC97" s="44"/>
      <c r="CUD97" s="44"/>
      <c r="CUE97" s="44"/>
      <c r="CUF97" s="44"/>
      <c r="CUG97" s="44"/>
      <c r="CUH97" s="44"/>
      <c r="CUI97" s="44"/>
      <c r="CUJ97" s="44"/>
      <c r="CUK97" s="44"/>
      <c r="CUL97" s="44"/>
      <c r="CUM97" s="44"/>
      <c r="CUN97" s="44"/>
      <c r="CUO97" s="44"/>
      <c r="CUP97" s="44"/>
      <c r="CUQ97" s="44"/>
      <c r="CUR97" s="44"/>
      <c r="CUS97" s="44"/>
      <c r="CUT97" s="44"/>
      <c r="CUU97" s="44"/>
      <c r="CUV97" s="44"/>
      <c r="CUW97" s="44"/>
      <c r="CUX97" s="44"/>
      <c r="CUY97" s="44"/>
      <c r="CUZ97" s="44"/>
      <c r="CVA97" s="44"/>
      <c r="CVB97" s="44"/>
      <c r="CVC97" s="44"/>
      <c r="CVD97" s="44"/>
      <c r="CVE97" s="44"/>
      <c r="CVF97" s="44"/>
      <c r="CVG97" s="44"/>
      <c r="CVH97" s="44"/>
      <c r="CVI97" s="44"/>
      <c r="CVJ97" s="44"/>
      <c r="CVK97" s="44"/>
      <c r="CVL97" s="44"/>
      <c r="CVM97" s="44"/>
      <c r="CVN97" s="44"/>
      <c r="CVO97" s="44"/>
      <c r="CVP97" s="44"/>
      <c r="CVQ97" s="44"/>
      <c r="CVR97" s="44"/>
      <c r="CVS97" s="44"/>
      <c r="CVT97" s="44"/>
      <c r="CVU97" s="44"/>
      <c r="CVV97" s="44"/>
      <c r="CVW97" s="44"/>
      <c r="CVX97" s="44"/>
      <c r="CVY97" s="44"/>
      <c r="CVZ97" s="44"/>
      <c r="CWA97" s="44"/>
      <c r="CWB97" s="44"/>
      <c r="CWC97" s="44"/>
      <c r="CWD97" s="44"/>
      <c r="CWE97" s="44"/>
      <c r="CWF97" s="44"/>
      <c r="CWG97" s="44"/>
      <c r="CWH97" s="44"/>
      <c r="CWI97" s="44"/>
      <c r="CWJ97" s="44"/>
      <c r="CWK97" s="44"/>
      <c r="CWL97" s="44"/>
      <c r="CWM97" s="44"/>
      <c r="CWN97" s="44"/>
      <c r="CWO97" s="44"/>
      <c r="CWP97" s="44"/>
      <c r="CWQ97" s="44"/>
      <c r="CWR97" s="44"/>
      <c r="CWS97" s="44"/>
      <c r="CWT97" s="44"/>
      <c r="CWU97" s="44"/>
      <c r="CWV97" s="44"/>
      <c r="CWW97" s="44"/>
      <c r="CWX97" s="44"/>
      <c r="CWY97" s="44"/>
      <c r="CWZ97" s="44"/>
      <c r="CXA97" s="44"/>
      <c r="CXB97" s="44"/>
      <c r="CXC97" s="44"/>
      <c r="CXD97" s="44"/>
      <c r="CXE97" s="44"/>
      <c r="CXF97" s="44"/>
      <c r="CXG97" s="44"/>
      <c r="CXH97" s="44"/>
      <c r="CXI97" s="44"/>
      <c r="CXJ97" s="44"/>
      <c r="CXK97" s="44"/>
      <c r="CXL97" s="44"/>
      <c r="CXM97" s="44"/>
      <c r="CXN97" s="44"/>
      <c r="CXO97" s="44"/>
      <c r="CXP97" s="44"/>
      <c r="CXQ97" s="44"/>
      <c r="CXR97" s="44"/>
      <c r="CXS97" s="44"/>
      <c r="CXT97" s="44"/>
      <c r="CXU97" s="44"/>
      <c r="CXV97" s="44"/>
      <c r="CXW97" s="44"/>
      <c r="CXX97" s="44"/>
      <c r="CXY97" s="44"/>
      <c r="CXZ97" s="44"/>
      <c r="CYA97" s="44"/>
      <c r="CYB97" s="44"/>
      <c r="CYC97" s="44"/>
      <c r="CYD97" s="44"/>
      <c r="CYE97" s="44"/>
      <c r="CYF97" s="44"/>
      <c r="CYG97" s="44"/>
      <c r="CYH97" s="44"/>
      <c r="CYI97" s="44"/>
      <c r="CYJ97" s="44"/>
      <c r="CYK97" s="44"/>
      <c r="CYL97" s="44"/>
      <c r="CYM97" s="44"/>
      <c r="CYN97" s="44"/>
      <c r="CYO97" s="44"/>
      <c r="CYP97" s="44"/>
      <c r="CYQ97" s="44"/>
      <c r="CYR97" s="44"/>
      <c r="CYS97" s="44"/>
      <c r="CYT97" s="44"/>
      <c r="CYU97" s="44"/>
      <c r="CYV97" s="44"/>
      <c r="CYW97" s="44"/>
      <c r="CYX97" s="44"/>
      <c r="CYY97" s="44"/>
      <c r="CYZ97" s="44"/>
      <c r="CZA97" s="44"/>
      <c r="CZB97" s="44"/>
      <c r="CZC97" s="44"/>
      <c r="CZD97" s="44"/>
      <c r="CZE97" s="44"/>
      <c r="CZF97" s="44"/>
      <c r="CZG97" s="44"/>
      <c r="CZH97" s="44"/>
      <c r="CZI97" s="44"/>
      <c r="CZJ97" s="44"/>
      <c r="CZK97" s="44"/>
      <c r="CZL97" s="44"/>
      <c r="CZM97" s="44"/>
      <c r="CZN97" s="44"/>
      <c r="CZO97" s="44"/>
      <c r="CZP97" s="44"/>
      <c r="CZQ97" s="44"/>
      <c r="CZR97" s="44"/>
      <c r="CZS97" s="44"/>
      <c r="CZT97" s="44"/>
      <c r="CZU97" s="44"/>
      <c r="CZV97" s="44"/>
      <c r="CZW97" s="44"/>
      <c r="CZX97" s="44"/>
      <c r="CZY97" s="44"/>
      <c r="CZZ97" s="44"/>
      <c r="DAA97" s="44"/>
      <c r="DAB97" s="44"/>
      <c r="DAC97" s="44"/>
      <c r="DAD97" s="44"/>
      <c r="DAE97" s="44"/>
      <c r="DAF97" s="44"/>
      <c r="DAG97" s="44"/>
      <c r="DAH97" s="44"/>
      <c r="DAI97" s="44"/>
      <c r="DAJ97" s="44"/>
      <c r="DAK97" s="44"/>
      <c r="DAL97" s="44"/>
      <c r="DAM97" s="44"/>
      <c r="DAN97" s="44"/>
      <c r="DAO97" s="44"/>
      <c r="DAP97" s="44"/>
      <c r="DAQ97" s="44"/>
      <c r="DAR97" s="44"/>
      <c r="DAS97" s="44"/>
      <c r="DAT97" s="44"/>
      <c r="DAU97" s="44"/>
      <c r="DAV97" s="44"/>
      <c r="DAW97" s="44"/>
      <c r="DAX97" s="44"/>
      <c r="DAY97" s="44"/>
      <c r="DAZ97" s="44"/>
      <c r="DBA97" s="44"/>
      <c r="DBB97" s="44"/>
      <c r="DBC97" s="44"/>
      <c r="DBD97" s="44"/>
      <c r="DBE97" s="44"/>
      <c r="DBF97" s="44"/>
      <c r="DBG97" s="44"/>
      <c r="DBH97" s="44"/>
      <c r="DBI97" s="44"/>
      <c r="DBJ97" s="44"/>
      <c r="DBK97" s="44"/>
      <c r="DBL97" s="44"/>
      <c r="DBM97" s="44"/>
      <c r="DBN97" s="44"/>
      <c r="DBO97" s="44"/>
      <c r="DBP97" s="44"/>
      <c r="DBQ97" s="44"/>
      <c r="DBR97" s="44"/>
      <c r="DBS97" s="44"/>
      <c r="DBT97" s="44"/>
      <c r="DBU97" s="44"/>
      <c r="DBV97" s="44"/>
      <c r="DBW97" s="44"/>
      <c r="DBX97" s="44"/>
      <c r="DBY97" s="44"/>
      <c r="DBZ97" s="44"/>
      <c r="DCA97" s="44"/>
      <c r="DCB97" s="44"/>
      <c r="DCC97" s="44"/>
      <c r="DCD97" s="44"/>
      <c r="DCE97" s="44"/>
      <c r="DCF97" s="44"/>
      <c r="DCG97" s="44"/>
      <c r="DCH97" s="44"/>
      <c r="DCI97" s="44"/>
      <c r="DCJ97" s="44"/>
      <c r="DCK97" s="44"/>
      <c r="DCL97" s="44"/>
      <c r="DCM97" s="44"/>
      <c r="DCN97" s="44"/>
      <c r="DCO97" s="44"/>
      <c r="DCP97" s="44"/>
      <c r="DCQ97" s="44"/>
      <c r="DCR97" s="44"/>
      <c r="DCS97" s="44"/>
      <c r="DCT97" s="44"/>
      <c r="DCU97" s="44"/>
      <c r="DCV97" s="44"/>
      <c r="DCW97" s="44"/>
      <c r="DCX97" s="44"/>
      <c r="DCY97" s="44"/>
      <c r="DCZ97" s="44"/>
      <c r="DDA97" s="44"/>
      <c r="DDB97" s="44"/>
      <c r="DDC97" s="44"/>
      <c r="DDD97" s="44"/>
      <c r="DDE97" s="44"/>
      <c r="DDF97" s="44"/>
      <c r="DDG97" s="44"/>
      <c r="DDH97" s="44"/>
      <c r="DDI97" s="44"/>
      <c r="DDJ97" s="44"/>
      <c r="DDK97" s="44"/>
      <c r="DDL97" s="44"/>
      <c r="DDM97" s="44"/>
      <c r="DDN97" s="44"/>
      <c r="DDO97" s="44"/>
      <c r="DDP97" s="44"/>
      <c r="DDQ97" s="44"/>
      <c r="DDR97" s="44"/>
      <c r="DDS97" s="44"/>
      <c r="DDT97" s="44"/>
      <c r="DDU97" s="44"/>
      <c r="DDV97" s="44"/>
      <c r="DDW97" s="44"/>
      <c r="DDX97" s="44"/>
      <c r="DDY97" s="44"/>
      <c r="DDZ97" s="44"/>
      <c r="DEA97" s="44"/>
      <c r="DEB97" s="44"/>
      <c r="DEC97" s="44"/>
      <c r="DED97" s="44"/>
      <c r="DEE97" s="44"/>
      <c r="DEF97" s="44"/>
      <c r="DEG97" s="44"/>
      <c r="DEH97" s="44"/>
      <c r="DEI97" s="44"/>
      <c r="DEJ97" s="44"/>
      <c r="DEK97" s="44"/>
      <c r="DEL97" s="44"/>
      <c r="DEM97" s="44"/>
      <c r="DEN97" s="44"/>
      <c r="DEO97" s="44"/>
      <c r="DEP97" s="44"/>
      <c r="DEQ97" s="44"/>
      <c r="DER97" s="44"/>
      <c r="DES97" s="44"/>
      <c r="DET97" s="44"/>
      <c r="DEU97" s="44"/>
      <c r="DEV97" s="44"/>
      <c r="DEW97" s="44"/>
      <c r="DEX97" s="44"/>
      <c r="DEY97" s="44"/>
      <c r="DEZ97" s="44"/>
      <c r="DFA97" s="44"/>
      <c r="DFB97" s="44"/>
      <c r="DFC97" s="44"/>
      <c r="DFD97" s="44"/>
      <c r="DFE97" s="44"/>
      <c r="DFF97" s="44"/>
      <c r="DFG97" s="44"/>
      <c r="DFH97" s="44"/>
      <c r="DFI97" s="44"/>
      <c r="DFJ97" s="44"/>
      <c r="DFK97" s="44"/>
      <c r="DFL97" s="44"/>
      <c r="DFM97" s="44"/>
      <c r="DFN97" s="44"/>
      <c r="DFO97" s="44"/>
      <c r="DFP97" s="44"/>
      <c r="DFQ97" s="44"/>
      <c r="DFR97" s="44"/>
      <c r="DFS97" s="44"/>
      <c r="DFT97" s="44"/>
      <c r="DFU97" s="44"/>
      <c r="DFV97" s="44"/>
      <c r="DFW97" s="44"/>
      <c r="DFX97" s="44"/>
      <c r="DFY97" s="44"/>
      <c r="DFZ97" s="44"/>
      <c r="DGA97" s="44"/>
      <c r="DGB97" s="44"/>
      <c r="DGC97" s="44"/>
      <c r="DGD97" s="44"/>
      <c r="DGE97" s="44"/>
      <c r="DGF97" s="44"/>
      <c r="DGG97" s="44"/>
      <c r="DGH97" s="44"/>
      <c r="DGI97" s="44"/>
      <c r="DGJ97" s="44"/>
      <c r="DGK97" s="44"/>
      <c r="DGL97" s="44"/>
      <c r="DGM97" s="44"/>
      <c r="DGN97" s="44"/>
      <c r="DGO97" s="44"/>
      <c r="DGP97" s="44"/>
      <c r="DGQ97" s="44"/>
      <c r="DGR97" s="44"/>
      <c r="DGS97" s="44"/>
      <c r="DGT97" s="44"/>
      <c r="DGU97" s="44"/>
      <c r="DGV97" s="44"/>
      <c r="DGW97" s="44"/>
      <c r="DGX97" s="44"/>
      <c r="DGY97" s="44"/>
      <c r="DGZ97" s="44"/>
      <c r="DHA97" s="44"/>
      <c r="DHB97" s="44"/>
      <c r="DHC97" s="44"/>
      <c r="DHD97" s="44"/>
      <c r="DHE97" s="44"/>
      <c r="DHF97" s="44"/>
      <c r="DHG97" s="44"/>
      <c r="DHH97" s="44"/>
      <c r="DHI97" s="44"/>
      <c r="DHJ97" s="44"/>
      <c r="DHK97" s="44"/>
      <c r="DHL97" s="44"/>
      <c r="DHM97" s="44"/>
      <c r="DHN97" s="44"/>
      <c r="DHO97" s="44"/>
      <c r="DHP97" s="44"/>
      <c r="DHQ97" s="44"/>
      <c r="DHR97" s="44"/>
      <c r="DHS97" s="44"/>
      <c r="DHT97" s="44"/>
      <c r="DHU97" s="44"/>
      <c r="DHV97" s="44"/>
      <c r="DHW97" s="44"/>
      <c r="DHX97" s="44"/>
      <c r="DHY97" s="44"/>
      <c r="DHZ97" s="44"/>
      <c r="DIA97" s="44"/>
      <c r="DIB97" s="44"/>
      <c r="DIC97" s="44"/>
      <c r="DID97" s="44"/>
      <c r="DIE97" s="44"/>
      <c r="DIF97" s="44"/>
      <c r="DIG97" s="44"/>
      <c r="DIH97" s="44"/>
      <c r="DII97" s="44"/>
      <c r="DIJ97" s="44"/>
      <c r="DIK97" s="44"/>
      <c r="DIL97" s="44"/>
      <c r="DIM97" s="44"/>
      <c r="DIN97" s="44"/>
      <c r="DIO97" s="44"/>
      <c r="DIP97" s="44"/>
      <c r="DIQ97" s="44"/>
      <c r="DIR97" s="44"/>
      <c r="DIS97" s="44"/>
      <c r="DIT97" s="44"/>
      <c r="DIU97" s="44"/>
      <c r="DIV97" s="44"/>
      <c r="DIW97" s="44"/>
      <c r="DIX97" s="44"/>
      <c r="DIY97" s="44"/>
      <c r="DIZ97" s="44"/>
      <c r="DJA97" s="44"/>
      <c r="DJB97" s="44"/>
      <c r="DJC97" s="44"/>
      <c r="DJD97" s="44"/>
      <c r="DJE97" s="44"/>
      <c r="DJF97" s="44"/>
      <c r="DJG97" s="44"/>
      <c r="DJH97" s="44"/>
      <c r="DJI97" s="44"/>
      <c r="DJJ97" s="44"/>
      <c r="DJK97" s="44"/>
      <c r="DJL97" s="44"/>
      <c r="DJM97" s="44"/>
      <c r="DJN97" s="44"/>
      <c r="DJO97" s="44"/>
      <c r="DJP97" s="44"/>
      <c r="DJQ97" s="44"/>
      <c r="DJR97" s="44"/>
      <c r="DJS97" s="44"/>
      <c r="DJT97" s="44"/>
      <c r="DJU97" s="44"/>
      <c r="DJV97" s="44"/>
      <c r="DJW97" s="44"/>
      <c r="DJX97" s="44"/>
      <c r="DJY97" s="44"/>
      <c r="DJZ97" s="44"/>
      <c r="DKA97" s="44"/>
      <c r="DKB97" s="44"/>
      <c r="DKC97" s="44"/>
      <c r="DKD97" s="44"/>
      <c r="DKE97" s="44"/>
      <c r="DKF97" s="44"/>
      <c r="DKG97" s="44"/>
      <c r="DKH97" s="44"/>
      <c r="DKI97" s="44"/>
      <c r="DKJ97" s="44"/>
      <c r="DKK97" s="44"/>
      <c r="DKL97" s="44"/>
      <c r="DKM97" s="44"/>
      <c r="DKN97" s="44"/>
      <c r="DKO97" s="44"/>
      <c r="DKP97" s="44"/>
      <c r="DKQ97" s="44"/>
      <c r="DKR97" s="44"/>
      <c r="DKS97" s="44"/>
      <c r="DKT97" s="44"/>
      <c r="DKU97" s="44"/>
      <c r="DKV97" s="44"/>
      <c r="DKW97" s="44"/>
      <c r="DKX97" s="44"/>
      <c r="DKY97" s="44"/>
      <c r="DKZ97" s="44"/>
      <c r="DLA97" s="44"/>
      <c r="DLB97" s="44"/>
      <c r="DLC97" s="44"/>
      <c r="DLD97" s="44"/>
      <c r="DLE97" s="44"/>
      <c r="DLF97" s="44"/>
      <c r="DLG97" s="44"/>
      <c r="DLH97" s="44"/>
      <c r="DLI97" s="44"/>
      <c r="DLJ97" s="44"/>
      <c r="DLK97" s="44"/>
      <c r="DLL97" s="44"/>
      <c r="DLM97" s="44"/>
      <c r="DLN97" s="44"/>
      <c r="DLO97" s="44"/>
      <c r="DLP97" s="44"/>
      <c r="DLQ97" s="44"/>
      <c r="DLR97" s="44"/>
      <c r="DLS97" s="44"/>
      <c r="DLT97" s="44"/>
      <c r="DLU97" s="44"/>
      <c r="DLV97" s="44"/>
      <c r="DLW97" s="44"/>
      <c r="DLX97" s="44"/>
      <c r="DLY97" s="44"/>
      <c r="DLZ97" s="44"/>
      <c r="DMA97" s="44"/>
      <c r="DMB97" s="44"/>
      <c r="DMC97" s="44"/>
      <c r="DMD97" s="44"/>
      <c r="DME97" s="44"/>
      <c r="DMF97" s="44"/>
      <c r="DMG97" s="44"/>
      <c r="DMH97" s="44"/>
      <c r="DMI97" s="44"/>
      <c r="DMJ97" s="44"/>
      <c r="DMK97" s="44"/>
      <c r="DML97" s="44"/>
      <c r="DMM97" s="44"/>
      <c r="DMN97" s="44"/>
      <c r="DMO97" s="44"/>
      <c r="DMP97" s="44"/>
      <c r="DMQ97" s="44"/>
      <c r="DMR97" s="44"/>
      <c r="DMS97" s="44"/>
      <c r="DMT97" s="44"/>
      <c r="DMU97" s="44"/>
      <c r="DMV97" s="44"/>
      <c r="DMW97" s="44"/>
      <c r="DMX97" s="44"/>
      <c r="DMY97" s="44"/>
      <c r="DMZ97" s="44"/>
      <c r="DNA97" s="44"/>
      <c r="DNB97" s="44"/>
      <c r="DNC97" s="44"/>
      <c r="DND97" s="44"/>
      <c r="DNE97" s="44"/>
      <c r="DNF97" s="44"/>
      <c r="DNG97" s="44"/>
      <c r="DNH97" s="44"/>
      <c r="DNI97" s="44"/>
      <c r="DNJ97" s="44"/>
      <c r="DNK97" s="44"/>
      <c r="DNL97" s="44"/>
      <c r="DNM97" s="44"/>
      <c r="DNN97" s="44"/>
      <c r="DNO97" s="44"/>
      <c r="DNP97" s="44"/>
      <c r="DNQ97" s="44"/>
      <c r="DNR97" s="44"/>
      <c r="DNS97" s="44"/>
      <c r="DNT97" s="44"/>
      <c r="DNU97" s="44"/>
      <c r="DNV97" s="44"/>
      <c r="DNW97" s="44"/>
      <c r="DNX97" s="44"/>
      <c r="DNY97" s="44"/>
      <c r="DNZ97" s="44"/>
      <c r="DOA97" s="44"/>
      <c r="DOB97" s="44"/>
      <c r="DOC97" s="44"/>
      <c r="DOD97" s="44"/>
      <c r="DOE97" s="44"/>
      <c r="DOF97" s="44"/>
      <c r="DOG97" s="44"/>
      <c r="DOH97" s="44"/>
      <c r="DOI97" s="44"/>
      <c r="DOJ97" s="44"/>
      <c r="DOK97" s="44"/>
      <c r="DOL97" s="44"/>
      <c r="DOM97" s="44"/>
      <c r="DON97" s="44"/>
      <c r="DOO97" s="44"/>
      <c r="DOP97" s="44"/>
      <c r="DOQ97" s="44"/>
      <c r="DOR97" s="44"/>
      <c r="DOS97" s="44"/>
      <c r="DOT97" s="44"/>
      <c r="DOU97" s="44"/>
      <c r="DOV97" s="44"/>
      <c r="DOW97" s="44"/>
      <c r="DOX97" s="44"/>
      <c r="DOY97" s="44"/>
      <c r="DOZ97" s="44"/>
      <c r="DPA97" s="44"/>
      <c r="DPB97" s="44"/>
      <c r="DPC97" s="44"/>
      <c r="DPD97" s="44"/>
      <c r="DPE97" s="44"/>
      <c r="DPF97" s="44"/>
      <c r="DPG97" s="44"/>
      <c r="DPH97" s="44"/>
      <c r="DPI97" s="44"/>
      <c r="DPJ97" s="44"/>
      <c r="DPK97" s="44"/>
      <c r="DPL97" s="44"/>
      <c r="DPM97" s="44"/>
      <c r="DPN97" s="44"/>
      <c r="DPO97" s="44"/>
      <c r="DPP97" s="44"/>
      <c r="DPQ97" s="44"/>
      <c r="DPR97" s="44"/>
      <c r="DPS97" s="44"/>
      <c r="DPT97" s="44"/>
      <c r="DPU97" s="44"/>
      <c r="DPV97" s="44"/>
      <c r="DPW97" s="44"/>
      <c r="DPX97" s="44"/>
      <c r="DPY97" s="44"/>
      <c r="DPZ97" s="44"/>
      <c r="DQA97" s="44"/>
      <c r="DQB97" s="44"/>
      <c r="DQC97" s="44"/>
      <c r="DQD97" s="44"/>
      <c r="DQE97" s="44"/>
      <c r="DQF97" s="44"/>
      <c r="DQG97" s="44"/>
      <c r="DQH97" s="44"/>
      <c r="DQI97" s="44"/>
      <c r="DQJ97" s="44"/>
      <c r="DQK97" s="44"/>
      <c r="DQL97" s="44"/>
      <c r="DQM97" s="44"/>
      <c r="DQN97" s="44"/>
      <c r="DQO97" s="44"/>
      <c r="DQP97" s="44"/>
      <c r="DQQ97" s="44"/>
      <c r="DQR97" s="44"/>
      <c r="DQS97" s="44"/>
      <c r="DQT97" s="44"/>
      <c r="DQU97" s="44"/>
      <c r="DQV97" s="44"/>
      <c r="DQW97" s="44"/>
      <c r="DQX97" s="44"/>
      <c r="DQY97" s="44"/>
      <c r="DQZ97" s="44"/>
      <c r="DRA97" s="44"/>
      <c r="DRB97" s="44"/>
      <c r="DRC97" s="44"/>
      <c r="DRD97" s="44"/>
      <c r="DRE97" s="44"/>
      <c r="DRF97" s="44"/>
      <c r="DRG97" s="44"/>
      <c r="DRH97" s="44"/>
      <c r="DRI97" s="44"/>
      <c r="DRJ97" s="44"/>
      <c r="DRK97" s="44"/>
      <c r="DRL97" s="44"/>
      <c r="DRM97" s="44"/>
      <c r="DRN97" s="44"/>
      <c r="DRO97" s="44"/>
      <c r="DRP97" s="44"/>
      <c r="DRQ97" s="44"/>
      <c r="DRR97" s="44"/>
      <c r="DRS97" s="44"/>
      <c r="DRT97" s="44"/>
      <c r="DRU97" s="44"/>
      <c r="DRV97" s="44"/>
      <c r="DRW97" s="44"/>
      <c r="DRX97" s="44"/>
      <c r="DRY97" s="44"/>
      <c r="DRZ97" s="44"/>
      <c r="DSA97" s="44"/>
      <c r="DSB97" s="44"/>
      <c r="DSC97" s="44"/>
      <c r="DSD97" s="44"/>
      <c r="DSE97" s="44"/>
      <c r="DSF97" s="44"/>
      <c r="DSG97" s="44"/>
      <c r="DSH97" s="44"/>
      <c r="DSI97" s="44"/>
      <c r="DSJ97" s="44"/>
      <c r="DSK97" s="44"/>
      <c r="DSL97" s="44"/>
      <c r="DSM97" s="44"/>
      <c r="DSN97" s="44"/>
      <c r="DSO97" s="44"/>
      <c r="DSP97" s="44"/>
      <c r="DSQ97" s="44"/>
      <c r="DSR97" s="44"/>
      <c r="DSS97" s="44"/>
      <c r="DST97" s="44"/>
      <c r="DSU97" s="44"/>
      <c r="DSV97" s="44"/>
      <c r="DSW97" s="44"/>
      <c r="DSX97" s="44"/>
      <c r="DSY97" s="44"/>
      <c r="DSZ97" s="44"/>
      <c r="DTA97" s="44"/>
      <c r="DTB97" s="44"/>
      <c r="DTC97" s="44"/>
      <c r="DTD97" s="44"/>
      <c r="DTE97" s="44"/>
      <c r="DTF97" s="44"/>
      <c r="DTG97" s="44"/>
      <c r="DTH97" s="44"/>
      <c r="DTI97" s="44"/>
      <c r="DTJ97" s="44"/>
      <c r="DTK97" s="44"/>
      <c r="DTL97" s="44"/>
      <c r="DTM97" s="44"/>
      <c r="DTN97" s="44"/>
      <c r="DTO97" s="44"/>
      <c r="DTP97" s="44"/>
      <c r="DTQ97" s="44"/>
      <c r="DTR97" s="44"/>
      <c r="DTS97" s="44"/>
      <c r="DTT97" s="44"/>
      <c r="DTU97" s="44"/>
      <c r="DTV97" s="44"/>
      <c r="DTW97" s="44"/>
      <c r="DTX97" s="44"/>
      <c r="DTY97" s="44"/>
      <c r="DTZ97" s="44"/>
      <c r="DUA97" s="44"/>
      <c r="DUB97" s="44"/>
      <c r="DUC97" s="44"/>
      <c r="DUD97" s="44"/>
      <c r="DUE97" s="44"/>
      <c r="DUF97" s="44"/>
      <c r="DUG97" s="44"/>
      <c r="DUH97" s="44"/>
      <c r="DUI97" s="44"/>
      <c r="DUJ97" s="44"/>
      <c r="DUK97" s="44"/>
      <c r="DUL97" s="44"/>
      <c r="DUM97" s="44"/>
      <c r="DUN97" s="44"/>
      <c r="DUO97" s="44"/>
      <c r="DUP97" s="44"/>
      <c r="DUQ97" s="44"/>
      <c r="DUR97" s="44"/>
      <c r="DUS97" s="44"/>
      <c r="DUT97" s="44"/>
      <c r="DUU97" s="44"/>
      <c r="DUV97" s="44"/>
      <c r="DUW97" s="44"/>
      <c r="DUX97" s="44"/>
      <c r="DUY97" s="44"/>
      <c r="DUZ97" s="44"/>
      <c r="DVA97" s="44"/>
      <c r="DVB97" s="44"/>
      <c r="DVC97" s="44"/>
      <c r="DVD97" s="44"/>
      <c r="DVE97" s="44"/>
      <c r="DVF97" s="44"/>
      <c r="DVG97" s="44"/>
      <c r="DVH97" s="44"/>
      <c r="DVI97" s="44"/>
      <c r="DVJ97" s="44"/>
      <c r="DVK97" s="44"/>
      <c r="DVL97" s="44"/>
      <c r="DVM97" s="44"/>
      <c r="DVN97" s="44"/>
      <c r="DVO97" s="44"/>
      <c r="DVP97" s="44"/>
      <c r="DVQ97" s="44"/>
      <c r="DVR97" s="44"/>
      <c r="DVS97" s="44"/>
      <c r="DVT97" s="44"/>
      <c r="DVU97" s="44"/>
      <c r="DVV97" s="44"/>
      <c r="DVW97" s="44"/>
      <c r="DVX97" s="44"/>
      <c r="DVY97" s="44"/>
      <c r="DVZ97" s="44"/>
      <c r="DWA97" s="44"/>
      <c r="DWB97" s="44"/>
      <c r="DWC97" s="44"/>
      <c r="DWD97" s="44"/>
      <c r="DWE97" s="44"/>
      <c r="DWF97" s="44"/>
      <c r="DWG97" s="44"/>
      <c r="DWH97" s="44"/>
      <c r="DWI97" s="44"/>
      <c r="DWJ97" s="44"/>
      <c r="DWK97" s="44"/>
      <c r="DWL97" s="44"/>
      <c r="DWM97" s="44"/>
      <c r="DWN97" s="44"/>
      <c r="DWO97" s="44"/>
      <c r="DWP97" s="44"/>
      <c r="DWQ97" s="44"/>
      <c r="DWR97" s="44"/>
      <c r="DWS97" s="44"/>
      <c r="DWT97" s="44"/>
      <c r="DWU97" s="44"/>
      <c r="DWV97" s="44"/>
      <c r="DWW97" s="44"/>
      <c r="DWX97" s="44"/>
      <c r="DWY97" s="44"/>
      <c r="DWZ97" s="44"/>
      <c r="DXA97" s="44"/>
      <c r="DXB97" s="44"/>
      <c r="DXC97" s="44"/>
      <c r="DXD97" s="44"/>
      <c r="DXE97" s="44"/>
      <c r="DXF97" s="44"/>
      <c r="DXG97" s="44"/>
      <c r="DXH97" s="44"/>
      <c r="DXI97" s="44"/>
      <c r="DXJ97" s="44"/>
      <c r="DXK97" s="44"/>
      <c r="DXL97" s="44"/>
      <c r="DXM97" s="44"/>
      <c r="DXN97" s="44"/>
      <c r="DXO97" s="44"/>
      <c r="DXP97" s="44"/>
      <c r="DXQ97" s="44"/>
      <c r="DXR97" s="44"/>
      <c r="DXS97" s="44"/>
      <c r="DXT97" s="44"/>
      <c r="DXU97" s="44"/>
      <c r="DXV97" s="44"/>
      <c r="DXW97" s="44"/>
      <c r="DXX97" s="44"/>
      <c r="DXY97" s="44"/>
      <c r="DXZ97" s="44"/>
      <c r="DYA97" s="44"/>
      <c r="DYB97" s="44"/>
      <c r="DYC97" s="44"/>
      <c r="DYD97" s="44"/>
      <c r="DYE97" s="44"/>
      <c r="DYF97" s="44"/>
      <c r="DYG97" s="44"/>
      <c r="DYH97" s="44"/>
      <c r="DYI97" s="44"/>
      <c r="DYJ97" s="44"/>
      <c r="DYK97" s="44"/>
      <c r="DYL97" s="44"/>
      <c r="DYM97" s="44"/>
      <c r="DYN97" s="44"/>
      <c r="DYO97" s="44"/>
      <c r="DYP97" s="44"/>
      <c r="DYQ97" s="44"/>
      <c r="DYR97" s="44"/>
      <c r="DYS97" s="44"/>
      <c r="DYT97" s="44"/>
      <c r="DYU97" s="44"/>
      <c r="DYV97" s="44"/>
      <c r="DYW97" s="44"/>
      <c r="DYX97" s="44"/>
      <c r="DYY97" s="44"/>
      <c r="DYZ97" s="44"/>
      <c r="DZA97" s="44"/>
      <c r="DZB97" s="44"/>
      <c r="DZC97" s="44"/>
      <c r="DZD97" s="44"/>
      <c r="DZE97" s="44"/>
      <c r="DZF97" s="44"/>
      <c r="DZG97" s="44"/>
      <c r="DZH97" s="44"/>
      <c r="DZI97" s="44"/>
      <c r="DZJ97" s="44"/>
      <c r="DZK97" s="44"/>
      <c r="DZL97" s="44"/>
      <c r="DZM97" s="44"/>
      <c r="DZN97" s="44"/>
      <c r="DZO97" s="44"/>
      <c r="DZP97" s="44"/>
      <c r="DZQ97" s="44"/>
      <c r="DZR97" s="44"/>
      <c r="DZS97" s="44"/>
      <c r="DZT97" s="44"/>
      <c r="DZU97" s="44"/>
      <c r="DZV97" s="44"/>
      <c r="DZW97" s="44"/>
      <c r="DZX97" s="44"/>
      <c r="DZY97" s="44"/>
      <c r="DZZ97" s="44"/>
      <c r="EAA97" s="44"/>
      <c r="EAB97" s="44"/>
      <c r="EAC97" s="44"/>
      <c r="EAD97" s="44"/>
      <c r="EAE97" s="44"/>
      <c r="EAF97" s="44"/>
      <c r="EAG97" s="44"/>
      <c r="EAH97" s="44"/>
      <c r="EAI97" s="44"/>
      <c r="EAJ97" s="44"/>
      <c r="EAK97" s="44"/>
      <c r="EAL97" s="44"/>
      <c r="EAM97" s="44"/>
      <c r="EAN97" s="44"/>
      <c r="EAO97" s="44"/>
      <c r="EAP97" s="44"/>
      <c r="EAQ97" s="44"/>
      <c r="EAR97" s="44"/>
      <c r="EAS97" s="44"/>
      <c r="EAT97" s="44"/>
      <c r="EAU97" s="44"/>
      <c r="EAV97" s="44"/>
      <c r="EAW97" s="44"/>
      <c r="EAX97" s="44"/>
      <c r="EAY97" s="44"/>
      <c r="EAZ97" s="44"/>
      <c r="EBA97" s="44"/>
      <c r="EBB97" s="44"/>
      <c r="EBC97" s="44"/>
      <c r="EBD97" s="44"/>
      <c r="EBE97" s="44"/>
      <c r="EBF97" s="44"/>
      <c r="EBG97" s="44"/>
      <c r="EBH97" s="44"/>
      <c r="EBI97" s="44"/>
      <c r="EBJ97" s="44"/>
      <c r="EBK97" s="44"/>
      <c r="EBL97" s="44"/>
      <c r="EBM97" s="44"/>
      <c r="EBN97" s="44"/>
      <c r="EBO97" s="44"/>
      <c r="EBP97" s="44"/>
      <c r="EBQ97" s="44"/>
      <c r="EBR97" s="44"/>
      <c r="EBS97" s="44"/>
      <c r="EBT97" s="44"/>
      <c r="EBU97" s="44"/>
      <c r="EBV97" s="44"/>
      <c r="EBW97" s="44"/>
      <c r="EBX97" s="44"/>
      <c r="EBY97" s="44"/>
      <c r="EBZ97" s="44"/>
      <c r="ECA97" s="44"/>
      <c r="ECB97" s="44"/>
      <c r="ECC97" s="44"/>
      <c r="ECD97" s="44"/>
      <c r="ECE97" s="44"/>
      <c r="ECF97" s="44"/>
      <c r="ECG97" s="44"/>
      <c r="ECH97" s="44"/>
      <c r="ECI97" s="44"/>
      <c r="ECJ97" s="44"/>
      <c r="ECK97" s="44"/>
      <c r="ECL97" s="44"/>
      <c r="ECM97" s="44"/>
      <c r="ECN97" s="44"/>
      <c r="ECO97" s="44"/>
      <c r="ECP97" s="44"/>
      <c r="ECQ97" s="44"/>
      <c r="ECR97" s="44"/>
      <c r="ECS97" s="44"/>
      <c r="ECT97" s="44"/>
      <c r="ECU97" s="44"/>
      <c r="ECV97" s="44"/>
      <c r="ECW97" s="44"/>
      <c r="ECX97" s="44"/>
      <c r="ECY97" s="44"/>
      <c r="ECZ97" s="44"/>
      <c r="EDA97" s="44"/>
      <c r="EDB97" s="44"/>
      <c r="EDC97" s="44"/>
      <c r="EDD97" s="44"/>
      <c r="EDE97" s="44"/>
      <c r="EDF97" s="44"/>
      <c r="EDG97" s="44"/>
      <c r="EDH97" s="44"/>
      <c r="EDI97" s="44"/>
      <c r="EDJ97" s="44"/>
      <c r="EDK97" s="44"/>
      <c r="EDL97" s="44"/>
      <c r="EDM97" s="44"/>
      <c r="EDN97" s="44"/>
      <c r="EDO97" s="44"/>
      <c r="EDP97" s="44"/>
      <c r="EDQ97" s="44"/>
      <c r="EDR97" s="44"/>
      <c r="EDS97" s="44"/>
      <c r="EDT97" s="44"/>
      <c r="EDU97" s="44"/>
      <c r="EDV97" s="44"/>
      <c r="EDW97" s="44"/>
      <c r="EDX97" s="44"/>
      <c r="EDY97" s="44"/>
      <c r="EDZ97" s="44"/>
      <c r="EEA97" s="44"/>
      <c r="EEB97" s="44"/>
      <c r="EEC97" s="44"/>
      <c r="EED97" s="44"/>
      <c r="EEE97" s="44"/>
      <c r="EEF97" s="44"/>
      <c r="EEG97" s="44"/>
      <c r="EEH97" s="44"/>
      <c r="EEI97" s="44"/>
      <c r="EEJ97" s="44"/>
      <c r="EEK97" s="44"/>
      <c r="EEL97" s="44"/>
      <c r="EEM97" s="44"/>
      <c r="EEN97" s="44"/>
      <c r="EEO97" s="44"/>
      <c r="EEP97" s="44"/>
      <c r="EEQ97" s="44"/>
      <c r="EER97" s="44"/>
      <c r="EES97" s="44"/>
      <c r="EET97" s="44"/>
      <c r="EEU97" s="44"/>
      <c r="EEV97" s="44"/>
      <c r="EEW97" s="44"/>
      <c r="EEX97" s="44"/>
      <c r="EEY97" s="44"/>
      <c r="EEZ97" s="44"/>
      <c r="EFA97" s="44"/>
      <c r="EFB97" s="44"/>
      <c r="EFC97" s="44"/>
      <c r="EFD97" s="44"/>
      <c r="EFE97" s="44"/>
      <c r="EFF97" s="44"/>
      <c r="EFG97" s="44"/>
      <c r="EFH97" s="44"/>
      <c r="EFI97" s="44"/>
      <c r="EFJ97" s="44"/>
      <c r="EFK97" s="44"/>
      <c r="EFL97" s="44"/>
      <c r="EFM97" s="44"/>
      <c r="EFN97" s="44"/>
      <c r="EFO97" s="44"/>
      <c r="EFP97" s="44"/>
      <c r="EFQ97" s="44"/>
      <c r="EFR97" s="44"/>
      <c r="EFS97" s="44"/>
      <c r="EFT97" s="44"/>
      <c r="EFU97" s="44"/>
      <c r="EFV97" s="44"/>
      <c r="EFW97" s="44"/>
      <c r="EFX97" s="44"/>
      <c r="EFY97" s="44"/>
      <c r="EFZ97" s="44"/>
      <c r="EGA97" s="44"/>
      <c r="EGB97" s="44"/>
      <c r="EGC97" s="44"/>
      <c r="EGD97" s="44"/>
      <c r="EGE97" s="44"/>
      <c r="EGF97" s="44"/>
      <c r="EGG97" s="44"/>
      <c r="EGH97" s="44"/>
      <c r="EGI97" s="44"/>
      <c r="EGJ97" s="44"/>
      <c r="EGK97" s="44"/>
      <c r="EGL97" s="44"/>
      <c r="EGM97" s="44"/>
      <c r="EGN97" s="44"/>
      <c r="EGO97" s="44"/>
      <c r="EGP97" s="44"/>
      <c r="EGQ97" s="44"/>
      <c r="EGR97" s="44"/>
      <c r="EGS97" s="44"/>
      <c r="EGT97" s="44"/>
      <c r="EGU97" s="44"/>
      <c r="EGV97" s="44"/>
      <c r="EGW97" s="44"/>
      <c r="EGX97" s="44"/>
      <c r="EGY97" s="44"/>
      <c r="EGZ97" s="44"/>
      <c r="EHA97" s="44"/>
      <c r="EHB97" s="44"/>
      <c r="EHC97" s="44"/>
      <c r="EHD97" s="44"/>
      <c r="EHE97" s="44"/>
      <c r="EHF97" s="44"/>
      <c r="EHG97" s="44"/>
      <c r="EHH97" s="44"/>
      <c r="EHI97" s="44"/>
      <c r="EHJ97" s="44"/>
      <c r="EHK97" s="44"/>
      <c r="EHL97" s="44"/>
      <c r="EHM97" s="44"/>
      <c r="EHN97" s="44"/>
      <c r="EHO97" s="44"/>
      <c r="EHP97" s="44"/>
      <c r="EHQ97" s="44"/>
      <c r="EHR97" s="44"/>
      <c r="EHS97" s="44"/>
      <c r="EHT97" s="44"/>
      <c r="EHU97" s="44"/>
      <c r="EHV97" s="44"/>
      <c r="EHW97" s="44"/>
      <c r="EHX97" s="44"/>
      <c r="EHY97" s="44"/>
      <c r="EHZ97" s="44"/>
      <c r="EIA97" s="44"/>
      <c r="EIB97" s="44"/>
      <c r="EIC97" s="44"/>
      <c r="EID97" s="44"/>
      <c r="EIE97" s="44"/>
      <c r="EIF97" s="44"/>
      <c r="EIG97" s="44"/>
      <c r="EIH97" s="44"/>
      <c r="EII97" s="44"/>
      <c r="EIJ97" s="44"/>
      <c r="EIK97" s="44"/>
      <c r="EIL97" s="44"/>
      <c r="EIM97" s="44"/>
      <c r="EIN97" s="44"/>
      <c r="EIO97" s="44"/>
      <c r="EIP97" s="44"/>
      <c r="EIQ97" s="44"/>
      <c r="EIR97" s="44"/>
      <c r="EIS97" s="44"/>
      <c r="EIT97" s="44"/>
      <c r="EIU97" s="44"/>
      <c r="EIV97" s="44"/>
      <c r="EIW97" s="44"/>
      <c r="EIX97" s="44"/>
      <c r="EIY97" s="44"/>
      <c r="EIZ97" s="44"/>
      <c r="EJA97" s="44"/>
      <c r="EJB97" s="44"/>
      <c r="EJC97" s="44"/>
      <c r="EJD97" s="44"/>
      <c r="EJE97" s="44"/>
      <c r="EJF97" s="44"/>
      <c r="EJG97" s="44"/>
      <c r="EJH97" s="44"/>
      <c r="EJI97" s="44"/>
      <c r="EJJ97" s="44"/>
      <c r="EJK97" s="44"/>
      <c r="EJL97" s="44"/>
      <c r="EJM97" s="44"/>
      <c r="EJN97" s="44"/>
      <c r="EJO97" s="44"/>
      <c r="EJP97" s="44"/>
      <c r="EJQ97" s="44"/>
      <c r="EJR97" s="44"/>
      <c r="EJS97" s="44"/>
      <c r="EJT97" s="44"/>
      <c r="EJU97" s="44"/>
      <c r="EJV97" s="44"/>
      <c r="EJW97" s="44"/>
      <c r="EJX97" s="44"/>
      <c r="EJY97" s="44"/>
      <c r="EJZ97" s="44"/>
      <c r="EKA97" s="44"/>
      <c r="EKB97" s="44"/>
      <c r="EKC97" s="44"/>
      <c r="EKD97" s="44"/>
      <c r="EKE97" s="44"/>
      <c r="EKF97" s="44"/>
      <c r="EKG97" s="44"/>
      <c r="EKH97" s="44"/>
      <c r="EKI97" s="44"/>
      <c r="EKJ97" s="44"/>
      <c r="EKK97" s="44"/>
      <c r="EKL97" s="44"/>
      <c r="EKM97" s="44"/>
      <c r="EKN97" s="44"/>
      <c r="EKO97" s="44"/>
      <c r="EKP97" s="44"/>
      <c r="EKQ97" s="44"/>
      <c r="EKR97" s="44"/>
      <c r="EKS97" s="44"/>
      <c r="EKT97" s="44"/>
      <c r="EKU97" s="44"/>
      <c r="EKV97" s="44"/>
      <c r="EKW97" s="44"/>
      <c r="EKX97" s="44"/>
      <c r="EKY97" s="44"/>
      <c r="EKZ97" s="44"/>
      <c r="ELA97" s="44"/>
      <c r="ELB97" s="44"/>
      <c r="ELC97" s="44"/>
      <c r="ELD97" s="44"/>
      <c r="ELE97" s="44"/>
      <c r="ELF97" s="44"/>
      <c r="ELG97" s="44"/>
      <c r="ELH97" s="44"/>
      <c r="ELI97" s="44"/>
      <c r="ELJ97" s="44"/>
      <c r="ELK97" s="44"/>
      <c r="ELL97" s="44"/>
      <c r="ELM97" s="44"/>
      <c r="ELN97" s="44"/>
      <c r="ELO97" s="44"/>
      <c r="ELP97" s="44"/>
      <c r="ELQ97" s="44"/>
      <c r="ELR97" s="44"/>
      <c r="ELS97" s="44"/>
      <c r="ELT97" s="44"/>
      <c r="ELU97" s="44"/>
      <c r="ELV97" s="44"/>
      <c r="ELW97" s="44"/>
      <c r="ELX97" s="44"/>
      <c r="ELY97" s="44"/>
      <c r="ELZ97" s="44"/>
      <c r="EMA97" s="44"/>
      <c r="EMB97" s="44"/>
      <c r="EMC97" s="44"/>
      <c r="EMD97" s="44"/>
      <c r="EME97" s="44"/>
      <c r="EMF97" s="44"/>
      <c r="EMG97" s="44"/>
      <c r="EMH97" s="44"/>
      <c r="EMI97" s="44"/>
      <c r="EMJ97" s="44"/>
      <c r="EMK97" s="44"/>
      <c r="EML97" s="44"/>
      <c r="EMM97" s="44"/>
      <c r="EMN97" s="44"/>
      <c r="EMO97" s="44"/>
      <c r="EMP97" s="44"/>
      <c r="EMQ97" s="44"/>
      <c r="EMR97" s="44"/>
      <c r="EMS97" s="44"/>
      <c r="EMT97" s="44"/>
      <c r="EMU97" s="44"/>
      <c r="EMV97" s="44"/>
      <c r="EMW97" s="44"/>
      <c r="EMX97" s="44"/>
      <c r="EMY97" s="44"/>
      <c r="EMZ97" s="44"/>
      <c r="ENA97" s="44"/>
      <c r="ENB97" s="44"/>
      <c r="ENC97" s="44"/>
      <c r="END97" s="44"/>
      <c r="ENE97" s="44"/>
      <c r="ENF97" s="44"/>
      <c r="ENG97" s="44"/>
      <c r="ENH97" s="44"/>
      <c r="ENI97" s="44"/>
      <c r="ENJ97" s="44"/>
      <c r="ENK97" s="44"/>
      <c r="ENL97" s="44"/>
      <c r="ENM97" s="44"/>
      <c r="ENN97" s="44"/>
      <c r="ENO97" s="44"/>
      <c r="ENP97" s="44"/>
      <c r="ENQ97" s="44"/>
      <c r="ENR97" s="44"/>
      <c r="ENS97" s="44"/>
      <c r="ENT97" s="44"/>
      <c r="ENU97" s="44"/>
      <c r="ENV97" s="44"/>
      <c r="ENW97" s="44"/>
      <c r="ENX97" s="44"/>
      <c r="ENY97" s="44"/>
      <c r="ENZ97" s="44"/>
      <c r="EOA97" s="44"/>
      <c r="EOB97" s="44"/>
      <c r="EOC97" s="44"/>
      <c r="EOD97" s="44"/>
      <c r="EOE97" s="44"/>
      <c r="EOF97" s="44"/>
      <c r="EOG97" s="44"/>
      <c r="EOH97" s="44"/>
      <c r="EOI97" s="44"/>
      <c r="EOJ97" s="44"/>
      <c r="EOK97" s="44"/>
      <c r="EOL97" s="44"/>
      <c r="EOM97" s="44"/>
      <c r="EON97" s="44"/>
      <c r="EOO97" s="44"/>
      <c r="EOP97" s="44"/>
      <c r="EOQ97" s="44"/>
      <c r="EOR97" s="44"/>
      <c r="EOS97" s="44"/>
      <c r="EOT97" s="44"/>
      <c r="EOU97" s="44"/>
      <c r="EOV97" s="44"/>
      <c r="EOW97" s="44"/>
      <c r="EOX97" s="44"/>
      <c r="EOY97" s="44"/>
      <c r="EOZ97" s="44"/>
      <c r="EPA97" s="44"/>
      <c r="EPB97" s="44"/>
      <c r="EPC97" s="44"/>
      <c r="EPD97" s="44"/>
      <c r="EPE97" s="44"/>
      <c r="EPF97" s="44"/>
      <c r="EPG97" s="44"/>
      <c r="EPH97" s="44"/>
      <c r="EPI97" s="44"/>
      <c r="EPJ97" s="44"/>
      <c r="EPK97" s="44"/>
      <c r="EPL97" s="44"/>
      <c r="EPM97" s="44"/>
      <c r="EPN97" s="44"/>
      <c r="EPO97" s="44"/>
      <c r="EPP97" s="44"/>
      <c r="EPQ97" s="44"/>
      <c r="EPR97" s="44"/>
      <c r="EPS97" s="44"/>
      <c r="EPT97" s="44"/>
      <c r="EPU97" s="44"/>
      <c r="EPV97" s="44"/>
      <c r="EPW97" s="44"/>
      <c r="EPX97" s="44"/>
      <c r="EPY97" s="44"/>
      <c r="EPZ97" s="44"/>
      <c r="EQA97" s="44"/>
      <c r="EQB97" s="44"/>
      <c r="EQC97" s="44"/>
      <c r="EQD97" s="44"/>
      <c r="EQE97" s="44"/>
      <c r="EQF97" s="44"/>
      <c r="EQG97" s="44"/>
      <c r="EQH97" s="44"/>
      <c r="EQI97" s="44"/>
      <c r="EQJ97" s="44"/>
      <c r="EQK97" s="44"/>
      <c r="EQL97" s="44"/>
      <c r="EQM97" s="44"/>
      <c r="EQN97" s="44"/>
      <c r="EQO97" s="44"/>
      <c r="EQP97" s="44"/>
      <c r="EQQ97" s="44"/>
      <c r="EQR97" s="44"/>
      <c r="EQS97" s="44"/>
      <c r="EQT97" s="44"/>
      <c r="EQU97" s="44"/>
      <c r="EQV97" s="44"/>
      <c r="EQW97" s="44"/>
      <c r="EQX97" s="44"/>
      <c r="EQY97" s="44"/>
      <c r="EQZ97" s="44"/>
      <c r="ERA97" s="44"/>
      <c r="ERB97" s="44"/>
      <c r="ERC97" s="44"/>
      <c r="ERD97" s="44"/>
      <c r="ERE97" s="44"/>
      <c r="ERF97" s="44"/>
      <c r="ERG97" s="44"/>
      <c r="ERH97" s="44"/>
      <c r="ERI97" s="44"/>
      <c r="ERJ97" s="44"/>
      <c r="ERK97" s="44"/>
      <c r="ERL97" s="44"/>
      <c r="ERM97" s="44"/>
      <c r="ERN97" s="44"/>
      <c r="ERO97" s="44"/>
      <c r="ERP97" s="44"/>
      <c r="ERQ97" s="44"/>
      <c r="ERR97" s="44"/>
      <c r="ERS97" s="44"/>
      <c r="ERT97" s="44"/>
      <c r="ERU97" s="44"/>
      <c r="ERV97" s="44"/>
      <c r="ERW97" s="44"/>
      <c r="ERX97" s="44"/>
      <c r="ERY97" s="44"/>
      <c r="ERZ97" s="44"/>
      <c r="ESA97" s="44"/>
      <c r="ESB97" s="44"/>
      <c r="ESC97" s="44"/>
      <c r="ESD97" s="44"/>
      <c r="ESE97" s="44"/>
      <c r="ESF97" s="44"/>
      <c r="ESG97" s="44"/>
      <c r="ESH97" s="44"/>
      <c r="ESI97" s="44"/>
      <c r="ESJ97" s="44"/>
      <c r="ESK97" s="44"/>
      <c r="ESL97" s="44"/>
      <c r="ESM97" s="44"/>
      <c r="ESN97" s="44"/>
      <c r="ESO97" s="44"/>
      <c r="ESP97" s="44"/>
      <c r="ESQ97" s="44"/>
      <c r="ESR97" s="44"/>
      <c r="ESS97" s="44"/>
      <c r="EST97" s="44"/>
      <c r="ESU97" s="44"/>
      <c r="ESV97" s="44"/>
      <c r="ESW97" s="44"/>
      <c r="ESX97" s="44"/>
      <c r="ESY97" s="44"/>
      <c r="ESZ97" s="44"/>
      <c r="ETA97" s="44"/>
      <c r="ETB97" s="44"/>
      <c r="ETC97" s="44"/>
      <c r="ETD97" s="44"/>
      <c r="ETE97" s="44"/>
      <c r="ETF97" s="44"/>
      <c r="ETG97" s="44"/>
      <c r="ETH97" s="44"/>
      <c r="ETI97" s="44"/>
      <c r="ETJ97" s="44"/>
      <c r="ETK97" s="44"/>
      <c r="ETL97" s="44"/>
      <c r="ETM97" s="44"/>
      <c r="ETN97" s="44"/>
      <c r="ETO97" s="44"/>
      <c r="ETP97" s="44"/>
      <c r="ETQ97" s="44"/>
      <c r="ETR97" s="44"/>
      <c r="ETS97" s="44"/>
      <c r="ETT97" s="44"/>
      <c r="ETU97" s="44"/>
      <c r="ETV97" s="44"/>
      <c r="ETW97" s="44"/>
      <c r="ETX97" s="44"/>
      <c r="ETY97" s="44"/>
      <c r="ETZ97" s="44"/>
      <c r="EUA97" s="44"/>
      <c r="EUB97" s="44"/>
      <c r="EUC97" s="44"/>
      <c r="EUD97" s="44"/>
      <c r="EUE97" s="44"/>
      <c r="EUF97" s="44"/>
      <c r="EUG97" s="44"/>
      <c r="EUH97" s="44"/>
      <c r="EUI97" s="44"/>
      <c r="EUJ97" s="44"/>
      <c r="EUK97" s="44"/>
      <c r="EUL97" s="44"/>
      <c r="EUM97" s="44"/>
      <c r="EUN97" s="44"/>
      <c r="EUO97" s="44"/>
      <c r="EUP97" s="44"/>
      <c r="EUQ97" s="44"/>
      <c r="EUR97" s="44"/>
      <c r="EUS97" s="44"/>
      <c r="EUT97" s="44"/>
      <c r="EUU97" s="44"/>
      <c r="EUV97" s="44"/>
      <c r="EUW97" s="44"/>
      <c r="EUX97" s="44"/>
      <c r="EUY97" s="44"/>
      <c r="EUZ97" s="44"/>
      <c r="EVA97" s="44"/>
      <c r="EVB97" s="44"/>
      <c r="EVC97" s="44"/>
      <c r="EVD97" s="44"/>
      <c r="EVE97" s="44"/>
      <c r="EVF97" s="44"/>
      <c r="EVG97" s="44"/>
      <c r="EVH97" s="44"/>
      <c r="EVI97" s="44"/>
      <c r="EVJ97" s="44"/>
      <c r="EVK97" s="44"/>
      <c r="EVL97" s="44"/>
      <c r="EVM97" s="44"/>
      <c r="EVN97" s="44"/>
      <c r="EVO97" s="44"/>
      <c r="EVP97" s="44"/>
      <c r="EVQ97" s="44"/>
      <c r="EVR97" s="44"/>
      <c r="EVS97" s="44"/>
      <c r="EVT97" s="44"/>
      <c r="EVU97" s="44"/>
      <c r="EVV97" s="44"/>
      <c r="EVW97" s="44"/>
      <c r="EVX97" s="44"/>
      <c r="EVY97" s="44"/>
      <c r="EVZ97" s="44"/>
      <c r="EWA97" s="44"/>
      <c r="EWB97" s="44"/>
      <c r="EWC97" s="44"/>
      <c r="EWD97" s="44"/>
      <c r="EWE97" s="44"/>
      <c r="EWF97" s="44"/>
      <c r="EWG97" s="44"/>
      <c r="EWH97" s="44"/>
      <c r="EWI97" s="44"/>
      <c r="EWJ97" s="44"/>
      <c r="EWK97" s="44"/>
      <c r="EWL97" s="44"/>
      <c r="EWM97" s="44"/>
      <c r="EWN97" s="44"/>
      <c r="EWO97" s="44"/>
      <c r="EWP97" s="44"/>
      <c r="EWQ97" s="44"/>
      <c r="EWR97" s="44"/>
      <c r="EWS97" s="44"/>
      <c r="EWT97" s="44"/>
      <c r="EWU97" s="44"/>
      <c r="EWV97" s="44"/>
      <c r="EWW97" s="44"/>
      <c r="EWX97" s="44"/>
      <c r="EWY97" s="44"/>
      <c r="EWZ97" s="44"/>
      <c r="EXA97" s="44"/>
      <c r="EXB97" s="44"/>
      <c r="EXC97" s="44"/>
      <c r="EXD97" s="44"/>
      <c r="EXE97" s="44"/>
      <c r="EXF97" s="44"/>
      <c r="EXG97" s="44"/>
      <c r="EXH97" s="44"/>
      <c r="EXI97" s="44"/>
      <c r="EXJ97" s="44"/>
      <c r="EXK97" s="44"/>
      <c r="EXL97" s="44"/>
      <c r="EXM97" s="44"/>
      <c r="EXN97" s="44"/>
      <c r="EXO97" s="44"/>
      <c r="EXP97" s="44"/>
      <c r="EXQ97" s="44"/>
      <c r="EXR97" s="44"/>
      <c r="EXS97" s="44"/>
      <c r="EXT97" s="44"/>
      <c r="EXU97" s="44"/>
      <c r="EXV97" s="44"/>
      <c r="EXW97" s="44"/>
      <c r="EXX97" s="44"/>
      <c r="EXY97" s="44"/>
      <c r="EXZ97" s="44"/>
      <c r="EYA97" s="44"/>
      <c r="EYB97" s="44"/>
      <c r="EYC97" s="44"/>
      <c r="EYD97" s="44"/>
      <c r="EYE97" s="44"/>
      <c r="EYF97" s="44"/>
      <c r="EYG97" s="44"/>
      <c r="EYH97" s="44"/>
      <c r="EYI97" s="44"/>
      <c r="EYJ97" s="44"/>
      <c r="EYK97" s="44"/>
      <c r="EYL97" s="44"/>
      <c r="EYM97" s="44"/>
      <c r="EYN97" s="44"/>
      <c r="EYO97" s="44"/>
      <c r="EYP97" s="44"/>
      <c r="EYQ97" s="44"/>
      <c r="EYR97" s="44"/>
      <c r="EYS97" s="44"/>
      <c r="EYT97" s="44"/>
      <c r="EYU97" s="44"/>
      <c r="EYV97" s="44"/>
      <c r="EYW97" s="44"/>
      <c r="EYX97" s="44"/>
      <c r="EYY97" s="44"/>
      <c r="EYZ97" s="44"/>
      <c r="EZA97" s="44"/>
      <c r="EZB97" s="44"/>
      <c r="EZC97" s="44"/>
      <c r="EZD97" s="44"/>
      <c r="EZE97" s="44"/>
      <c r="EZF97" s="44"/>
      <c r="EZG97" s="44"/>
      <c r="EZH97" s="44"/>
      <c r="EZI97" s="44"/>
      <c r="EZJ97" s="44"/>
      <c r="EZK97" s="44"/>
      <c r="EZL97" s="44"/>
      <c r="EZM97" s="44"/>
      <c r="EZN97" s="44"/>
      <c r="EZO97" s="44"/>
      <c r="EZP97" s="44"/>
      <c r="EZQ97" s="44"/>
      <c r="EZR97" s="44"/>
      <c r="EZS97" s="44"/>
      <c r="EZT97" s="44"/>
      <c r="EZU97" s="44"/>
      <c r="EZV97" s="44"/>
      <c r="EZW97" s="44"/>
      <c r="EZX97" s="44"/>
      <c r="EZY97" s="44"/>
      <c r="EZZ97" s="44"/>
      <c r="FAA97" s="44"/>
      <c r="FAB97" s="44"/>
      <c r="FAC97" s="44"/>
      <c r="FAD97" s="44"/>
      <c r="FAE97" s="44"/>
      <c r="FAF97" s="44"/>
      <c r="FAG97" s="44"/>
      <c r="FAH97" s="44"/>
      <c r="FAI97" s="44"/>
      <c r="FAJ97" s="44"/>
      <c r="FAK97" s="44"/>
      <c r="FAL97" s="44"/>
      <c r="FAM97" s="44"/>
      <c r="FAN97" s="44"/>
      <c r="FAO97" s="44"/>
      <c r="FAP97" s="44"/>
      <c r="FAQ97" s="44"/>
      <c r="FAR97" s="44"/>
      <c r="FAS97" s="44"/>
      <c r="FAT97" s="44"/>
      <c r="FAU97" s="44"/>
      <c r="FAV97" s="44"/>
      <c r="FAW97" s="44"/>
      <c r="FAX97" s="44"/>
      <c r="FAY97" s="44"/>
      <c r="FAZ97" s="44"/>
      <c r="FBA97" s="44"/>
      <c r="FBB97" s="44"/>
      <c r="FBC97" s="44"/>
      <c r="FBD97" s="44"/>
      <c r="FBE97" s="44"/>
      <c r="FBF97" s="44"/>
      <c r="FBG97" s="44"/>
      <c r="FBH97" s="44"/>
      <c r="FBI97" s="44"/>
      <c r="FBJ97" s="44"/>
      <c r="FBK97" s="44"/>
      <c r="FBL97" s="44"/>
      <c r="FBM97" s="44"/>
      <c r="FBN97" s="44"/>
      <c r="FBO97" s="44"/>
      <c r="FBP97" s="44"/>
      <c r="FBQ97" s="44"/>
      <c r="FBR97" s="44"/>
      <c r="FBS97" s="44"/>
      <c r="FBT97" s="44"/>
      <c r="FBU97" s="44"/>
      <c r="FBV97" s="44"/>
      <c r="FBW97" s="44"/>
      <c r="FBX97" s="44"/>
      <c r="FBY97" s="44"/>
      <c r="FBZ97" s="44"/>
      <c r="FCA97" s="44"/>
      <c r="FCB97" s="44"/>
      <c r="FCC97" s="44"/>
      <c r="FCD97" s="44"/>
      <c r="FCE97" s="44"/>
      <c r="FCF97" s="44"/>
      <c r="FCG97" s="44"/>
      <c r="FCH97" s="44"/>
      <c r="FCI97" s="44"/>
      <c r="FCJ97" s="44"/>
      <c r="FCK97" s="44"/>
      <c r="FCL97" s="44"/>
      <c r="FCM97" s="44"/>
      <c r="FCN97" s="44"/>
      <c r="FCO97" s="44"/>
      <c r="FCP97" s="44"/>
      <c r="FCQ97" s="44"/>
      <c r="FCR97" s="44"/>
      <c r="FCS97" s="44"/>
      <c r="FCT97" s="44"/>
      <c r="FCU97" s="44"/>
      <c r="FCV97" s="44"/>
      <c r="FCW97" s="44"/>
      <c r="FCX97" s="44"/>
      <c r="FCY97" s="44"/>
      <c r="FCZ97" s="44"/>
      <c r="FDA97" s="44"/>
      <c r="FDB97" s="44"/>
      <c r="FDC97" s="44"/>
      <c r="FDD97" s="44"/>
      <c r="FDE97" s="44"/>
      <c r="FDF97" s="44"/>
      <c r="FDG97" s="44"/>
      <c r="FDH97" s="44"/>
      <c r="FDI97" s="44"/>
      <c r="FDJ97" s="44"/>
      <c r="FDK97" s="44"/>
      <c r="FDL97" s="44"/>
      <c r="FDM97" s="44"/>
      <c r="FDN97" s="44"/>
      <c r="FDO97" s="44"/>
      <c r="FDP97" s="44"/>
      <c r="FDQ97" s="44"/>
      <c r="FDR97" s="44"/>
      <c r="FDS97" s="44"/>
      <c r="FDT97" s="44"/>
      <c r="FDU97" s="44"/>
      <c r="FDV97" s="44"/>
      <c r="FDW97" s="44"/>
      <c r="FDX97" s="44"/>
      <c r="FDY97" s="44"/>
      <c r="FDZ97" s="44"/>
      <c r="FEA97" s="44"/>
      <c r="FEB97" s="44"/>
      <c r="FEC97" s="44"/>
      <c r="FED97" s="44"/>
      <c r="FEE97" s="44"/>
      <c r="FEF97" s="44"/>
      <c r="FEG97" s="44"/>
      <c r="FEH97" s="44"/>
      <c r="FEI97" s="44"/>
      <c r="FEJ97" s="44"/>
      <c r="FEK97" s="44"/>
      <c r="FEL97" s="44"/>
      <c r="FEM97" s="44"/>
      <c r="FEN97" s="44"/>
      <c r="FEO97" s="44"/>
      <c r="FEP97" s="44"/>
      <c r="FEQ97" s="44"/>
      <c r="FER97" s="44"/>
      <c r="FES97" s="44"/>
      <c r="FET97" s="44"/>
      <c r="FEU97" s="44"/>
      <c r="FEV97" s="44"/>
      <c r="FEW97" s="44"/>
      <c r="FEX97" s="44"/>
      <c r="FEY97" s="44"/>
      <c r="FEZ97" s="44"/>
      <c r="FFA97" s="44"/>
      <c r="FFB97" s="44"/>
      <c r="FFC97" s="44"/>
      <c r="FFD97" s="44"/>
      <c r="FFE97" s="44"/>
      <c r="FFF97" s="44"/>
      <c r="FFG97" s="44"/>
      <c r="FFH97" s="44"/>
      <c r="FFI97" s="44"/>
      <c r="FFJ97" s="44"/>
      <c r="FFK97" s="44"/>
      <c r="FFL97" s="44"/>
      <c r="FFM97" s="44"/>
      <c r="FFN97" s="44"/>
      <c r="FFO97" s="44"/>
      <c r="FFP97" s="44"/>
      <c r="FFQ97" s="44"/>
      <c r="FFR97" s="44"/>
      <c r="FFS97" s="44"/>
      <c r="FFT97" s="44"/>
      <c r="FFU97" s="44"/>
      <c r="FFV97" s="44"/>
      <c r="FFW97" s="44"/>
      <c r="FFX97" s="44"/>
      <c r="FFY97" s="44"/>
      <c r="FFZ97" s="44"/>
      <c r="FGA97" s="44"/>
      <c r="FGB97" s="44"/>
      <c r="FGC97" s="44"/>
      <c r="FGD97" s="44"/>
      <c r="FGE97" s="44"/>
      <c r="FGF97" s="44"/>
      <c r="FGG97" s="44"/>
      <c r="FGH97" s="44"/>
      <c r="FGI97" s="44"/>
      <c r="FGJ97" s="44"/>
      <c r="FGK97" s="44"/>
      <c r="FGL97" s="44"/>
      <c r="FGM97" s="44"/>
      <c r="FGN97" s="44"/>
      <c r="FGO97" s="44"/>
      <c r="FGP97" s="44"/>
      <c r="FGQ97" s="44"/>
      <c r="FGR97" s="44"/>
      <c r="FGS97" s="44"/>
      <c r="FGT97" s="44"/>
      <c r="FGU97" s="44"/>
      <c r="FGV97" s="44"/>
      <c r="FGW97" s="44"/>
      <c r="FGX97" s="44"/>
      <c r="FGY97" s="44"/>
      <c r="FGZ97" s="44"/>
      <c r="FHA97" s="44"/>
      <c r="FHB97" s="44"/>
      <c r="FHC97" s="44"/>
      <c r="FHD97" s="44"/>
      <c r="FHE97" s="44"/>
      <c r="FHF97" s="44"/>
      <c r="FHG97" s="44"/>
      <c r="FHH97" s="44"/>
      <c r="FHI97" s="44"/>
      <c r="FHJ97" s="44"/>
      <c r="FHK97" s="44"/>
      <c r="FHL97" s="44"/>
      <c r="FHM97" s="44"/>
      <c r="FHN97" s="44"/>
      <c r="FHO97" s="44"/>
      <c r="FHP97" s="44"/>
      <c r="FHQ97" s="44"/>
      <c r="FHR97" s="44"/>
      <c r="FHS97" s="44"/>
      <c r="FHT97" s="44"/>
      <c r="FHU97" s="44"/>
      <c r="FHV97" s="44"/>
      <c r="FHW97" s="44"/>
      <c r="FHX97" s="44"/>
      <c r="FHY97" s="44"/>
      <c r="FHZ97" s="44"/>
      <c r="FIA97" s="44"/>
      <c r="FIB97" s="44"/>
      <c r="FIC97" s="44"/>
      <c r="FID97" s="44"/>
      <c r="FIE97" s="44"/>
      <c r="FIF97" s="44"/>
      <c r="FIG97" s="44"/>
      <c r="FIH97" s="44"/>
      <c r="FII97" s="44"/>
      <c r="FIJ97" s="44"/>
      <c r="FIK97" s="44"/>
      <c r="FIL97" s="44"/>
      <c r="FIM97" s="44"/>
      <c r="FIN97" s="44"/>
      <c r="FIO97" s="44"/>
      <c r="FIP97" s="44"/>
      <c r="FIQ97" s="44"/>
      <c r="FIR97" s="44"/>
      <c r="FIS97" s="44"/>
      <c r="FIT97" s="44"/>
      <c r="FIU97" s="44"/>
      <c r="FIV97" s="44"/>
      <c r="FIW97" s="44"/>
      <c r="FIX97" s="44"/>
      <c r="FIY97" s="44"/>
      <c r="FIZ97" s="44"/>
      <c r="FJA97" s="44"/>
      <c r="FJB97" s="44"/>
      <c r="FJC97" s="44"/>
      <c r="FJD97" s="44"/>
      <c r="FJE97" s="44"/>
      <c r="FJF97" s="44"/>
      <c r="FJG97" s="44"/>
      <c r="FJH97" s="44"/>
      <c r="FJI97" s="44"/>
      <c r="FJJ97" s="44"/>
      <c r="FJK97" s="44"/>
      <c r="FJL97" s="44"/>
      <c r="FJM97" s="44"/>
      <c r="FJN97" s="44"/>
      <c r="FJO97" s="44"/>
      <c r="FJP97" s="44"/>
      <c r="FJQ97" s="44"/>
      <c r="FJR97" s="44"/>
      <c r="FJS97" s="44"/>
      <c r="FJT97" s="44"/>
      <c r="FJU97" s="44"/>
      <c r="FJV97" s="44"/>
      <c r="FJW97" s="44"/>
      <c r="FJX97" s="44"/>
      <c r="FJY97" s="44"/>
      <c r="FJZ97" s="44"/>
      <c r="FKA97" s="44"/>
      <c r="FKB97" s="44"/>
      <c r="FKC97" s="44"/>
      <c r="FKD97" s="44"/>
      <c r="FKE97" s="44"/>
      <c r="FKF97" s="44"/>
      <c r="FKG97" s="44"/>
      <c r="FKH97" s="44"/>
      <c r="FKI97" s="44"/>
      <c r="FKJ97" s="44"/>
      <c r="FKK97" s="44"/>
      <c r="FKL97" s="44"/>
      <c r="FKM97" s="44"/>
      <c r="FKN97" s="44"/>
      <c r="FKO97" s="44"/>
      <c r="FKP97" s="44"/>
      <c r="FKQ97" s="44"/>
      <c r="FKR97" s="44"/>
      <c r="FKS97" s="44"/>
      <c r="FKT97" s="44"/>
      <c r="FKU97" s="44"/>
      <c r="FKV97" s="44"/>
      <c r="FKW97" s="44"/>
      <c r="FKX97" s="44"/>
      <c r="FKY97" s="44"/>
      <c r="FKZ97" s="44"/>
      <c r="FLA97" s="44"/>
      <c r="FLB97" s="44"/>
      <c r="FLC97" s="44"/>
      <c r="FLD97" s="44"/>
      <c r="FLE97" s="44"/>
      <c r="FLF97" s="44"/>
      <c r="FLG97" s="44"/>
      <c r="FLH97" s="44"/>
      <c r="FLI97" s="44"/>
      <c r="FLJ97" s="44"/>
      <c r="FLK97" s="44"/>
      <c r="FLL97" s="44"/>
      <c r="FLM97" s="44"/>
      <c r="FLN97" s="44"/>
      <c r="FLO97" s="44"/>
      <c r="FLP97" s="44"/>
      <c r="FLQ97" s="44"/>
      <c r="FLR97" s="44"/>
      <c r="FLS97" s="44"/>
      <c r="FLT97" s="44"/>
      <c r="FLU97" s="44"/>
      <c r="FLV97" s="44"/>
      <c r="FLW97" s="44"/>
      <c r="FLX97" s="44"/>
      <c r="FLY97" s="44"/>
      <c r="FLZ97" s="44"/>
      <c r="FMA97" s="44"/>
      <c r="FMB97" s="44"/>
      <c r="FMC97" s="44"/>
      <c r="FMD97" s="44"/>
      <c r="FME97" s="44"/>
      <c r="FMF97" s="44"/>
      <c r="FMG97" s="44"/>
      <c r="FMH97" s="44"/>
      <c r="FMI97" s="44"/>
      <c r="FMJ97" s="44"/>
      <c r="FMK97" s="44"/>
      <c r="FML97" s="44"/>
      <c r="FMM97" s="44"/>
      <c r="FMN97" s="44"/>
      <c r="FMO97" s="44"/>
      <c r="FMP97" s="44"/>
      <c r="FMQ97" s="44"/>
      <c r="FMR97" s="44"/>
      <c r="FMS97" s="44"/>
      <c r="FMT97" s="44"/>
      <c r="FMU97" s="44"/>
      <c r="FMV97" s="44"/>
      <c r="FMW97" s="44"/>
      <c r="FMX97" s="44"/>
      <c r="FMY97" s="44"/>
      <c r="FMZ97" s="44"/>
      <c r="FNA97" s="44"/>
      <c r="FNB97" s="44"/>
      <c r="FNC97" s="44"/>
      <c r="FND97" s="44"/>
      <c r="FNE97" s="44"/>
      <c r="FNF97" s="44"/>
      <c r="FNG97" s="44"/>
      <c r="FNH97" s="44"/>
      <c r="FNI97" s="44"/>
      <c r="FNJ97" s="44"/>
      <c r="FNK97" s="44"/>
      <c r="FNL97" s="44"/>
      <c r="FNM97" s="44"/>
      <c r="FNN97" s="44"/>
      <c r="FNO97" s="44"/>
      <c r="FNP97" s="44"/>
      <c r="FNQ97" s="44"/>
      <c r="FNR97" s="44"/>
      <c r="FNS97" s="44"/>
      <c r="FNT97" s="44"/>
      <c r="FNU97" s="44"/>
      <c r="FNV97" s="44"/>
      <c r="FNW97" s="44"/>
      <c r="FNX97" s="44"/>
      <c r="FNY97" s="44"/>
      <c r="FNZ97" s="44"/>
      <c r="FOA97" s="44"/>
      <c r="FOB97" s="44"/>
      <c r="FOC97" s="44"/>
      <c r="FOD97" s="44"/>
      <c r="FOE97" s="44"/>
      <c r="FOF97" s="44"/>
      <c r="FOG97" s="44"/>
      <c r="FOH97" s="44"/>
      <c r="FOI97" s="44"/>
      <c r="FOJ97" s="44"/>
      <c r="FOK97" s="44"/>
      <c r="FOL97" s="44"/>
      <c r="FOM97" s="44"/>
      <c r="FON97" s="44"/>
      <c r="FOO97" s="44"/>
      <c r="FOP97" s="44"/>
      <c r="FOQ97" s="44"/>
      <c r="FOR97" s="44"/>
      <c r="FOS97" s="44"/>
      <c r="FOT97" s="44"/>
      <c r="FOU97" s="44"/>
      <c r="FOV97" s="44"/>
      <c r="FOW97" s="44"/>
      <c r="FOX97" s="44"/>
      <c r="FOY97" s="44"/>
      <c r="FOZ97" s="44"/>
      <c r="FPA97" s="44"/>
      <c r="FPB97" s="44"/>
      <c r="FPC97" s="44"/>
      <c r="FPD97" s="44"/>
      <c r="FPE97" s="44"/>
      <c r="FPF97" s="44"/>
      <c r="FPG97" s="44"/>
      <c r="FPH97" s="44"/>
      <c r="FPI97" s="44"/>
      <c r="FPJ97" s="44"/>
      <c r="FPK97" s="44"/>
      <c r="FPL97" s="44"/>
      <c r="FPM97" s="44"/>
      <c r="FPN97" s="44"/>
      <c r="FPO97" s="44"/>
      <c r="FPP97" s="44"/>
      <c r="FPQ97" s="44"/>
      <c r="FPR97" s="44"/>
      <c r="FPS97" s="44"/>
      <c r="FPT97" s="44"/>
      <c r="FPU97" s="44"/>
      <c r="FPV97" s="44"/>
      <c r="FPW97" s="44"/>
      <c r="FPX97" s="44"/>
      <c r="FPY97" s="44"/>
      <c r="FPZ97" s="44"/>
      <c r="FQA97" s="44"/>
      <c r="FQB97" s="44"/>
      <c r="FQC97" s="44"/>
      <c r="FQD97" s="44"/>
      <c r="FQE97" s="44"/>
      <c r="FQF97" s="44"/>
      <c r="FQG97" s="44"/>
      <c r="FQH97" s="44"/>
      <c r="FQI97" s="44"/>
      <c r="FQJ97" s="44"/>
      <c r="FQK97" s="44"/>
      <c r="FQL97" s="44"/>
      <c r="FQM97" s="44"/>
      <c r="FQN97" s="44"/>
      <c r="FQO97" s="44"/>
      <c r="FQP97" s="44"/>
      <c r="FQQ97" s="44"/>
      <c r="FQR97" s="44"/>
      <c r="FQS97" s="44"/>
      <c r="FQT97" s="44"/>
      <c r="FQU97" s="44"/>
      <c r="FQV97" s="44"/>
      <c r="FQW97" s="44"/>
      <c r="FQX97" s="44"/>
      <c r="FQY97" s="44"/>
      <c r="FQZ97" s="44"/>
      <c r="FRA97" s="44"/>
      <c r="FRB97" s="44"/>
      <c r="FRC97" s="44"/>
      <c r="FRD97" s="44"/>
      <c r="FRE97" s="44"/>
      <c r="FRF97" s="44"/>
      <c r="FRG97" s="44"/>
      <c r="FRH97" s="44"/>
      <c r="FRI97" s="44"/>
      <c r="FRJ97" s="44"/>
      <c r="FRK97" s="44"/>
      <c r="FRL97" s="44"/>
      <c r="FRM97" s="44"/>
      <c r="FRN97" s="44"/>
      <c r="FRO97" s="44"/>
      <c r="FRP97" s="44"/>
      <c r="FRQ97" s="44"/>
      <c r="FRR97" s="44"/>
      <c r="FRS97" s="44"/>
      <c r="FRT97" s="44"/>
      <c r="FRU97" s="44"/>
      <c r="FRV97" s="44"/>
      <c r="FRW97" s="44"/>
      <c r="FRX97" s="44"/>
      <c r="FRY97" s="44"/>
      <c r="FRZ97" s="44"/>
      <c r="FSA97" s="44"/>
      <c r="FSB97" s="44"/>
      <c r="FSC97" s="44"/>
      <c r="FSD97" s="44"/>
      <c r="FSE97" s="44"/>
      <c r="FSF97" s="44"/>
      <c r="FSG97" s="44"/>
      <c r="FSH97" s="44"/>
      <c r="FSI97" s="44"/>
      <c r="FSJ97" s="44"/>
      <c r="FSK97" s="44"/>
      <c r="FSL97" s="44"/>
      <c r="FSM97" s="44"/>
      <c r="FSN97" s="44"/>
      <c r="FSO97" s="44"/>
      <c r="FSP97" s="44"/>
      <c r="FSQ97" s="44"/>
      <c r="FSR97" s="44"/>
      <c r="FSS97" s="44"/>
      <c r="FST97" s="44"/>
      <c r="FSU97" s="44"/>
      <c r="FSV97" s="44"/>
      <c r="FSW97" s="44"/>
      <c r="FSX97" s="44"/>
      <c r="FSY97" s="44"/>
      <c r="FSZ97" s="44"/>
      <c r="FTA97" s="44"/>
      <c r="FTB97" s="44"/>
      <c r="FTC97" s="44"/>
      <c r="FTD97" s="44"/>
      <c r="FTE97" s="44"/>
      <c r="FTF97" s="44"/>
      <c r="FTG97" s="44"/>
      <c r="FTH97" s="44"/>
      <c r="FTI97" s="44"/>
      <c r="FTJ97" s="44"/>
      <c r="FTK97" s="44"/>
      <c r="FTL97" s="44"/>
      <c r="FTM97" s="44"/>
      <c r="FTN97" s="44"/>
      <c r="FTO97" s="44"/>
      <c r="FTP97" s="44"/>
      <c r="FTQ97" s="44"/>
      <c r="FTR97" s="44"/>
      <c r="FTS97" s="44"/>
      <c r="FTT97" s="44"/>
      <c r="FTU97" s="44"/>
      <c r="FTV97" s="44"/>
      <c r="FTW97" s="44"/>
      <c r="FTX97" s="44"/>
      <c r="FTY97" s="44"/>
      <c r="FTZ97" s="44"/>
      <c r="FUA97" s="44"/>
      <c r="FUB97" s="44"/>
      <c r="FUC97" s="44"/>
      <c r="FUD97" s="44"/>
      <c r="FUE97" s="44"/>
      <c r="FUF97" s="44"/>
      <c r="FUG97" s="44"/>
      <c r="FUH97" s="44"/>
      <c r="FUI97" s="44"/>
      <c r="FUJ97" s="44"/>
      <c r="FUK97" s="44"/>
      <c r="FUL97" s="44"/>
      <c r="FUM97" s="44"/>
      <c r="FUN97" s="44"/>
      <c r="FUO97" s="44"/>
      <c r="FUP97" s="44"/>
      <c r="FUQ97" s="44"/>
      <c r="FUR97" s="44"/>
      <c r="FUS97" s="44"/>
      <c r="FUT97" s="44"/>
      <c r="FUU97" s="44"/>
      <c r="FUV97" s="44"/>
      <c r="FUW97" s="44"/>
      <c r="FUX97" s="44"/>
      <c r="FUY97" s="44"/>
      <c r="FUZ97" s="44"/>
      <c r="FVA97" s="44"/>
      <c r="FVB97" s="44"/>
      <c r="FVC97" s="44"/>
      <c r="FVD97" s="44"/>
      <c r="FVE97" s="44"/>
      <c r="FVF97" s="44"/>
      <c r="FVG97" s="44"/>
      <c r="FVH97" s="44"/>
      <c r="FVI97" s="44"/>
      <c r="FVJ97" s="44"/>
      <c r="FVK97" s="44"/>
      <c r="FVL97" s="44"/>
      <c r="FVM97" s="44"/>
      <c r="FVN97" s="44"/>
      <c r="FVO97" s="44"/>
      <c r="FVP97" s="44"/>
      <c r="FVQ97" s="44"/>
      <c r="FVR97" s="44"/>
      <c r="FVS97" s="44"/>
      <c r="FVT97" s="44"/>
      <c r="FVU97" s="44"/>
      <c r="FVV97" s="44"/>
      <c r="FVW97" s="44"/>
      <c r="FVX97" s="44"/>
      <c r="FVY97" s="44"/>
      <c r="FVZ97" s="44"/>
      <c r="FWA97" s="44"/>
      <c r="FWB97" s="44"/>
      <c r="FWC97" s="44"/>
      <c r="FWD97" s="44"/>
      <c r="FWE97" s="44"/>
      <c r="FWF97" s="44"/>
      <c r="FWG97" s="44"/>
      <c r="FWH97" s="44"/>
      <c r="FWI97" s="44"/>
      <c r="FWJ97" s="44"/>
      <c r="FWK97" s="44"/>
      <c r="FWL97" s="44"/>
      <c r="FWM97" s="44"/>
      <c r="FWN97" s="44"/>
      <c r="FWO97" s="44"/>
      <c r="FWP97" s="44"/>
      <c r="FWQ97" s="44"/>
      <c r="FWR97" s="44"/>
      <c r="FWS97" s="44"/>
      <c r="FWT97" s="44"/>
      <c r="FWU97" s="44"/>
      <c r="FWV97" s="44"/>
      <c r="FWW97" s="44"/>
      <c r="FWX97" s="44"/>
      <c r="FWY97" s="44"/>
      <c r="FWZ97" s="44"/>
      <c r="FXA97" s="44"/>
      <c r="FXB97" s="44"/>
      <c r="FXC97" s="44"/>
      <c r="FXD97" s="44"/>
      <c r="FXE97" s="44"/>
      <c r="FXF97" s="44"/>
      <c r="FXG97" s="44"/>
      <c r="FXH97" s="44"/>
      <c r="FXI97" s="44"/>
      <c r="FXJ97" s="44"/>
      <c r="FXK97" s="44"/>
      <c r="FXL97" s="44"/>
      <c r="FXM97" s="44"/>
      <c r="FXN97" s="44"/>
      <c r="FXO97" s="44"/>
      <c r="FXP97" s="44"/>
      <c r="FXQ97" s="44"/>
      <c r="FXR97" s="44"/>
      <c r="FXS97" s="44"/>
      <c r="FXT97" s="44"/>
      <c r="FXU97" s="44"/>
      <c r="FXV97" s="44"/>
      <c r="FXW97" s="44"/>
      <c r="FXX97" s="44"/>
      <c r="FXY97" s="44"/>
      <c r="FXZ97" s="44"/>
      <c r="FYA97" s="44"/>
      <c r="FYB97" s="44"/>
      <c r="FYC97" s="44"/>
      <c r="FYD97" s="44"/>
      <c r="FYE97" s="44"/>
      <c r="FYF97" s="44"/>
      <c r="FYG97" s="44"/>
      <c r="FYH97" s="44"/>
      <c r="FYI97" s="44"/>
      <c r="FYJ97" s="44"/>
      <c r="FYK97" s="44"/>
      <c r="FYL97" s="44"/>
      <c r="FYM97" s="44"/>
      <c r="FYN97" s="44"/>
      <c r="FYO97" s="44"/>
      <c r="FYP97" s="44"/>
      <c r="FYQ97" s="44"/>
      <c r="FYR97" s="44"/>
      <c r="FYS97" s="44"/>
      <c r="FYT97" s="44"/>
      <c r="FYU97" s="44"/>
      <c r="FYV97" s="44"/>
      <c r="FYW97" s="44"/>
      <c r="FYX97" s="44"/>
      <c r="FYY97" s="44"/>
      <c r="FYZ97" s="44"/>
      <c r="FZA97" s="44"/>
      <c r="FZB97" s="44"/>
      <c r="FZC97" s="44"/>
      <c r="FZD97" s="44"/>
      <c r="FZE97" s="44"/>
      <c r="FZF97" s="44"/>
      <c r="FZG97" s="44"/>
      <c r="FZH97" s="44"/>
      <c r="FZI97" s="44"/>
      <c r="FZJ97" s="44"/>
      <c r="FZK97" s="44"/>
      <c r="FZL97" s="44"/>
      <c r="FZM97" s="44"/>
      <c r="FZN97" s="44"/>
      <c r="FZO97" s="44"/>
      <c r="FZP97" s="44"/>
      <c r="FZQ97" s="44"/>
      <c r="FZR97" s="44"/>
      <c r="FZS97" s="44"/>
      <c r="FZT97" s="44"/>
      <c r="FZU97" s="44"/>
      <c r="FZV97" s="44"/>
      <c r="FZW97" s="44"/>
      <c r="FZX97" s="44"/>
      <c r="FZY97" s="44"/>
      <c r="FZZ97" s="44"/>
      <c r="GAA97" s="44"/>
      <c r="GAB97" s="44"/>
      <c r="GAC97" s="44"/>
      <c r="GAD97" s="44"/>
      <c r="GAE97" s="44"/>
      <c r="GAF97" s="44"/>
      <c r="GAG97" s="44"/>
      <c r="GAH97" s="44"/>
      <c r="GAI97" s="44"/>
      <c r="GAJ97" s="44"/>
      <c r="GAK97" s="44"/>
      <c r="GAL97" s="44"/>
      <c r="GAM97" s="44"/>
      <c r="GAN97" s="44"/>
      <c r="GAO97" s="44"/>
      <c r="GAP97" s="44"/>
      <c r="GAQ97" s="44"/>
      <c r="GAR97" s="44"/>
      <c r="GAS97" s="44"/>
      <c r="GAT97" s="44"/>
      <c r="GAU97" s="44"/>
      <c r="GAV97" s="44"/>
      <c r="GAW97" s="44"/>
      <c r="GAX97" s="44"/>
      <c r="GAY97" s="44"/>
      <c r="GAZ97" s="44"/>
      <c r="GBA97" s="44"/>
      <c r="GBB97" s="44"/>
      <c r="GBC97" s="44"/>
      <c r="GBD97" s="44"/>
      <c r="GBE97" s="44"/>
      <c r="GBF97" s="44"/>
      <c r="GBG97" s="44"/>
      <c r="GBH97" s="44"/>
      <c r="GBI97" s="44"/>
      <c r="GBJ97" s="44"/>
      <c r="GBK97" s="44"/>
      <c r="GBL97" s="44"/>
      <c r="GBM97" s="44"/>
      <c r="GBN97" s="44"/>
      <c r="GBO97" s="44"/>
      <c r="GBP97" s="44"/>
      <c r="GBQ97" s="44"/>
      <c r="GBR97" s="44"/>
      <c r="GBS97" s="44"/>
      <c r="GBT97" s="44"/>
      <c r="GBU97" s="44"/>
      <c r="GBV97" s="44"/>
      <c r="GBW97" s="44"/>
      <c r="GBX97" s="44"/>
      <c r="GBY97" s="44"/>
      <c r="GBZ97" s="44"/>
      <c r="GCA97" s="44"/>
      <c r="GCB97" s="44"/>
      <c r="GCC97" s="44"/>
      <c r="GCD97" s="44"/>
      <c r="GCE97" s="44"/>
      <c r="GCF97" s="44"/>
      <c r="GCG97" s="44"/>
      <c r="GCH97" s="44"/>
      <c r="GCI97" s="44"/>
      <c r="GCJ97" s="44"/>
      <c r="GCK97" s="44"/>
      <c r="GCL97" s="44"/>
      <c r="GCM97" s="44"/>
      <c r="GCN97" s="44"/>
      <c r="GCO97" s="44"/>
      <c r="GCP97" s="44"/>
      <c r="GCQ97" s="44"/>
      <c r="GCR97" s="44"/>
      <c r="GCS97" s="44"/>
      <c r="GCT97" s="44"/>
      <c r="GCU97" s="44"/>
      <c r="GCV97" s="44"/>
      <c r="GCW97" s="44"/>
      <c r="GCX97" s="44"/>
      <c r="GCY97" s="44"/>
      <c r="GCZ97" s="44"/>
      <c r="GDA97" s="44"/>
      <c r="GDB97" s="44"/>
      <c r="GDC97" s="44"/>
      <c r="GDD97" s="44"/>
      <c r="GDE97" s="44"/>
      <c r="GDF97" s="44"/>
      <c r="GDG97" s="44"/>
      <c r="GDH97" s="44"/>
      <c r="GDI97" s="44"/>
      <c r="GDJ97" s="44"/>
      <c r="GDK97" s="44"/>
      <c r="GDL97" s="44"/>
      <c r="GDM97" s="44"/>
      <c r="GDN97" s="44"/>
      <c r="GDO97" s="44"/>
      <c r="GDP97" s="44"/>
      <c r="GDQ97" s="44"/>
      <c r="GDR97" s="44"/>
      <c r="GDS97" s="44"/>
      <c r="GDT97" s="44"/>
      <c r="GDU97" s="44"/>
      <c r="GDV97" s="44"/>
      <c r="GDW97" s="44"/>
      <c r="GDX97" s="44"/>
      <c r="GDY97" s="44"/>
      <c r="GDZ97" s="44"/>
      <c r="GEA97" s="44"/>
      <c r="GEB97" s="44"/>
      <c r="GEC97" s="44"/>
      <c r="GED97" s="44"/>
      <c r="GEE97" s="44"/>
      <c r="GEF97" s="44"/>
      <c r="GEG97" s="44"/>
      <c r="GEH97" s="44"/>
      <c r="GEI97" s="44"/>
      <c r="GEJ97" s="44"/>
      <c r="GEK97" s="44"/>
      <c r="GEL97" s="44"/>
      <c r="GEM97" s="44"/>
      <c r="GEN97" s="44"/>
      <c r="GEO97" s="44"/>
      <c r="GEP97" s="44"/>
      <c r="GEQ97" s="44"/>
      <c r="GER97" s="44"/>
      <c r="GES97" s="44"/>
      <c r="GET97" s="44"/>
      <c r="GEU97" s="44"/>
      <c r="GEV97" s="44"/>
      <c r="GEW97" s="44"/>
      <c r="GEX97" s="44"/>
      <c r="GEY97" s="44"/>
      <c r="GEZ97" s="44"/>
      <c r="GFA97" s="44"/>
      <c r="GFB97" s="44"/>
      <c r="GFC97" s="44"/>
      <c r="GFD97" s="44"/>
      <c r="GFE97" s="44"/>
      <c r="GFF97" s="44"/>
      <c r="GFG97" s="44"/>
      <c r="GFH97" s="44"/>
      <c r="GFI97" s="44"/>
      <c r="GFJ97" s="44"/>
      <c r="GFK97" s="44"/>
      <c r="GFL97" s="44"/>
      <c r="GFM97" s="44"/>
      <c r="GFN97" s="44"/>
      <c r="GFO97" s="44"/>
      <c r="GFP97" s="44"/>
      <c r="GFQ97" s="44"/>
      <c r="GFR97" s="44"/>
      <c r="GFS97" s="44"/>
      <c r="GFT97" s="44"/>
      <c r="GFU97" s="44"/>
      <c r="GFV97" s="44"/>
      <c r="GFW97" s="44"/>
      <c r="GFX97" s="44"/>
      <c r="GFY97" s="44"/>
      <c r="GFZ97" s="44"/>
      <c r="GGA97" s="44"/>
      <c r="GGB97" s="44"/>
      <c r="GGC97" s="44"/>
      <c r="GGD97" s="44"/>
      <c r="GGE97" s="44"/>
      <c r="GGF97" s="44"/>
      <c r="GGG97" s="44"/>
      <c r="GGH97" s="44"/>
      <c r="GGI97" s="44"/>
      <c r="GGJ97" s="44"/>
      <c r="GGK97" s="44"/>
      <c r="GGL97" s="44"/>
      <c r="GGM97" s="44"/>
      <c r="GGN97" s="44"/>
      <c r="GGO97" s="44"/>
      <c r="GGP97" s="44"/>
      <c r="GGQ97" s="44"/>
      <c r="GGR97" s="44"/>
      <c r="GGS97" s="44"/>
      <c r="GGT97" s="44"/>
      <c r="GGU97" s="44"/>
      <c r="GGV97" s="44"/>
      <c r="GGW97" s="44"/>
      <c r="GGX97" s="44"/>
      <c r="GGY97" s="44"/>
      <c r="GGZ97" s="44"/>
      <c r="GHA97" s="44"/>
      <c r="GHB97" s="44"/>
      <c r="GHC97" s="44"/>
      <c r="GHD97" s="44"/>
      <c r="GHE97" s="44"/>
      <c r="GHF97" s="44"/>
      <c r="GHG97" s="44"/>
      <c r="GHH97" s="44"/>
      <c r="GHI97" s="44"/>
      <c r="GHJ97" s="44"/>
      <c r="GHK97" s="44"/>
      <c r="GHL97" s="44"/>
      <c r="GHM97" s="44"/>
      <c r="GHN97" s="44"/>
      <c r="GHO97" s="44"/>
      <c r="GHP97" s="44"/>
      <c r="GHQ97" s="44"/>
      <c r="GHR97" s="44"/>
      <c r="GHS97" s="44"/>
      <c r="GHT97" s="44"/>
      <c r="GHU97" s="44"/>
      <c r="GHV97" s="44"/>
      <c r="GHW97" s="44"/>
      <c r="GHX97" s="44"/>
      <c r="GHY97" s="44"/>
      <c r="GHZ97" s="44"/>
      <c r="GIA97" s="44"/>
      <c r="GIB97" s="44"/>
      <c r="GIC97" s="44"/>
      <c r="GID97" s="44"/>
      <c r="GIE97" s="44"/>
      <c r="GIF97" s="44"/>
      <c r="GIG97" s="44"/>
      <c r="GIH97" s="44"/>
      <c r="GII97" s="44"/>
      <c r="GIJ97" s="44"/>
      <c r="GIK97" s="44"/>
      <c r="GIL97" s="44"/>
      <c r="GIM97" s="44"/>
      <c r="GIN97" s="44"/>
      <c r="GIO97" s="44"/>
      <c r="GIP97" s="44"/>
      <c r="GIQ97" s="44"/>
      <c r="GIR97" s="44"/>
      <c r="GIS97" s="44"/>
      <c r="GIT97" s="44"/>
      <c r="GIU97" s="44"/>
      <c r="GIV97" s="44"/>
      <c r="GIW97" s="44"/>
      <c r="GIX97" s="44"/>
      <c r="GIY97" s="44"/>
      <c r="GIZ97" s="44"/>
      <c r="GJA97" s="44"/>
      <c r="GJB97" s="44"/>
      <c r="GJC97" s="44"/>
      <c r="GJD97" s="44"/>
      <c r="GJE97" s="44"/>
      <c r="GJF97" s="44"/>
      <c r="GJG97" s="44"/>
      <c r="GJH97" s="44"/>
      <c r="GJI97" s="44"/>
      <c r="GJJ97" s="44"/>
      <c r="GJK97" s="44"/>
      <c r="GJL97" s="44"/>
      <c r="GJM97" s="44"/>
      <c r="GJN97" s="44"/>
      <c r="GJO97" s="44"/>
      <c r="GJP97" s="44"/>
      <c r="GJQ97" s="44"/>
      <c r="GJR97" s="44"/>
      <c r="GJS97" s="44"/>
      <c r="GJT97" s="44"/>
      <c r="GJU97" s="44"/>
      <c r="GJV97" s="44"/>
      <c r="GJW97" s="44"/>
      <c r="GJX97" s="44"/>
      <c r="GJY97" s="44"/>
      <c r="GJZ97" s="44"/>
      <c r="GKA97" s="44"/>
      <c r="GKB97" s="44"/>
      <c r="GKC97" s="44"/>
      <c r="GKD97" s="44"/>
      <c r="GKE97" s="44"/>
      <c r="GKF97" s="44"/>
      <c r="GKG97" s="44"/>
      <c r="GKH97" s="44"/>
      <c r="GKI97" s="44"/>
      <c r="GKJ97" s="44"/>
      <c r="GKK97" s="44"/>
      <c r="GKL97" s="44"/>
      <c r="GKM97" s="44"/>
      <c r="GKN97" s="44"/>
      <c r="GKO97" s="44"/>
      <c r="GKP97" s="44"/>
      <c r="GKQ97" s="44"/>
      <c r="GKR97" s="44"/>
      <c r="GKS97" s="44"/>
      <c r="GKT97" s="44"/>
      <c r="GKU97" s="44"/>
      <c r="GKV97" s="44"/>
      <c r="GKW97" s="44"/>
      <c r="GKX97" s="44"/>
      <c r="GKY97" s="44"/>
      <c r="GKZ97" s="44"/>
      <c r="GLA97" s="44"/>
      <c r="GLB97" s="44"/>
      <c r="GLC97" s="44"/>
      <c r="GLD97" s="44"/>
      <c r="GLE97" s="44"/>
      <c r="GLF97" s="44"/>
      <c r="GLG97" s="44"/>
      <c r="GLH97" s="44"/>
      <c r="GLI97" s="44"/>
      <c r="GLJ97" s="44"/>
      <c r="GLK97" s="44"/>
      <c r="GLL97" s="44"/>
      <c r="GLM97" s="44"/>
      <c r="GLN97" s="44"/>
      <c r="GLO97" s="44"/>
      <c r="GLP97" s="44"/>
      <c r="GLQ97" s="44"/>
      <c r="GLR97" s="44"/>
      <c r="GLS97" s="44"/>
      <c r="GLT97" s="44"/>
      <c r="GLU97" s="44"/>
      <c r="GLV97" s="44"/>
      <c r="GLW97" s="44"/>
      <c r="GLX97" s="44"/>
      <c r="GLY97" s="44"/>
      <c r="GLZ97" s="44"/>
      <c r="GMA97" s="44"/>
      <c r="GMB97" s="44"/>
      <c r="GMC97" s="44"/>
      <c r="GMD97" s="44"/>
      <c r="GME97" s="44"/>
      <c r="GMF97" s="44"/>
      <c r="GMG97" s="44"/>
      <c r="GMH97" s="44"/>
      <c r="GMI97" s="44"/>
      <c r="GMJ97" s="44"/>
      <c r="GMK97" s="44"/>
      <c r="GML97" s="44"/>
      <c r="GMM97" s="44"/>
      <c r="GMN97" s="44"/>
      <c r="GMO97" s="44"/>
      <c r="GMP97" s="44"/>
      <c r="GMQ97" s="44"/>
      <c r="GMR97" s="44"/>
      <c r="GMS97" s="44"/>
      <c r="GMT97" s="44"/>
      <c r="GMU97" s="44"/>
      <c r="GMV97" s="44"/>
      <c r="GMW97" s="44"/>
      <c r="GMX97" s="44"/>
      <c r="GMY97" s="44"/>
      <c r="GMZ97" s="44"/>
      <c r="GNA97" s="44"/>
      <c r="GNB97" s="44"/>
      <c r="GNC97" s="44"/>
      <c r="GND97" s="44"/>
      <c r="GNE97" s="44"/>
      <c r="GNF97" s="44"/>
      <c r="GNG97" s="44"/>
      <c r="GNH97" s="44"/>
      <c r="GNI97" s="44"/>
      <c r="GNJ97" s="44"/>
      <c r="GNK97" s="44"/>
      <c r="GNL97" s="44"/>
      <c r="GNM97" s="44"/>
      <c r="GNN97" s="44"/>
      <c r="GNO97" s="44"/>
      <c r="GNP97" s="44"/>
      <c r="GNQ97" s="44"/>
      <c r="GNR97" s="44"/>
      <c r="GNS97" s="44"/>
      <c r="GNT97" s="44"/>
      <c r="GNU97" s="44"/>
      <c r="GNV97" s="44"/>
      <c r="GNW97" s="44"/>
      <c r="GNX97" s="44"/>
      <c r="GNY97" s="44"/>
      <c r="GNZ97" s="44"/>
      <c r="GOA97" s="44"/>
      <c r="GOB97" s="44"/>
      <c r="GOC97" s="44"/>
      <c r="GOD97" s="44"/>
      <c r="GOE97" s="44"/>
      <c r="GOF97" s="44"/>
      <c r="GOG97" s="44"/>
      <c r="GOH97" s="44"/>
      <c r="GOI97" s="44"/>
      <c r="GOJ97" s="44"/>
      <c r="GOK97" s="44"/>
      <c r="GOL97" s="44"/>
      <c r="GOM97" s="44"/>
      <c r="GON97" s="44"/>
      <c r="GOO97" s="44"/>
      <c r="GOP97" s="44"/>
      <c r="GOQ97" s="44"/>
      <c r="GOR97" s="44"/>
      <c r="GOS97" s="44"/>
      <c r="GOT97" s="44"/>
      <c r="GOU97" s="44"/>
      <c r="GOV97" s="44"/>
      <c r="GOW97" s="44"/>
      <c r="GOX97" s="44"/>
      <c r="GOY97" s="44"/>
      <c r="GOZ97" s="44"/>
      <c r="GPA97" s="44"/>
      <c r="GPB97" s="44"/>
      <c r="GPC97" s="44"/>
      <c r="GPD97" s="44"/>
      <c r="GPE97" s="44"/>
      <c r="GPF97" s="44"/>
      <c r="GPG97" s="44"/>
      <c r="GPH97" s="44"/>
      <c r="GPI97" s="44"/>
      <c r="GPJ97" s="44"/>
      <c r="GPK97" s="44"/>
      <c r="GPL97" s="44"/>
      <c r="GPM97" s="44"/>
      <c r="GPN97" s="44"/>
      <c r="GPO97" s="44"/>
      <c r="GPP97" s="44"/>
      <c r="GPQ97" s="44"/>
      <c r="GPR97" s="44"/>
      <c r="GPS97" s="44"/>
      <c r="GPT97" s="44"/>
      <c r="GPU97" s="44"/>
      <c r="GPV97" s="44"/>
      <c r="GPW97" s="44"/>
      <c r="GPX97" s="44"/>
      <c r="GPY97" s="44"/>
      <c r="GPZ97" s="44"/>
      <c r="GQA97" s="44"/>
      <c r="GQB97" s="44"/>
      <c r="GQC97" s="44"/>
      <c r="GQD97" s="44"/>
      <c r="GQE97" s="44"/>
      <c r="GQF97" s="44"/>
      <c r="GQG97" s="44"/>
      <c r="GQH97" s="44"/>
      <c r="GQI97" s="44"/>
      <c r="GQJ97" s="44"/>
      <c r="GQK97" s="44"/>
      <c r="GQL97" s="44"/>
      <c r="GQM97" s="44"/>
      <c r="GQN97" s="44"/>
      <c r="GQO97" s="44"/>
      <c r="GQP97" s="44"/>
      <c r="GQQ97" s="44"/>
      <c r="GQR97" s="44"/>
      <c r="GQS97" s="44"/>
      <c r="GQT97" s="44"/>
      <c r="GQU97" s="44"/>
      <c r="GQV97" s="44"/>
      <c r="GQW97" s="44"/>
      <c r="GQX97" s="44"/>
      <c r="GQY97" s="44"/>
      <c r="GQZ97" s="44"/>
      <c r="GRA97" s="44"/>
      <c r="GRB97" s="44"/>
      <c r="GRC97" s="44"/>
      <c r="GRD97" s="44"/>
      <c r="GRE97" s="44"/>
      <c r="GRF97" s="44"/>
      <c r="GRG97" s="44"/>
      <c r="GRH97" s="44"/>
      <c r="GRI97" s="44"/>
      <c r="GRJ97" s="44"/>
      <c r="GRK97" s="44"/>
      <c r="GRL97" s="44"/>
      <c r="GRM97" s="44"/>
      <c r="GRN97" s="44"/>
      <c r="GRO97" s="44"/>
      <c r="GRP97" s="44"/>
      <c r="GRQ97" s="44"/>
      <c r="GRR97" s="44"/>
      <c r="GRS97" s="44"/>
      <c r="GRT97" s="44"/>
      <c r="GRU97" s="44"/>
      <c r="GRV97" s="44"/>
      <c r="GRW97" s="44"/>
      <c r="GRX97" s="44"/>
      <c r="GRY97" s="44"/>
      <c r="GRZ97" s="44"/>
      <c r="GSA97" s="44"/>
      <c r="GSB97" s="44"/>
      <c r="GSC97" s="44"/>
      <c r="GSD97" s="44"/>
      <c r="GSE97" s="44"/>
      <c r="GSF97" s="44"/>
      <c r="GSG97" s="44"/>
      <c r="GSH97" s="44"/>
      <c r="GSI97" s="44"/>
      <c r="GSJ97" s="44"/>
      <c r="GSK97" s="44"/>
      <c r="GSL97" s="44"/>
      <c r="GSM97" s="44"/>
      <c r="GSN97" s="44"/>
      <c r="GSO97" s="44"/>
      <c r="GSP97" s="44"/>
      <c r="GSQ97" s="44"/>
      <c r="GSR97" s="44"/>
      <c r="GSS97" s="44"/>
      <c r="GST97" s="44"/>
      <c r="GSU97" s="44"/>
      <c r="GSV97" s="44"/>
      <c r="GSW97" s="44"/>
      <c r="GSX97" s="44"/>
      <c r="GSY97" s="44"/>
      <c r="GSZ97" s="44"/>
      <c r="GTA97" s="44"/>
      <c r="GTB97" s="44"/>
      <c r="GTC97" s="44"/>
      <c r="GTD97" s="44"/>
      <c r="GTE97" s="44"/>
      <c r="GTF97" s="44"/>
      <c r="GTG97" s="44"/>
      <c r="GTH97" s="44"/>
      <c r="GTI97" s="44"/>
      <c r="GTJ97" s="44"/>
      <c r="GTK97" s="44"/>
      <c r="GTL97" s="44"/>
      <c r="GTM97" s="44"/>
      <c r="GTN97" s="44"/>
      <c r="GTO97" s="44"/>
      <c r="GTP97" s="44"/>
      <c r="GTQ97" s="44"/>
      <c r="GTR97" s="44"/>
      <c r="GTS97" s="44"/>
      <c r="GTT97" s="44"/>
      <c r="GTU97" s="44"/>
      <c r="GTV97" s="44"/>
      <c r="GTW97" s="44"/>
      <c r="GTX97" s="44"/>
      <c r="GTY97" s="44"/>
      <c r="GTZ97" s="44"/>
      <c r="GUA97" s="44"/>
      <c r="GUB97" s="44"/>
      <c r="GUC97" s="44"/>
      <c r="GUD97" s="44"/>
      <c r="GUE97" s="44"/>
      <c r="GUF97" s="44"/>
      <c r="GUG97" s="44"/>
      <c r="GUH97" s="44"/>
      <c r="GUI97" s="44"/>
      <c r="GUJ97" s="44"/>
      <c r="GUK97" s="44"/>
      <c r="GUL97" s="44"/>
      <c r="GUM97" s="44"/>
      <c r="GUN97" s="44"/>
      <c r="GUO97" s="44"/>
      <c r="GUP97" s="44"/>
      <c r="GUQ97" s="44"/>
      <c r="GUR97" s="44"/>
      <c r="GUS97" s="44"/>
      <c r="GUT97" s="44"/>
      <c r="GUU97" s="44"/>
      <c r="GUV97" s="44"/>
      <c r="GUW97" s="44"/>
      <c r="GUX97" s="44"/>
      <c r="GUY97" s="44"/>
      <c r="GUZ97" s="44"/>
      <c r="GVA97" s="44"/>
      <c r="GVB97" s="44"/>
      <c r="GVC97" s="44"/>
      <c r="GVD97" s="44"/>
      <c r="GVE97" s="44"/>
      <c r="GVF97" s="44"/>
      <c r="GVG97" s="44"/>
      <c r="GVH97" s="44"/>
      <c r="GVI97" s="44"/>
      <c r="GVJ97" s="44"/>
      <c r="GVK97" s="44"/>
      <c r="GVL97" s="44"/>
      <c r="GVM97" s="44"/>
      <c r="GVN97" s="44"/>
      <c r="GVO97" s="44"/>
      <c r="GVP97" s="44"/>
      <c r="GVQ97" s="44"/>
      <c r="GVR97" s="44"/>
      <c r="GVS97" s="44"/>
      <c r="GVT97" s="44"/>
      <c r="GVU97" s="44"/>
      <c r="GVV97" s="44"/>
      <c r="GVW97" s="44"/>
      <c r="GVX97" s="44"/>
      <c r="GVY97" s="44"/>
      <c r="GVZ97" s="44"/>
      <c r="GWA97" s="44"/>
      <c r="GWB97" s="44"/>
      <c r="GWC97" s="44"/>
      <c r="GWD97" s="44"/>
      <c r="GWE97" s="44"/>
      <c r="GWF97" s="44"/>
      <c r="GWG97" s="44"/>
      <c r="GWH97" s="44"/>
      <c r="GWI97" s="44"/>
      <c r="GWJ97" s="44"/>
      <c r="GWK97" s="44"/>
      <c r="GWL97" s="44"/>
      <c r="GWM97" s="44"/>
      <c r="GWN97" s="44"/>
      <c r="GWO97" s="44"/>
      <c r="GWP97" s="44"/>
      <c r="GWQ97" s="44"/>
      <c r="GWR97" s="44"/>
      <c r="GWS97" s="44"/>
      <c r="GWT97" s="44"/>
      <c r="GWU97" s="44"/>
      <c r="GWV97" s="44"/>
      <c r="GWW97" s="44"/>
      <c r="GWX97" s="44"/>
      <c r="GWY97" s="44"/>
      <c r="GWZ97" s="44"/>
      <c r="GXA97" s="44"/>
      <c r="GXB97" s="44"/>
      <c r="GXC97" s="44"/>
      <c r="GXD97" s="44"/>
      <c r="GXE97" s="44"/>
      <c r="GXF97" s="44"/>
      <c r="GXG97" s="44"/>
      <c r="GXH97" s="44"/>
      <c r="GXI97" s="44"/>
      <c r="GXJ97" s="44"/>
      <c r="GXK97" s="44"/>
      <c r="GXL97" s="44"/>
      <c r="GXM97" s="44"/>
      <c r="GXN97" s="44"/>
      <c r="GXO97" s="44"/>
      <c r="GXP97" s="44"/>
      <c r="GXQ97" s="44"/>
      <c r="GXR97" s="44"/>
      <c r="GXS97" s="44"/>
      <c r="GXT97" s="44"/>
      <c r="GXU97" s="44"/>
      <c r="GXV97" s="44"/>
      <c r="GXW97" s="44"/>
      <c r="GXX97" s="44"/>
      <c r="GXY97" s="44"/>
      <c r="GXZ97" s="44"/>
      <c r="GYA97" s="44"/>
      <c r="GYB97" s="44"/>
      <c r="GYC97" s="44"/>
      <c r="GYD97" s="44"/>
      <c r="GYE97" s="44"/>
      <c r="GYF97" s="44"/>
      <c r="GYG97" s="44"/>
      <c r="GYH97" s="44"/>
      <c r="GYI97" s="44"/>
      <c r="GYJ97" s="44"/>
      <c r="GYK97" s="44"/>
      <c r="GYL97" s="44"/>
      <c r="GYM97" s="44"/>
      <c r="GYN97" s="44"/>
      <c r="GYO97" s="44"/>
      <c r="GYP97" s="44"/>
      <c r="GYQ97" s="44"/>
      <c r="GYR97" s="44"/>
      <c r="GYS97" s="44"/>
      <c r="GYT97" s="44"/>
      <c r="GYU97" s="44"/>
      <c r="GYV97" s="44"/>
      <c r="GYW97" s="44"/>
      <c r="GYX97" s="44"/>
      <c r="GYY97" s="44"/>
      <c r="GYZ97" s="44"/>
      <c r="GZA97" s="44"/>
      <c r="GZB97" s="44"/>
      <c r="GZC97" s="44"/>
      <c r="GZD97" s="44"/>
      <c r="GZE97" s="44"/>
      <c r="GZF97" s="44"/>
      <c r="GZG97" s="44"/>
      <c r="GZH97" s="44"/>
      <c r="GZI97" s="44"/>
      <c r="GZJ97" s="44"/>
      <c r="GZK97" s="44"/>
      <c r="GZL97" s="44"/>
      <c r="GZM97" s="44"/>
      <c r="GZN97" s="44"/>
      <c r="GZO97" s="44"/>
      <c r="GZP97" s="44"/>
      <c r="GZQ97" s="44"/>
      <c r="GZR97" s="44"/>
      <c r="GZS97" s="44"/>
      <c r="GZT97" s="44"/>
      <c r="GZU97" s="44"/>
      <c r="GZV97" s="44"/>
      <c r="GZW97" s="44"/>
      <c r="GZX97" s="44"/>
      <c r="GZY97" s="44"/>
      <c r="GZZ97" s="44"/>
      <c r="HAA97" s="44"/>
      <c r="HAB97" s="44"/>
      <c r="HAC97" s="44"/>
      <c r="HAD97" s="44"/>
      <c r="HAE97" s="44"/>
      <c r="HAF97" s="44"/>
      <c r="HAG97" s="44"/>
      <c r="HAH97" s="44"/>
      <c r="HAI97" s="44"/>
      <c r="HAJ97" s="44"/>
      <c r="HAK97" s="44"/>
      <c r="HAL97" s="44"/>
      <c r="HAM97" s="44"/>
      <c r="HAN97" s="44"/>
      <c r="HAO97" s="44"/>
      <c r="HAP97" s="44"/>
      <c r="HAQ97" s="44"/>
      <c r="HAR97" s="44"/>
      <c r="HAS97" s="44"/>
      <c r="HAT97" s="44"/>
      <c r="HAU97" s="44"/>
      <c r="HAV97" s="44"/>
      <c r="HAW97" s="44"/>
      <c r="HAX97" s="44"/>
      <c r="HAY97" s="44"/>
      <c r="HAZ97" s="44"/>
      <c r="HBA97" s="44"/>
      <c r="HBB97" s="44"/>
      <c r="HBC97" s="44"/>
      <c r="HBD97" s="44"/>
      <c r="HBE97" s="44"/>
      <c r="HBF97" s="44"/>
      <c r="HBG97" s="44"/>
      <c r="HBH97" s="44"/>
      <c r="HBI97" s="44"/>
      <c r="HBJ97" s="44"/>
      <c r="HBK97" s="44"/>
      <c r="HBL97" s="44"/>
      <c r="HBM97" s="44"/>
      <c r="HBN97" s="44"/>
      <c r="HBO97" s="44"/>
      <c r="HBP97" s="44"/>
      <c r="HBQ97" s="44"/>
      <c r="HBR97" s="44"/>
      <c r="HBS97" s="44"/>
      <c r="HBT97" s="44"/>
      <c r="HBU97" s="44"/>
      <c r="HBV97" s="44"/>
      <c r="HBW97" s="44"/>
      <c r="HBX97" s="44"/>
      <c r="HBY97" s="44"/>
      <c r="HBZ97" s="44"/>
      <c r="HCA97" s="44"/>
      <c r="HCB97" s="44"/>
      <c r="HCC97" s="44"/>
      <c r="HCD97" s="44"/>
      <c r="HCE97" s="44"/>
      <c r="HCF97" s="44"/>
      <c r="HCG97" s="44"/>
      <c r="HCH97" s="44"/>
      <c r="HCI97" s="44"/>
      <c r="HCJ97" s="44"/>
      <c r="HCK97" s="44"/>
      <c r="HCL97" s="44"/>
      <c r="HCM97" s="44"/>
      <c r="HCN97" s="44"/>
      <c r="HCO97" s="44"/>
      <c r="HCP97" s="44"/>
      <c r="HCQ97" s="44"/>
      <c r="HCR97" s="44"/>
      <c r="HCS97" s="44"/>
      <c r="HCT97" s="44"/>
      <c r="HCU97" s="44"/>
      <c r="HCV97" s="44"/>
      <c r="HCW97" s="44"/>
      <c r="HCX97" s="44"/>
      <c r="HCY97" s="44"/>
      <c r="HCZ97" s="44"/>
      <c r="HDA97" s="44"/>
      <c r="HDB97" s="44"/>
      <c r="HDC97" s="44"/>
      <c r="HDD97" s="44"/>
      <c r="HDE97" s="44"/>
      <c r="HDF97" s="44"/>
      <c r="HDG97" s="44"/>
      <c r="HDH97" s="44"/>
      <c r="HDI97" s="44"/>
      <c r="HDJ97" s="44"/>
      <c r="HDK97" s="44"/>
      <c r="HDL97" s="44"/>
      <c r="HDM97" s="44"/>
      <c r="HDN97" s="44"/>
      <c r="HDO97" s="44"/>
      <c r="HDP97" s="44"/>
      <c r="HDQ97" s="44"/>
      <c r="HDR97" s="44"/>
      <c r="HDS97" s="44"/>
      <c r="HDT97" s="44"/>
      <c r="HDU97" s="44"/>
      <c r="HDV97" s="44"/>
      <c r="HDW97" s="44"/>
      <c r="HDX97" s="44"/>
      <c r="HDY97" s="44"/>
      <c r="HDZ97" s="44"/>
      <c r="HEA97" s="44"/>
      <c r="HEB97" s="44"/>
      <c r="HEC97" s="44"/>
      <c r="HED97" s="44"/>
      <c r="HEE97" s="44"/>
      <c r="HEF97" s="44"/>
      <c r="HEG97" s="44"/>
      <c r="HEH97" s="44"/>
      <c r="HEI97" s="44"/>
      <c r="HEJ97" s="44"/>
      <c r="HEK97" s="44"/>
      <c r="HEL97" s="44"/>
      <c r="HEM97" s="44"/>
      <c r="HEN97" s="44"/>
      <c r="HEO97" s="44"/>
      <c r="HEP97" s="44"/>
      <c r="HEQ97" s="44"/>
      <c r="HER97" s="44"/>
      <c r="HES97" s="44"/>
      <c r="HET97" s="44"/>
      <c r="HEU97" s="44"/>
      <c r="HEV97" s="44"/>
      <c r="HEW97" s="44"/>
      <c r="HEX97" s="44"/>
      <c r="HEY97" s="44"/>
      <c r="HEZ97" s="44"/>
      <c r="HFA97" s="44"/>
      <c r="HFB97" s="44"/>
      <c r="HFC97" s="44"/>
      <c r="HFD97" s="44"/>
      <c r="HFE97" s="44"/>
      <c r="HFF97" s="44"/>
      <c r="HFG97" s="44"/>
      <c r="HFH97" s="44"/>
      <c r="HFI97" s="44"/>
      <c r="HFJ97" s="44"/>
      <c r="HFK97" s="44"/>
      <c r="HFL97" s="44"/>
      <c r="HFM97" s="44"/>
      <c r="HFN97" s="44"/>
      <c r="HFO97" s="44"/>
      <c r="HFP97" s="44"/>
      <c r="HFQ97" s="44"/>
      <c r="HFR97" s="44"/>
      <c r="HFS97" s="44"/>
      <c r="HFT97" s="44"/>
      <c r="HFU97" s="44"/>
      <c r="HFV97" s="44"/>
      <c r="HFW97" s="44"/>
      <c r="HFX97" s="44"/>
      <c r="HFY97" s="44"/>
      <c r="HFZ97" s="44"/>
      <c r="HGA97" s="44"/>
      <c r="HGB97" s="44"/>
      <c r="HGC97" s="44"/>
      <c r="HGD97" s="44"/>
      <c r="HGE97" s="44"/>
      <c r="HGF97" s="44"/>
      <c r="HGG97" s="44"/>
      <c r="HGH97" s="44"/>
      <c r="HGI97" s="44"/>
      <c r="HGJ97" s="44"/>
      <c r="HGK97" s="44"/>
      <c r="HGL97" s="44"/>
      <c r="HGM97" s="44"/>
      <c r="HGN97" s="44"/>
      <c r="HGO97" s="44"/>
      <c r="HGP97" s="44"/>
      <c r="HGQ97" s="44"/>
      <c r="HGR97" s="44"/>
      <c r="HGS97" s="44"/>
      <c r="HGT97" s="44"/>
      <c r="HGU97" s="44"/>
      <c r="HGV97" s="44"/>
      <c r="HGW97" s="44"/>
      <c r="HGX97" s="44"/>
      <c r="HGY97" s="44"/>
      <c r="HGZ97" s="44"/>
      <c r="HHA97" s="44"/>
      <c r="HHB97" s="44"/>
      <c r="HHC97" s="44"/>
      <c r="HHD97" s="44"/>
      <c r="HHE97" s="44"/>
      <c r="HHF97" s="44"/>
      <c r="HHG97" s="44"/>
      <c r="HHH97" s="44"/>
      <c r="HHI97" s="44"/>
      <c r="HHJ97" s="44"/>
      <c r="HHK97" s="44"/>
      <c r="HHL97" s="44"/>
      <c r="HHM97" s="44"/>
      <c r="HHN97" s="44"/>
      <c r="HHO97" s="44"/>
      <c r="HHP97" s="44"/>
      <c r="HHQ97" s="44"/>
      <c r="HHR97" s="44"/>
      <c r="HHS97" s="44"/>
      <c r="HHT97" s="44"/>
      <c r="HHU97" s="44"/>
      <c r="HHV97" s="44"/>
      <c r="HHW97" s="44"/>
      <c r="HHX97" s="44"/>
      <c r="HHY97" s="44"/>
      <c r="HHZ97" s="44"/>
      <c r="HIA97" s="44"/>
      <c r="HIB97" s="44"/>
      <c r="HIC97" s="44"/>
      <c r="HID97" s="44"/>
      <c r="HIE97" s="44"/>
      <c r="HIF97" s="44"/>
      <c r="HIG97" s="44"/>
      <c r="HIH97" s="44"/>
      <c r="HII97" s="44"/>
      <c r="HIJ97" s="44"/>
      <c r="HIK97" s="44"/>
      <c r="HIL97" s="44"/>
      <c r="HIM97" s="44"/>
      <c r="HIN97" s="44"/>
      <c r="HIO97" s="44"/>
      <c r="HIP97" s="44"/>
      <c r="HIQ97" s="44"/>
      <c r="HIR97" s="44"/>
      <c r="HIS97" s="44"/>
      <c r="HIT97" s="44"/>
      <c r="HIU97" s="44"/>
      <c r="HIV97" s="44"/>
      <c r="HIW97" s="44"/>
      <c r="HIX97" s="44"/>
      <c r="HIY97" s="44"/>
      <c r="HIZ97" s="44"/>
      <c r="HJA97" s="44"/>
      <c r="HJB97" s="44"/>
      <c r="HJC97" s="44"/>
      <c r="HJD97" s="44"/>
      <c r="HJE97" s="44"/>
      <c r="HJF97" s="44"/>
      <c r="HJG97" s="44"/>
      <c r="HJH97" s="44"/>
      <c r="HJI97" s="44"/>
      <c r="HJJ97" s="44"/>
      <c r="HJK97" s="44"/>
      <c r="HJL97" s="44"/>
      <c r="HJM97" s="44"/>
      <c r="HJN97" s="44"/>
      <c r="HJO97" s="44"/>
      <c r="HJP97" s="44"/>
      <c r="HJQ97" s="44"/>
      <c r="HJR97" s="44"/>
      <c r="HJS97" s="44"/>
      <c r="HJT97" s="44"/>
      <c r="HJU97" s="44"/>
      <c r="HJV97" s="44"/>
      <c r="HJW97" s="44"/>
      <c r="HJX97" s="44"/>
      <c r="HJY97" s="44"/>
      <c r="HJZ97" s="44"/>
      <c r="HKA97" s="44"/>
      <c r="HKB97" s="44"/>
      <c r="HKC97" s="44"/>
      <c r="HKD97" s="44"/>
      <c r="HKE97" s="44"/>
      <c r="HKF97" s="44"/>
      <c r="HKG97" s="44"/>
      <c r="HKH97" s="44"/>
      <c r="HKI97" s="44"/>
      <c r="HKJ97" s="44"/>
      <c r="HKK97" s="44"/>
      <c r="HKL97" s="44"/>
      <c r="HKM97" s="44"/>
      <c r="HKN97" s="44"/>
      <c r="HKO97" s="44"/>
      <c r="HKP97" s="44"/>
      <c r="HKQ97" s="44"/>
      <c r="HKR97" s="44"/>
      <c r="HKS97" s="44"/>
      <c r="HKT97" s="44"/>
      <c r="HKU97" s="44"/>
      <c r="HKV97" s="44"/>
      <c r="HKW97" s="44"/>
      <c r="HKX97" s="44"/>
      <c r="HKY97" s="44"/>
      <c r="HKZ97" s="44"/>
      <c r="HLA97" s="44"/>
      <c r="HLB97" s="44"/>
      <c r="HLC97" s="44"/>
      <c r="HLD97" s="44"/>
      <c r="HLE97" s="44"/>
      <c r="HLF97" s="44"/>
      <c r="HLG97" s="44"/>
      <c r="HLH97" s="44"/>
      <c r="HLI97" s="44"/>
      <c r="HLJ97" s="44"/>
      <c r="HLK97" s="44"/>
      <c r="HLL97" s="44"/>
      <c r="HLM97" s="44"/>
      <c r="HLN97" s="44"/>
      <c r="HLO97" s="44"/>
      <c r="HLP97" s="44"/>
      <c r="HLQ97" s="44"/>
      <c r="HLR97" s="44"/>
      <c r="HLS97" s="44"/>
      <c r="HLT97" s="44"/>
      <c r="HLU97" s="44"/>
      <c r="HLV97" s="44"/>
      <c r="HLW97" s="44"/>
      <c r="HLX97" s="44"/>
      <c r="HLY97" s="44"/>
      <c r="HLZ97" s="44"/>
      <c r="HMA97" s="44"/>
      <c r="HMB97" s="44"/>
      <c r="HMC97" s="44"/>
      <c r="HMD97" s="44"/>
      <c r="HME97" s="44"/>
      <c r="HMF97" s="44"/>
      <c r="HMG97" s="44"/>
      <c r="HMH97" s="44"/>
      <c r="HMI97" s="44"/>
      <c r="HMJ97" s="44"/>
      <c r="HMK97" s="44"/>
      <c r="HML97" s="44"/>
      <c r="HMM97" s="44"/>
      <c r="HMN97" s="44"/>
      <c r="HMO97" s="44"/>
      <c r="HMP97" s="44"/>
      <c r="HMQ97" s="44"/>
      <c r="HMR97" s="44"/>
      <c r="HMS97" s="44"/>
      <c r="HMT97" s="44"/>
      <c r="HMU97" s="44"/>
      <c r="HMV97" s="44"/>
      <c r="HMW97" s="44"/>
      <c r="HMX97" s="44"/>
      <c r="HMY97" s="44"/>
      <c r="HMZ97" s="44"/>
      <c r="HNA97" s="44"/>
      <c r="HNB97" s="44"/>
      <c r="HNC97" s="44"/>
      <c r="HND97" s="44"/>
      <c r="HNE97" s="44"/>
      <c r="HNF97" s="44"/>
      <c r="HNG97" s="44"/>
      <c r="HNH97" s="44"/>
      <c r="HNI97" s="44"/>
      <c r="HNJ97" s="44"/>
      <c r="HNK97" s="44"/>
      <c r="HNL97" s="44"/>
      <c r="HNM97" s="44"/>
      <c r="HNN97" s="44"/>
      <c r="HNO97" s="44"/>
      <c r="HNP97" s="44"/>
      <c r="HNQ97" s="44"/>
      <c r="HNR97" s="44"/>
      <c r="HNS97" s="44"/>
      <c r="HNT97" s="44"/>
      <c r="HNU97" s="44"/>
      <c r="HNV97" s="44"/>
      <c r="HNW97" s="44"/>
      <c r="HNX97" s="44"/>
      <c r="HNY97" s="44"/>
      <c r="HNZ97" s="44"/>
      <c r="HOA97" s="44"/>
      <c r="HOB97" s="44"/>
      <c r="HOC97" s="44"/>
      <c r="HOD97" s="44"/>
      <c r="HOE97" s="44"/>
      <c r="HOF97" s="44"/>
      <c r="HOG97" s="44"/>
      <c r="HOH97" s="44"/>
      <c r="HOI97" s="44"/>
      <c r="HOJ97" s="44"/>
      <c r="HOK97" s="44"/>
      <c r="HOL97" s="44"/>
      <c r="HOM97" s="44"/>
      <c r="HON97" s="44"/>
      <c r="HOO97" s="44"/>
      <c r="HOP97" s="44"/>
      <c r="HOQ97" s="44"/>
      <c r="HOR97" s="44"/>
      <c r="HOS97" s="44"/>
      <c r="HOT97" s="44"/>
      <c r="HOU97" s="44"/>
      <c r="HOV97" s="44"/>
      <c r="HOW97" s="44"/>
      <c r="HOX97" s="44"/>
      <c r="HOY97" s="44"/>
      <c r="HOZ97" s="44"/>
      <c r="HPA97" s="44"/>
      <c r="HPB97" s="44"/>
      <c r="HPC97" s="44"/>
      <c r="HPD97" s="44"/>
      <c r="HPE97" s="44"/>
      <c r="HPF97" s="44"/>
      <c r="HPG97" s="44"/>
      <c r="HPH97" s="44"/>
      <c r="HPI97" s="44"/>
      <c r="HPJ97" s="44"/>
      <c r="HPK97" s="44"/>
      <c r="HPL97" s="44"/>
      <c r="HPM97" s="44"/>
      <c r="HPN97" s="44"/>
      <c r="HPO97" s="44"/>
      <c r="HPP97" s="44"/>
      <c r="HPQ97" s="44"/>
      <c r="HPR97" s="44"/>
      <c r="HPS97" s="44"/>
      <c r="HPT97" s="44"/>
      <c r="HPU97" s="44"/>
      <c r="HPV97" s="44"/>
      <c r="HPW97" s="44"/>
      <c r="HPX97" s="44"/>
      <c r="HPY97" s="44"/>
      <c r="HPZ97" s="44"/>
      <c r="HQA97" s="44"/>
      <c r="HQB97" s="44"/>
      <c r="HQC97" s="44"/>
      <c r="HQD97" s="44"/>
      <c r="HQE97" s="44"/>
      <c r="HQF97" s="44"/>
      <c r="HQG97" s="44"/>
      <c r="HQH97" s="44"/>
      <c r="HQI97" s="44"/>
      <c r="HQJ97" s="44"/>
      <c r="HQK97" s="44"/>
      <c r="HQL97" s="44"/>
      <c r="HQM97" s="44"/>
      <c r="HQN97" s="44"/>
      <c r="HQO97" s="44"/>
      <c r="HQP97" s="44"/>
      <c r="HQQ97" s="44"/>
      <c r="HQR97" s="44"/>
      <c r="HQS97" s="44"/>
      <c r="HQT97" s="44"/>
      <c r="HQU97" s="44"/>
      <c r="HQV97" s="44"/>
      <c r="HQW97" s="44"/>
      <c r="HQX97" s="44"/>
      <c r="HQY97" s="44"/>
      <c r="HQZ97" s="44"/>
      <c r="HRA97" s="44"/>
      <c r="HRB97" s="44"/>
      <c r="HRC97" s="44"/>
      <c r="HRD97" s="44"/>
      <c r="HRE97" s="44"/>
      <c r="HRF97" s="44"/>
      <c r="HRG97" s="44"/>
      <c r="HRH97" s="44"/>
      <c r="HRI97" s="44"/>
      <c r="HRJ97" s="44"/>
      <c r="HRK97" s="44"/>
      <c r="HRL97" s="44"/>
      <c r="HRM97" s="44"/>
      <c r="HRN97" s="44"/>
      <c r="HRO97" s="44"/>
      <c r="HRP97" s="44"/>
      <c r="HRQ97" s="44"/>
      <c r="HRR97" s="44"/>
      <c r="HRS97" s="44"/>
      <c r="HRT97" s="44"/>
      <c r="HRU97" s="44"/>
      <c r="HRV97" s="44"/>
      <c r="HRW97" s="44"/>
      <c r="HRX97" s="44"/>
      <c r="HRY97" s="44"/>
      <c r="HRZ97" s="44"/>
      <c r="HSA97" s="44"/>
      <c r="HSB97" s="44"/>
      <c r="HSC97" s="44"/>
      <c r="HSD97" s="44"/>
      <c r="HSE97" s="44"/>
      <c r="HSF97" s="44"/>
      <c r="HSG97" s="44"/>
      <c r="HSH97" s="44"/>
      <c r="HSI97" s="44"/>
      <c r="HSJ97" s="44"/>
      <c r="HSK97" s="44"/>
      <c r="HSL97" s="44"/>
      <c r="HSM97" s="44"/>
      <c r="HSN97" s="44"/>
      <c r="HSO97" s="44"/>
      <c r="HSP97" s="44"/>
      <c r="HSQ97" s="44"/>
      <c r="HSR97" s="44"/>
      <c r="HSS97" s="44"/>
      <c r="HST97" s="44"/>
      <c r="HSU97" s="44"/>
      <c r="HSV97" s="44"/>
      <c r="HSW97" s="44"/>
      <c r="HSX97" s="44"/>
      <c r="HSY97" s="44"/>
      <c r="HSZ97" s="44"/>
      <c r="HTA97" s="44"/>
      <c r="HTB97" s="44"/>
      <c r="HTC97" s="44"/>
      <c r="HTD97" s="44"/>
      <c r="HTE97" s="44"/>
      <c r="HTF97" s="44"/>
      <c r="HTG97" s="44"/>
      <c r="HTH97" s="44"/>
      <c r="HTI97" s="44"/>
      <c r="HTJ97" s="44"/>
      <c r="HTK97" s="44"/>
      <c r="HTL97" s="44"/>
      <c r="HTM97" s="44"/>
      <c r="HTN97" s="44"/>
      <c r="HTO97" s="44"/>
      <c r="HTP97" s="44"/>
      <c r="HTQ97" s="44"/>
      <c r="HTR97" s="44"/>
      <c r="HTS97" s="44"/>
      <c r="HTT97" s="44"/>
      <c r="HTU97" s="44"/>
      <c r="HTV97" s="44"/>
      <c r="HTW97" s="44"/>
      <c r="HTX97" s="44"/>
      <c r="HTY97" s="44"/>
      <c r="HTZ97" s="44"/>
      <c r="HUA97" s="44"/>
      <c r="HUB97" s="44"/>
      <c r="HUC97" s="44"/>
      <c r="HUD97" s="44"/>
      <c r="HUE97" s="44"/>
      <c r="HUF97" s="44"/>
      <c r="HUG97" s="44"/>
      <c r="HUH97" s="44"/>
      <c r="HUI97" s="44"/>
      <c r="HUJ97" s="44"/>
      <c r="HUK97" s="44"/>
      <c r="HUL97" s="44"/>
      <c r="HUM97" s="44"/>
      <c r="HUN97" s="44"/>
      <c r="HUO97" s="44"/>
      <c r="HUP97" s="44"/>
      <c r="HUQ97" s="44"/>
      <c r="HUR97" s="44"/>
      <c r="HUS97" s="44"/>
      <c r="HUT97" s="44"/>
      <c r="HUU97" s="44"/>
      <c r="HUV97" s="44"/>
      <c r="HUW97" s="44"/>
      <c r="HUX97" s="44"/>
      <c r="HUY97" s="44"/>
      <c r="HUZ97" s="44"/>
      <c r="HVA97" s="44"/>
      <c r="HVB97" s="44"/>
      <c r="HVC97" s="44"/>
      <c r="HVD97" s="44"/>
      <c r="HVE97" s="44"/>
      <c r="HVF97" s="44"/>
      <c r="HVG97" s="44"/>
      <c r="HVH97" s="44"/>
      <c r="HVI97" s="44"/>
      <c r="HVJ97" s="44"/>
      <c r="HVK97" s="44"/>
      <c r="HVL97" s="44"/>
      <c r="HVM97" s="44"/>
      <c r="HVN97" s="44"/>
      <c r="HVO97" s="44"/>
      <c r="HVP97" s="44"/>
      <c r="HVQ97" s="44"/>
      <c r="HVR97" s="44"/>
      <c r="HVS97" s="44"/>
      <c r="HVT97" s="44"/>
      <c r="HVU97" s="44"/>
      <c r="HVV97" s="44"/>
      <c r="HVW97" s="44"/>
      <c r="HVX97" s="44"/>
      <c r="HVY97" s="44"/>
      <c r="HVZ97" s="44"/>
      <c r="HWA97" s="44"/>
      <c r="HWB97" s="44"/>
      <c r="HWC97" s="44"/>
      <c r="HWD97" s="44"/>
      <c r="HWE97" s="44"/>
      <c r="HWF97" s="44"/>
      <c r="HWG97" s="44"/>
      <c r="HWH97" s="44"/>
      <c r="HWI97" s="44"/>
      <c r="HWJ97" s="44"/>
      <c r="HWK97" s="44"/>
      <c r="HWL97" s="44"/>
      <c r="HWM97" s="44"/>
      <c r="HWN97" s="44"/>
      <c r="HWO97" s="44"/>
      <c r="HWP97" s="44"/>
      <c r="HWQ97" s="44"/>
      <c r="HWR97" s="44"/>
      <c r="HWS97" s="44"/>
      <c r="HWT97" s="44"/>
      <c r="HWU97" s="44"/>
      <c r="HWV97" s="44"/>
      <c r="HWW97" s="44"/>
      <c r="HWX97" s="44"/>
      <c r="HWY97" s="44"/>
      <c r="HWZ97" s="44"/>
      <c r="HXA97" s="44"/>
      <c r="HXB97" s="44"/>
      <c r="HXC97" s="44"/>
      <c r="HXD97" s="44"/>
      <c r="HXE97" s="44"/>
      <c r="HXF97" s="44"/>
      <c r="HXG97" s="44"/>
      <c r="HXH97" s="44"/>
      <c r="HXI97" s="44"/>
      <c r="HXJ97" s="44"/>
      <c r="HXK97" s="44"/>
      <c r="HXL97" s="44"/>
      <c r="HXM97" s="44"/>
      <c r="HXN97" s="44"/>
      <c r="HXO97" s="44"/>
      <c r="HXP97" s="44"/>
      <c r="HXQ97" s="44"/>
      <c r="HXR97" s="44"/>
      <c r="HXS97" s="44"/>
      <c r="HXT97" s="44"/>
      <c r="HXU97" s="44"/>
      <c r="HXV97" s="44"/>
      <c r="HXW97" s="44"/>
      <c r="HXX97" s="44"/>
      <c r="HXY97" s="44"/>
      <c r="HXZ97" s="44"/>
      <c r="HYA97" s="44"/>
      <c r="HYB97" s="44"/>
      <c r="HYC97" s="44"/>
      <c r="HYD97" s="44"/>
      <c r="HYE97" s="44"/>
      <c r="HYF97" s="44"/>
      <c r="HYG97" s="44"/>
      <c r="HYH97" s="44"/>
      <c r="HYI97" s="44"/>
      <c r="HYJ97" s="44"/>
      <c r="HYK97" s="44"/>
      <c r="HYL97" s="44"/>
      <c r="HYM97" s="44"/>
      <c r="HYN97" s="44"/>
      <c r="HYO97" s="44"/>
      <c r="HYP97" s="44"/>
      <c r="HYQ97" s="44"/>
      <c r="HYR97" s="44"/>
      <c r="HYS97" s="44"/>
      <c r="HYT97" s="44"/>
      <c r="HYU97" s="44"/>
      <c r="HYV97" s="44"/>
      <c r="HYW97" s="44"/>
      <c r="HYX97" s="44"/>
      <c r="HYY97" s="44"/>
      <c r="HYZ97" s="44"/>
      <c r="HZA97" s="44"/>
      <c r="HZB97" s="44"/>
      <c r="HZC97" s="44"/>
      <c r="HZD97" s="44"/>
      <c r="HZE97" s="44"/>
      <c r="HZF97" s="44"/>
      <c r="HZG97" s="44"/>
      <c r="HZH97" s="44"/>
      <c r="HZI97" s="44"/>
      <c r="HZJ97" s="44"/>
      <c r="HZK97" s="44"/>
      <c r="HZL97" s="44"/>
      <c r="HZM97" s="44"/>
      <c r="HZN97" s="44"/>
      <c r="HZO97" s="44"/>
      <c r="HZP97" s="44"/>
      <c r="HZQ97" s="44"/>
      <c r="HZR97" s="44"/>
      <c r="HZS97" s="44"/>
      <c r="HZT97" s="44"/>
      <c r="HZU97" s="44"/>
      <c r="HZV97" s="44"/>
      <c r="HZW97" s="44"/>
      <c r="HZX97" s="44"/>
      <c r="HZY97" s="44"/>
      <c r="HZZ97" s="44"/>
      <c r="IAA97" s="44"/>
      <c r="IAB97" s="44"/>
      <c r="IAC97" s="44"/>
      <c r="IAD97" s="44"/>
      <c r="IAE97" s="44"/>
      <c r="IAF97" s="44"/>
      <c r="IAG97" s="44"/>
      <c r="IAH97" s="44"/>
      <c r="IAI97" s="44"/>
      <c r="IAJ97" s="44"/>
      <c r="IAK97" s="44"/>
      <c r="IAL97" s="44"/>
      <c r="IAM97" s="44"/>
      <c r="IAN97" s="44"/>
      <c r="IAO97" s="44"/>
      <c r="IAP97" s="44"/>
      <c r="IAQ97" s="44"/>
      <c r="IAR97" s="44"/>
      <c r="IAS97" s="44"/>
      <c r="IAT97" s="44"/>
      <c r="IAU97" s="44"/>
      <c r="IAV97" s="44"/>
      <c r="IAW97" s="44"/>
      <c r="IAX97" s="44"/>
      <c r="IAY97" s="44"/>
      <c r="IAZ97" s="44"/>
      <c r="IBA97" s="44"/>
      <c r="IBB97" s="44"/>
      <c r="IBC97" s="44"/>
      <c r="IBD97" s="44"/>
      <c r="IBE97" s="44"/>
      <c r="IBF97" s="44"/>
      <c r="IBG97" s="44"/>
      <c r="IBH97" s="44"/>
      <c r="IBI97" s="44"/>
      <c r="IBJ97" s="44"/>
      <c r="IBK97" s="44"/>
      <c r="IBL97" s="44"/>
      <c r="IBM97" s="44"/>
      <c r="IBN97" s="44"/>
      <c r="IBO97" s="44"/>
      <c r="IBP97" s="44"/>
      <c r="IBQ97" s="44"/>
      <c r="IBR97" s="44"/>
      <c r="IBS97" s="44"/>
      <c r="IBT97" s="44"/>
      <c r="IBU97" s="44"/>
      <c r="IBV97" s="44"/>
      <c r="IBW97" s="44"/>
      <c r="IBX97" s="44"/>
      <c r="IBY97" s="44"/>
      <c r="IBZ97" s="44"/>
      <c r="ICA97" s="44"/>
      <c r="ICB97" s="44"/>
      <c r="ICC97" s="44"/>
      <c r="ICD97" s="44"/>
      <c r="ICE97" s="44"/>
      <c r="ICF97" s="44"/>
      <c r="ICG97" s="44"/>
      <c r="ICH97" s="44"/>
      <c r="ICI97" s="44"/>
      <c r="ICJ97" s="44"/>
      <c r="ICK97" s="44"/>
      <c r="ICL97" s="44"/>
      <c r="ICM97" s="44"/>
      <c r="ICN97" s="44"/>
      <c r="ICO97" s="44"/>
      <c r="ICP97" s="44"/>
      <c r="ICQ97" s="44"/>
      <c r="ICR97" s="44"/>
      <c r="ICS97" s="44"/>
      <c r="ICT97" s="44"/>
      <c r="ICU97" s="44"/>
      <c r="ICV97" s="44"/>
      <c r="ICW97" s="44"/>
      <c r="ICX97" s="44"/>
      <c r="ICY97" s="44"/>
      <c r="ICZ97" s="44"/>
      <c r="IDA97" s="44"/>
      <c r="IDB97" s="44"/>
      <c r="IDC97" s="44"/>
      <c r="IDD97" s="44"/>
      <c r="IDE97" s="44"/>
      <c r="IDF97" s="44"/>
      <c r="IDG97" s="44"/>
      <c r="IDH97" s="44"/>
      <c r="IDI97" s="44"/>
      <c r="IDJ97" s="44"/>
      <c r="IDK97" s="44"/>
      <c r="IDL97" s="44"/>
      <c r="IDM97" s="44"/>
      <c r="IDN97" s="44"/>
      <c r="IDO97" s="44"/>
      <c r="IDP97" s="44"/>
      <c r="IDQ97" s="44"/>
      <c r="IDR97" s="44"/>
      <c r="IDS97" s="44"/>
      <c r="IDT97" s="44"/>
      <c r="IDU97" s="44"/>
      <c r="IDV97" s="44"/>
      <c r="IDW97" s="44"/>
      <c r="IDX97" s="44"/>
      <c r="IDY97" s="44"/>
      <c r="IDZ97" s="44"/>
      <c r="IEA97" s="44"/>
      <c r="IEB97" s="44"/>
      <c r="IEC97" s="44"/>
      <c r="IED97" s="44"/>
      <c r="IEE97" s="44"/>
      <c r="IEF97" s="44"/>
      <c r="IEG97" s="44"/>
      <c r="IEH97" s="44"/>
      <c r="IEI97" s="44"/>
      <c r="IEJ97" s="44"/>
      <c r="IEK97" s="44"/>
      <c r="IEL97" s="44"/>
      <c r="IEM97" s="44"/>
      <c r="IEN97" s="44"/>
      <c r="IEO97" s="44"/>
      <c r="IEP97" s="44"/>
      <c r="IEQ97" s="44"/>
      <c r="IER97" s="44"/>
      <c r="IES97" s="44"/>
      <c r="IET97" s="44"/>
      <c r="IEU97" s="44"/>
      <c r="IEV97" s="44"/>
      <c r="IEW97" s="44"/>
      <c r="IEX97" s="44"/>
      <c r="IEY97" s="44"/>
      <c r="IEZ97" s="44"/>
      <c r="IFA97" s="44"/>
      <c r="IFB97" s="44"/>
      <c r="IFC97" s="44"/>
      <c r="IFD97" s="44"/>
      <c r="IFE97" s="44"/>
      <c r="IFF97" s="44"/>
      <c r="IFG97" s="44"/>
      <c r="IFH97" s="44"/>
      <c r="IFI97" s="44"/>
      <c r="IFJ97" s="44"/>
      <c r="IFK97" s="44"/>
      <c r="IFL97" s="44"/>
      <c r="IFM97" s="44"/>
      <c r="IFN97" s="44"/>
      <c r="IFO97" s="44"/>
      <c r="IFP97" s="44"/>
      <c r="IFQ97" s="44"/>
      <c r="IFR97" s="44"/>
      <c r="IFS97" s="44"/>
      <c r="IFT97" s="44"/>
      <c r="IFU97" s="44"/>
      <c r="IFV97" s="44"/>
      <c r="IFW97" s="44"/>
      <c r="IFX97" s="44"/>
      <c r="IFY97" s="44"/>
      <c r="IFZ97" s="44"/>
      <c r="IGA97" s="44"/>
      <c r="IGB97" s="44"/>
      <c r="IGC97" s="44"/>
      <c r="IGD97" s="44"/>
      <c r="IGE97" s="44"/>
      <c r="IGF97" s="44"/>
      <c r="IGG97" s="44"/>
      <c r="IGH97" s="44"/>
      <c r="IGI97" s="44"/>
      <c r="IGJ97" s="44"/>
      <c r="IGK97" s="44"/>
      <c r="IGL97" s="44"/>
      <c r="IGM97" s="44"/>
      <c r="IGN97" s="44"/>
      <c r="IGO97" s="44"/>
      <c r="IGP97" s="44"/>
      <c r="IGQ97" s="44"/>
      <c r="IGR97" s="44"/>
      <c r="IGS97" s="44"/>
      <c r="IGT97" s="44"/>
      <c r="IGU97" s="44"/>
      <c r="IGV97" s="44"/>
      <c r="IGW97" s="44"/>
      <c r="IGX97" s="44"/>
      <c r="IGY97" s="44"/>
      <c r="IGZ97" s="44"/>
      <c r="IHA97" s="44"/>
      <c r="IHB97" s="44"/>
      <c r="IHC97" s="44"/>
      <c r="IHD97" s="44"/>
      <c r="IHE97" s="44"/>
      <c r="IHF97" s="44"/>
      <c r="IHG97" s="44"/>
      <c r="IHH97" s="44"/>
      <c r="IHI97" s="44"/>
      <c r="IHJ97" s="44"/>
      <c r="IHK97" s="44"/>
      <c r="IHL97" s="44"/>
      <c r="IHM97" s="44"/>
      <c r="IHN97" s="44"/>
      <c r="IHO97" s="44"/>
      <c r="IHP97" s="44"/>
      <c r="IHQ97" s="44"/>
      <c r="IHR97" s="44"/>
      <c r="IHS97" s="44"/>
      <c r="IHT97" s="44"/>
      <c r="IHU97" s="44"/>
      <c r="IHV97" s="44"/>
      <c r="IHW97" s="44"/>
      <c r="IHX97" s="44"/>
      <c r="IHY97" s="44"/>
      <c r="IHZ97" s="44"/>
      <c r="IIA97" s="44"/>
      <c r="IIB97" s="44"/>
      <c r="IIC97" s="44"/>
      <c r="IID97" s="44"/>
      <c r="IIE97" s="44"/>
      <c r="IIF97" s="44"/>
      <c r="IIG97" s="44"/>
      <c r="IIH97" s="44"/>
      <c r="III97" s="44"/>
      <c r="IIJ97" s="44"/>
      <c r="IIK97" s="44"/>
      <c r="IIL97" s="44"/>
      <c r="IIM97" s="44"/>
      <c r="IIN97" s="44"/>
      <c r="IIO97" s="44"/>
      <c r="IIP97" s="44"/>
      <c r="IIQ97" s="44"/>
      <c r="IIR97" s="44"/>
      <c r="IIS97" s="44"/>
      <c r="IIT97" s="44"/>
      <c r="IIU97" s="44"/>
      <c r="IIV97" s="44"/>
      <c r="IIW97" s="44"/>
      <c r="IIX97" s="44"/>
      <c r="IIY97" s="44"/>
      <c r="IIZ97" s="44"/>
      <c r="IJA97" s="44"/>
      <c r="IJB97" s="44"/>
      <c r="IJC97" s="44"/>
      <c r="IJD97" s="44"/>
      <c r="IJE97" s="44"/>
      <c r="IJF97" s="44"/>
      <c r="IJG97" s="44"/>
      <c r="IJH97" s="44"/>
      <c r="IJI97" s="44"/>
      <c r="IJJ97" s="44"/>
      <c r="IJK97" s="44"/>
      <c r="IJL97" s="44"/>
      <c r="IJM97" s="44"/>
      <c r="IJN97" s="44"/>
      <c r="IJO97" s="44"/>
      <c r="IJP97" s="44"/>
      <c r="IJQ97" s="44"/>
      <c r="IJR97" s="44"/>
      <c r="IJS97" s="44"/>
      <c r="IJT97" s="44"/>
      <c r="IJU97" s="44"/>
      <c r="IJV97" s="44"/>
      <c r="IJW97" s="44"/>
      <c r="IJX97" s="44"/>
      <c r="IJY97" s="44"/>
      <c r="IJZ97" s="44"/>
      <c r="IKA97" s="44"/>
      <c r="IKB97" s="44"/>
      <c r="IKC97" s="44"/>
      <c r="IKD97" s="44"/>
      <c r="IKE97" s="44"/>
      <c r="IKF97" s="44"/>
      <c r="IKG97" s="44"/>
      <c r="IKH97" s="44"/>
      <c r="IKI97" s="44"/>
      <c r="IKJ97" s="44"/>
      <c r="IKK97" s="44"/>
      <c r="IKL97" s="44"/>
      <c r="IKM97" s="44"/>
      <c r="IKN97" s="44"/>
      <c r="IKO97" s="44"/>
      <c r="IKP97" s="44"/>
      <c r="IKQ97" s="44"/>
      <c r="IKR97" s="44"/>
      <c r="IKS97" s="44"/>
      <c r="IKT97" s="44"/>
      <c r="IKU97" s="44"/>
      <c r="IKV97" s="44"/>
      <c r="IKW97" s="44"/>
      <c r="IKX97" s="44"/>
      <c r="IKY97" s="44"/>
      <c r="IKZ97" s="44"/>
      <c r="ILA97" s="44"/>
      <c r="ILB97" s="44"/>
      <c r="ILC97" s="44"/>
      <c r="ILD97" s="44"/>
      <c r="ILE97" s="44"/>
      <c r="ILF97" s="44"/>
      <c r="ILG97" s="44"/>
      <c r="ILH97" s="44"/>
      <c r="ILI97" s="44"/>
      <c r="ILJ97" s="44"/>
      <c r="ILK97" s="44"/>
      <c r="ILL97" s="44"/>
      <c r="ILM97" s="44"/>
      <c r="ILN97" s="44"/>
      <c r="ILO97" s="44"/>
      <c r="ILP97" s="44"/>
      <c r="ILQ97" s="44"/>
      <c r="ILR97" s="44"/>
      <c r="ILS97" s="44"/>
      <c r="ILT97" s="44"/>
      <c r="ILU97" s="44"/>
      <c r="ILV97" s="44"/>
      <c r="ILW97" s="44"/>
      <c r="ILX97" s="44"/>
      <c r="ILY97" s="44"/>
      <c r="ILZ97" s="44"/>
      <c r="IMA97" s="44"/>
      <c r="IMB97" s="44"/>
      <c r="IMC97" s="44"/>
      <c r="IMD97" s="44"/>
      <c r="IME97" s="44"/>
      <c r="IMF97" s="44"/>
      <c r="IMG97" s="44"/>
      <c r="IMH97" s="44"/>
      <c r="IMI97" s="44"/>
      <c r="IMJ97" s="44"/>
      <c r="IMK97" s="44"/>
      <c r="IML97" s="44"/>
      <c r="IMM97" s="44"/>
      <c r="IMN97" s="44"/>
      <c r="IMO97" s="44"/>
      <c r="IMP97" s="44"/>
      <c r="IMQ97" s="44"/>
      <c r="IMR97" s="44"/>
      <c r="IMS97" s="44"/>
      <c r="IMT97" s="44"/>
      <c r="IMU97" s="44"/>
      <c r="IMV97" s="44"/>
      <c r="IMW97" s="44"/>
      <c r="IMX97" s="44"/>
      <c r="IMY97" s="44"/>
      <c r="IMZ97" s="44"/>
      <c r="INA97" s="44"/>
      <c r="INB97" s="44"/>
      <c r="INC97" s="44"/>
      <c r="IND97" s="44"/>
      <c r="INE97" s="44"/>
      <c r="INF97" s="44"/>
      <c r="ING97" s="44"/>
      <c r="INH97" s="44"/>
      <c r="INI97" s="44"/>
      <c r="INJ97" s="44"/>
      <c r="INK97" s="44"/>
      <c r="INL97" s="44"/>
      <c r="INM97" s="44"/>
      <c r="INN97" s="44"/>
      <c r="INO97" s="44"/>
      <c r="INP97" s="44"/>
      <c r="INQ97" s="44"/>
      <c r="INR97" s="44"/>
      <c r="INS97" s="44"/>
      <c r="INT97" s="44"/>
      <c r="INU97" s="44"/>
      <c r="INV97" s="44"/>
      <c r="INW97" s="44"/>
      <c r="INX97" s="44"/>
      <c r="INY97" s="44"/>
      <c r="INZ97" s="44"/>
      <c r="IOA97" s="44"/>
      <c r="IOB97" s="44"/>
      <c r="IOC97" s="44"/>
      <c r="IOD97" s="44"/>
      <c r="IOE97" s="44"/>
      <c r="IOF97" s="44"/>
      <c r="IOG97" s="44"/>
      <c r="IOH97" s="44"/>
      <c r="IOI97" s="44"/>
      <c r="IOJ97" s="44"/>
      <c r="IOK97" s="44"/>
      <c r="IOL97" s="44"/>
      <c r="IOM97" s="44"/>
      <c r="ION97" s="44"/>
      <c r="IOO97" s="44"/>
      <c r="IOP97" s="44"/>
      <c r="IOQ97" s="44"/>
      <c r="IOR97" s="44"/>
      <c r="IOS97" s="44"/>
      <c r="IOT97" s="44"/>
      <c r="IOU97" s="44"/>
      <c r="IOV97" s="44"/>
      <c r="IOW97" s="44"/>
      <c r="IOX97" s="44"/>
      <c r="IOY97" s="44"/>
      <c r="IOZ97" s="44"/>
      <c r="IPA97" s="44"/>
      <c r="IPB97" s="44"/>
      <c r="IPC97" s="44"/>
      <c r="IPD97" s="44"/>
      <c r="IPE97" s="44"/>
      <c r="IPF97" s="44"/>
      <c r="IPG97" s="44"/>
      <c r="IPH97" s="44"/>
      <c r="IPI97" s="44"/>
      <c r="IPJ97" s="44"/>
      <c r="IPK97" s="44"/>
      <c r="IPL97" s="44"/>
      <c r="IPM97" s="44"/>
      <c r="IPN97" s="44"/>
      <c r="IPO97" s="44"/>
      <c r="IPP97" s="44"/>
      <c r="IPQ97" s="44"/>
      <c r="IPR97" s="44"/>
      <c r="IPS97" s="44"/>
      <c r="IPT97" s="44"/>
      <c r="IPU97" s="44"/>
      <c r="IPV97" s="44"/>
      <c r="IPW97" s="44"/>
      <c r="IPX97" s="44"/>
      <c r="IPY97" s="44"/>
      <c r="IPZ97" s="44"/>
      <c r="IQA97" s="44"/>
      <c r="IQB97" s="44"/>
      <c r="IQC97" s="44"/>
      <c r="IQD97" s="44"/>
      <c r="IQE97" s="44"/>
      <c r="IQF97" s="44"/>
      <c r="IQG97" s="44"/>
      <c r="IQH97" s="44"/>
      <c r="IQI97" s="44"/>
      <c r="IQJ97" s="44"/>
      <c r="IQK97" s="44"/>
      <c r="IQL97" s="44"/>
      <c r="IQM97" s="44"/>
      <c r="IQN97" s="44"/>
      <c r="IQO97" s="44"/>
      <c r="IQP97" s="44"/>
      <c r="IQQ97" s="44"/>
      <c r="IQR97" s="44"/>
      <c r="IQS97" s="44"/>
      <c r="IQT97" s="44"/>
      <c r="IQU97" s="44"/>
      <c r="IQV97" s="44"/>
      <c r="IQW97" s="44"/>
      <c r="IQX97" s="44"/>
      <c r="IQY97" s="44"/>
      <c r="IQZ97" s="44"/>
      <c r="IRA97" s="44"/>
      <c r="IRB97" s="44"/>
      <c r="IRC97" s="44"/>
      <c r="IRD97" s="44"/>
      <c r="IRE97" s="44"/>
      <c r="IRF97" s="44"/>
      <c r="IRG97" s="44"/>
      <c r="IRH97" s="44"/>
      <c r="IRI97" s="44"/>
      <c r="IRJ97" s="44"/>
      <c r="IRK97" s="44"/>
      <c r="IRL97" s="44"/>
      <c r="IRM97" s="44"/>
      <c r="IRN97" s="44"/>
      <c r="IRO97" s="44"/>
      <c r="IRP97" s="44"/>
      <c r="IRQ97" s="44"/>
      <c r="IRR97" s="44"/>
      <c r="IRS97" s="44"/>
      <c r="IRT97" s="44"/>
      <c r="IRU97" s="44"/>
      <c r="IRV97" s="44"/>
      <c r="IRW97" s="44"/>
      <c r="IRX97" s="44"/>
      <c r="IRY97" s="44"/>
      <c r="IRZ97" s="44"/>
      <c r="ISA97" s="44"/>
      <c r="ISB97" s="44"/>
      <c r="ISC97" s="44"/>
      <c r="ISD97" s="44"/>
      <c r="ISE97" s="44"/>
      <c r="ISF97" s="44"/>
      <c r="ISG97" s="44"/>
      <c r="ISH97" s="44"/>
      <c r="ISI97" s="44"/>
      <c r="ISJ97" s="44"/>
      <c r="ISK97" s="44"/>
      <c r="ISL97" s="44"/>
      <c r="ISM97" s="44"/>
      <c r="ISN97" s="44"/>
      <c r="ISO97" s="44"/>
      <c r="ISP97" s="44"/>
      <c r="ISQ97" s="44"/>
      <c r="ISR97" s="44"/>
      <c r="ISS97" s="44"/>
      <c r="IST97" s="44"/>
      <c r="ISU97" s="44"/>
      <c r="ISV97" s="44"/>
      <c r="ISW97" s="44"/>
      <c r="ISX97" s="44"/>
      <c r="ISY97" s="44"/>
      <c r="ISZ97" s="44"/>
      <c r="ITA97" s="44"/>
      <c r="ITB97" s="44"/>
      <c r="ITC97" s="44"/>
      <c r="ITD97" s="44"/>
      <c r="ITE97" s="44"/>
      <c r="ITF97" s="44"/>
      <c r="ITG97" s="44"/>
      <c r="ITH97" s="44"/>
      <c r="ITI97" s="44"/>
      <c r="ITJ97" s="44"/>
      <c r="ITK97" s="44"/>
      <c r="ITL97" s="44"/>
      <c r="ITM97" s="44"/>
      <c r="ITN97" s="44"/>
      <c r="ITO97" s="44"/>
      <c r="ITP97" s="44"/>
      <c r="ITQ97" s="44"/>
      <c r="ITR97" s="44"/>
      <c r="ITS97" s="44"/>
      <c r="ITT97" s="44"/>
      <c r="ITU97" s="44"/>
      <c r="ITV97" s="44"/>
      <c r="ITW97" s="44"/>
      <c r="ITX97" s="44"/>
      <c r="ITY97" s="44"/>
      <c r="ITZ97" s="44"/>
      <c r="IUA97" s="44"/>
      <c r="IUB97" s="44"/>
      <c r="IUC97" s="44"/>
      <c r="IUD97" s="44"/>
      <c r="IUE97" s="44"/>
      <c r="IUF97" s="44"/>
      <c r="IUG97" s="44"/>
      <c r="IUH97" s="44"/>
      <c r="IUI97" s="44"/>
      <c r="IUJ97" s="44"/>
      <c r="IUK97" s="44"/>
      <c r="IUL97" s="44"/>
      <c r="IUM97" s="44"/>
      <c r="IUN97" s="44"/>
      <c r="IUO97" s="44"/>
      <c r="IUP97" s="44"/>
      <c r="IUQ97" s="44"/>
      <c r="IUR97" s="44"/>
      <c r="IUS97" s="44"/>
      <c r="IUT97" s="44"/>
      <c r="IUU97" s="44"/>
      <c r="IUV97" s="44"/>
      <c r="IUW97" s="44"/>
      <c r="IUX97" s="44"/>
      <c r="IUY97" s="44"/>
      <c r="IUZ97" s="44"/>
      <c r="IVA97" s="44"/>
      <c r="IVB97" s="44"/>
      <c r="IVC97" s="44"/>
      <c r="IVD97" s="44"/>
      <c r="IVE97" s="44"/>
      <c r="IVF97" s="44"/>
      <c r="IVG97" s="44"/>
      <c r="IVH97" s="44"/>
      <c r="IVI97" s="44"/>
      <c r="IVJ97" s="44"/>
      <c r="IVK97" s="44"/>
      <c r="IVL97" s="44"/>
      <c r="IVM97" s="44"/>
      <c r="IVN97" s="44"/>
      <c r="IVO97" s="44"/>
      <c r="IVP97" s="44"/>
      <c r="IVQ97" s="44"/>
      <c r="IVR97" s="44"/>
      <c r="IVS97" s="44"/>
      <c r="IVT97" s="44"/>
      <c r="IVU97" s="44"/>
      <c r="IVV97" s="44"/>
      <c r="IVW97" s="44"/>
      <c r="IVX97" s="44"/>
      <c r="IVY97" s="44"/>
      <c r="IVZ97" s="44"/>
      <c r="IWA97" s="44"/>
      <c r="IWB97" s="44"/>
      <c r="IWC97" s="44"/>
      <c r="IWD97" s="44"/>
      <c r="IWE97" s="44"/>
      <c r="IWF97" s="44"/>
      <c r="IWG97" s="44"/>
      <c r="IWH97" s="44"/>
      <c r="IWI97" s="44"/>
      <c r="IWJ97" s="44"/>
      <c r="IWK97" s="44"/>
      <c r="IWL97" s="44"/>
      <c r="IWM97" s="44"/>
      <c r="IWN97" s="44"/>
      <c r="IWO97" s="44"/>
      <c r="IWP97" s="44"/>
      <c r="IWQ97" s="44"/>
      <c r="IWR97" s="44"/>
      <c r="IWS97" s="44"/>
      <c r="IWT97" s="44"/>
      <c r="IWU97" s="44"/>
      <c r="IWV97" s="44"/>
      <c r="IWW97" s="44"/>
      <c r="IWX97" s="44"/>
      <c r="IWY97" s="44"/>
      <c r="IWZ97" s="44"/>
      <c r="IXA97" s="44"/>
      <c r="IXB97" s="44"/>
      <c r="IXC97" s="44"/>
      <c r="IXD97" s="44"/>
      <c r="IXE97" s="44"/>
      <c r="IXF97" s="44"/>
      <c r="IXG97" s="44"/>
      <c r="IXH97" s="44"/>
      <c r="IXI97" s="44"/>
      <c r="IXJ97" s="44"/>
      <c r="IXK97" s="44"/>
      <c r="IXL97" s="44"/>
      <c r="IXM97" s="44"/>
      <c r="IXN97" s="44"/>
      <c r="IXO97" s="44"/>
      <c r="IXP97" s="44"/>
      <c r="IXQ97" s="44"/>
      <c r="IXR97" s="44"/>
      <c r="IXS97" s="44"/>
      <c r="IXT97" s="44"/>
      <c r="IXU97" s="44"/>
      <c r="IXV97" s="44"/>
      <c r="IXW97" s="44"/>
      <c r="IXX97" s="44"/>
      <c r="IXY97" s="44"/>
      <c r="IXZ97" s="44"/>
      <c r="IYA97" s="44"/>
      <c r="IYB97" s="44"/>
      <c r="IYC97" s="44"/>
      <c r="IYD97" s="44"/>
      <c r="IYE97" s="44"/>
      <c r="IYF97" s="44"/>
      <c r="IYG97" s="44"/>
      <c r="IYH97" s="44"/>
      <c r="IYI97" s="44"/>
      <c r="IYJ97" s="44"/>
      <c r="IYK97" s="44"/>
      <c r="IYL97" s="44"/>
      <c r="IYM97" s="44"/>
      <c r="IYN97" s="44"/>
      <c r="IYO97" s="44"/>
      <c r="IYP97" s="44"/>
      <c r="IYQ97" s="44"/>
      <c r="IYR97" s="44"/>
      <c r="IYS97" s="44"/>
      <c r="IYT97" s="44"/>
      <c r="IYU97" s="44"/>
      <c r="IYV97" s="44"/>
      <c r="IYW97" s="44"/>
      <c r="IYX97" s="44"/>
      <c r="IYY97" s="44"/>
      <c r="IYZ97" s="44"/>
      <c r="IZA97" s="44"/>
      <c r="IZB97" s="44"/>
      <c r="IZC97" s="44"/>
      <c r="IZD97" s="44"/>
      <c r="IZE97" s="44"/>
      <c r="IZF97" s="44"/>
      <c r="IZG97" s="44"/>
      <c r="IZH97" s="44"/>
      <c r="IZI97" s="44"/>
      <c r="IZJ97" s="44"/>
      <c r="IZK97" s="44"/>
      <c r="IZL97" s="44"/>
      <c r="IZM97" s="44"/>
      <c r="IZN97" s="44"/>
      <c r="IZO97" s="44"/>
      <c r="IZP97" s="44"/>
      <c r="IZQ97" s="44"/>
      <c r="IZR97" s="44"/>
      <c r="IZS97" s="44"/>
      <c r="IZT97" s="44"/>
      <c r="IZU97" s="44"/>
      <c r="IZV97" s="44"/>
      <c r="IZW97" s="44"/>
      <c r="IZX97" s="44"/>
      <c r="IZY97" s="44"/>
      <c r="IZZ97" s="44"/>
      <c r="JAA97" s="44"/>
      <c r="JAB97" s="44"/>
      <c r="JAC97" s="44"/>
      <c r="JAD97" s="44"/>
      <c r="JAE97" s="44"/>
      <c r="JAF97" s="44"/>
      <c r="JAG97" s="44"/>
      <c r="JAH97" s="44"/>
      <c r="JAI97" s="44"/>
      <c r="JAJ97" s="44"/>
      <c r="JAK97" s="44"/>
      <c r="JAL97" s="44"/>
      <c r="JAM97" s="44"/>
      <c r="JAN97" s="44"/>
      <c r="JAO97" s="44"/>
      <c r="JAP97" s="44"/>
      <c r="JAQ97" s="44"/>
      <c r="JAR97" s="44"/>
      <c r="JAS97" s="44"/>
      <c r="JAT97" s="44"/>
      <c r="JAU97" s="44"/>
      <c r="JAV97" s="44"/>
      <c r="JAW97" s="44"/>
      <c r="JAX97" s="44"/>
      <c r="JAY97" s="44"/>
      <c r="JAZ97" s="44"/>
      <c r="JBA97" s="44"/>
      <c r="JBB97" s="44"/>
      <c r="JBC97" s="44"/>
      <c r="JBD97" s="44"/>
      <c r="JBE97" s="44"/>
      <c r="JBF97" s="44"/>
      <c r="JBG97" s="44"/>
      <c r="JBH97" s="44"/>
      <c r="JBI97" s="44"/>
      <c r="JBJ97" s="44"/>
      <c r="JBK97" s="44"/>
      <c r="JBL97" s="44"/>
      <c r="JBM97" s="44"/>
      <c r="JBN97" s="44"/>
      <c r="JBO97" s="44"/>
      <c r="JBP97" s="44"/>
      <c r="JBQ97" s="44"/>
      <c r="JBR97" s="44"/>
      <c r="JBS97" s="44"/>
      <c r="JBT97" s="44"/>
      <c r="JBU97" s="44"/>
      <c r="JBV97" s="44"/>
      <c r="JBW97" s="44"/>
      <c r="JBX97" s="44"/>
      <c r="JBY97" s="44"/>
      <c r="JBZ97" s="44"/>
      <c r="JCA97" s="44"/>
      <c r="JCB97" s="44"/>
      <c r="JCC97" s="44"/>
      <c r="JCD97" s="44"/>
      <c r="JCE97" s="44"/>
      <c r="JCF97" s="44"/>
      <c r="JCG97" s="44"/>
      <c r="JCH97" s="44"/>
      <c r="JCI97" s="44"/>
      <c r="JCJ97" s="44"/>
      <c r="JCK97" s="44"/>
      <c r="JCL97" s="44"/>
      <c r="JCM97" s="44"/>
      <c r="JCN97" s="44"/>
      <c r="JCO97" s="44"/>
      <c r="JCP97" s="44"/>
      <c r="JCQ97" s="44"/>
      <c r="JCR97" s="44"/>
      <c r="JCS97" s="44"/>
      <c r="JCT97" s="44"/>
      <c r="JCU97" s="44"/>
      <c r="JCV97" s="44"/>
      <c r="JCW97" s="44"/>
      <c r="JCX97" s="44"/>
      <c r="JCY97" s="44"/>
      <c r="JCZ97" s="44"/>
      <c r="JDA97" s="44"/>
      <c r="JDB97" s="44"/>
      <c r="JDC97" s="44"/>
      <c r="JDD97" s="44"/>
      <c r="JDE97" s="44"/>
      <c r="JDF97" s="44"/>
      <c r="JDG97" s="44"/>
      <c r="JDH97" s="44"/>
      <c r="JDI97" s="44"/>
      <c r="JDJ97" s="44"/>
      <c r="JDK97" s="44"/>
      <c r="JDL97" s="44"/>
      <c r="JDM97" s="44"/>
      <c r="JDN97" s="44"/>
      <c r="JDO97" s="44"/>
      <c r="JDP97" s="44"/>
      <c r="JDQ97" s="44"/>
      <c r="JDR97" s="44"/>
      <c r="JDS97" s="44"/>
      <c r="JDT97" s="44"/>
      <c r="JDU97" s="44"/>
      <c r="JDV97" s="44"/>
      <c r="JDW97" s="44"/>
      <c r="JDX97" s="44"/>
      <c r="JDY97" s="44"/>
      <c r="JDZ97" s="44"/>
      <c r="JEA97" s="44"/>
      <c r="JEB97" s="44"/>
      <c r="JEC97" s="44"/>
      <c r="JED97" s="44"/>
      <c r="JEE97" s="44"/>
      <c r="JEF97" s="44"/>
      <c r="JEG97" s="44"/>
      <c r="JEH97" s="44"/>
      <c r="JEI97" s="44"/>
      <c r="JEJ97" s="44"/>
      <c r="JEK97" s="44"/>
      <c r="JEL97" s="44"/>
      <c r="JEM97" s="44"/>
      <c r="JEN97" s="44"/>
      <c r="JEO97" s="44"/>
      <c r="JEP97" s="44"/>
      <c r="JEQ97" s="44"/>
      <c r="JER97" s="44"/>
      <c r="JES97" s="44"/>
      <c r="JET97" s="44"/>
      <c r="JEU97" s="44"/>
      <c r="JEV97" s="44"/>
      <c r="JEW97" s="44"/>
      <c r="JEX97" s="44"/>
      <c r="JEY97" s="44"/>
      <c r="JEZ97" s="44"/>
      <c r="JFA97" s="44"/>
      <c r="JFB97" s="44"/>
      <c r="JFC97" s="44"/>
      <c r="JFD97" s="44"/>
      <c r="JFE97" s="44"/>
      <c r="JFF97" s="44"/>
      <c r="JFG97" s="44"/>
      <c r="JFH97" s="44"/>
      <c r="JFI97" s="44"/>
      <c r="JFJ97" s="44"/>
      <c r="JFK97" s="44"/>
      <c r="JFL97" s="44"/>
      <c r="JFM97" s="44"/>
      <c r="JFN97" s="44"/>
      <c r="JFO97" s="44"/>
      <c r="JFP97" s="44"/>
      <c r="JFQ97" s="44"/>
      <c r="JFR97" s="44"/>
      <c r="JFS97" s="44"/>
      <c r="JFT97" s="44"/>
      <c r="JFU97" s="44"/>
      <c r="JFV97" s="44"/>
      <c r="JFW97" s="44"/>
      <c r="JFX97" s="44"/>
      <c r="JFY97" s="44"/>
      <c r="JFZ97" s="44"/>
      <c r="JGA97" s="44"/>
      <c r="JGB97" s="44"/>
      <c r="JGC97" s="44"/>
      <c r="JGD97" s="44"/>
      <c r="JGE97" s="44"/>
      <c r="JGF97" s="44"/>
      <c r="JGG97" s="44"/>
      <c r="JGH97" s="44"/>
      <c r="JGI97" s="44"/>
      <c r="JGJ97" s="44"/>
      <c r="JGK97" s="44"/>
      <c r="JGL97" s="44"/>
      <c r="JGM97" s="44"/>
      <c r="JGN97" s="44"/>
      <c r="JGO97" s="44"/>
      <c r="JGP97" s="44"/>
      <c r="JGQ97" s="44"/>
      <c r="JGR97" s="44"/>
      <c r="JGS97" s="44"/>
      <c r="JGT97" s="44"/>
      <c r="JGU97" s="44"/>
      <c r="JGV97" s="44"/>
      <c r="JGW97" s="44"/>
      <c r="JGX97" s="44"/>
      <c r="JGY97" s="44"/>
      <c r="JGZ97" s="44"/>
      <c r="JHA97" s="44"/>
      <c r="JHB97" s="44"/>
      <c r="JHC97" s="44"/>
      <c r="JHD97" s="44"/>
      <c r="JHE97" s="44"/>
      <c r="JHF97" s="44"/>
      <c r="JHG97" s="44"/>
      <c r="JHH97" s="44"/>
      <c r="JHI97" s="44"/>
      <c r="JHJ97" s="44"/>
      <c r="JHK97" s="44"/>
      <c r="JHL97" s="44"/>
      <c r="JHM97" s="44"/>
      <c r="JHN97" s="44"/>
      <c r="JHO97" s="44"/>
      <c r="JHP97" s="44"/>
      <c r="JHQ97" s="44"/>
      <c r="JHR97" s="44"/>
      <c r="JHS97" s="44"/>
      <c r="JHT97" s="44"/>
      <c r="JHU97" s="44"/>
      <c r="JHV97" s="44"/>
      <c r="JHW97" s="44"/>
      <c r="JHX97" s="44"/>
      <c r="JHY97" s="44"/>
      <c r="JHZ97" s="44"/>
      <c r="JIA97" s="44"/>
      <c r="JIB97" s="44"/>
      <c r="JIC97" s="44"/>
      <c r="JID97" s="44"/>
      <c r="JIE97" s="44"/>
      <c r="JIF97" s="44"/>
      <c r="JIG97" s="44"/>
      <c r="JIH97" s="44"/>
      <c r="JII97" s="44"/>
      <c r="JIJ97" s="44"/>
      <c r="JIK97" s="44"/>
      <c r="JIL97" s="44"/>
      <c r="JIM97" s="44"/>
      <c r="JIN97" s="44"/>
      <c r="JIO97" s="44"/>
      <c r="JIP97" s="44"/>
      <c r="JIQ97" s="44"/>
      <c r="JIR97" s="44"/>
      <c r="JIS97" s="44"/>
      <c r="JIT97" s="44"/>
      <c r="JIU97" s="44"/>
      <c r="JIV97" s="44"/>
      <c r="JIW97" s="44"/>
      <c r="JIX97" s="44"/>
      <c r="JIY97" s="44"/>
      <c r="JIZ97" s="44"/>
      <c r="JJA97" s="44"/>
      <c r="JJB97" s="44"/>
      <c r="JJC97" s="44"/>
      <c r="JJD97" s="44"/>
      <c r="JJE97" s="44"/>
      <c r="JJF97" s="44"/>
      <c r="JJG97" s="44"/>
      <c r="JJH97" s="44"/>
      <c r="JJI97" s="44"/>
      <c r="JJJ97" s="44"/>
      <c r="JJK97" s="44"/>
      <c r="JJL97" s="44"/>
      <c r="JJM97" s="44"/>
      <c r="JJN97" s="44"/>
      <c r="JJO97" s="44"/>
      <c r="JJP97" s="44"/>
      <c r="JJQ97" s="44"/>
      <c r="JJR97" s="44"/>
      <c r="JJS97" s="44"/>
      <c r="JJT97" s="44"/>
      <c r="JJU97" s="44"/>
      <c r="JJV97" s="44"/>
      <c r="JJW97" s="44"/>
      <c r="JJX97" s="44"/>
      <c r="JJY97" s="44"/>
      <c r="JJZ97" s="44"/>
      <c r="JKA97" s="44"/>
      <c r="JKB97" s="44"/>
      <c r="JKC97" s="44"/>
      <c r="JKD97" s="44"/>
      <c r="JKE97" s="44"/>
      <c r="JKF97" s="44"/>
      <c r="JKG97" s="44"/>
      <c r="JKH97" s="44"/>
      <c r="JKI97" s="44"/>
      <c r="JKJ97" s="44"/>
      <c r="JKK97" s="44"/>
      <c r="JKL97" s="44"/>
      <c r="JKM97" s="44"/>
      <c r="JKN97" s="44"/>
      <c r="JKO97" s="44"/>
      <c r="JKP97" s="44"/>
      <c r="JKQ97" s="44"/>
      <c r="JKR97" s="44"/>
      <c r="JKS97" s="44"/>
      <c r="JKT97" s="44"/>
      <c r="JKU97" s="44"/>
      <c r="JKV97" s="44"/>
      <c r="JKW97" s="44"/>
      <c r="JKX97" s="44"/>
      <c r="JKY97" s="44"/>
      <c r="JKZ97" s="44"/>
      <c r="JLA97" s="44"/>
      <c r="JLB97" s="44"/>
      <c r="JLC97" s="44"/>
      <c r="JLD97" s="44"/>
      <c r="JLE97" s="44"/>
      <c r="JLF97" s="44"/>
      <c r="JLG97" s="44"/>
      <c r="JLH97" s="44"/>
      <c r="JLI97" s="44"/>
      <c r="JLJ97" s="44"/>
      <c r="JLK97" s="44"/>
      <c r="JLL97" s="44"/>
      <c r="JLM97" s="44"/>
      <c r="JLN97" s="44"/>
      <c r="JLO97" s="44"/>
      <c r="JLP97" s="44"/>
      <c r="JLQ97" s="44"/>
      <c r="JLR97" s="44"/>
      <c r="JLS97" s="44"/>
      <c r="JLT97" s="44"/>
      <c r="JLU97" s="44"/>
      <c r="JLV97" s="44"/>
      <c r="JLW97" s="44"/>
      <c r="JLX97" s="44"/>
      <c r="JLY97" s="44"/>
      <c r="JLZ97" s="44"/>
      <c r="JMA97" s="44"/>
      <c r="JMB97" s="44"/>
      <c r="JMC97" s="44"/>
      <c r="JMD97" s="44"/>
      <c r="JME97" s="44"/>
      <c r="JMF97" s="44"/>
      <c r="JMG97" s="44"/>
      <c r="JMH97" s="44"/>
      <c r="JMI97" s="44"/>
      <c r="JMJ97" s="44"/>
      <c r="JMK97" s="44"/>
      <c r="JML97" s="44"/>
      <c r="JMM97" s="44"/>
      <c r="JMN97" s="44"/>
      <c r="JMO97" s="44"/>
      <c r="JMP97" s="44"/>
      <c r="JMQ97" s="44"/>
      <c r="JMR97" s="44"/>
      <c r="JMS97" s="44"/>
      <c r="JMT97" s="44"/>
      <c r="JMU97" s="44"/>
      <c r="JMV97" s="44"/>
      <c r="JMW97" s="44"/>
      <c r="JMX97" s="44"/>
      <c r="JMY97" s="44"/>
      <c r="JMZ97" s="44"/>
      <c r="JNA97" s="44"/>
      <c r="JNB97" s="44"/>
      <c r="JNC97" s="44"/>
      <c r="JND97" s="44"/>
      <c r="JNE97" s="44"/>
      <c r="JNF97" s="44"/>
      <c r="JNG97" s="44"/>
      <c r="JNH97" s="44"/>
      <c r="JNI97" s="44"/>
      <c r="JNJ97" s="44"/>
      <c r="JNK97" s="44"/>
      <c r="JNL97" s="44"/>
      <c r="JNM97" s="44"/>
      <c r="JNN97" s="44"/>
      <c r="JNO97" s="44"/>
      <c r="JNP97" s="44"/>
      <c r="JNQ97" s="44"/>
      <c r="JNR97" s="44"/>
      <c r="JNS97" s="44"/>
      <c r="JNT97" s="44"/>
      <c r="JNU97" s="44"/>
      <c r="JNV97" s="44"/>
      <c r="JNW97" s="44"/>
      <c r="JNX97" s="44"/>
      <c r="JNY97" s="44"/>
      <c r="JNZ97" s="44"/>
      <c r="JOA97" s="44"/>
      <c r="JOB97" s="44"/>
      <c r="JOC97" s="44"/>
      <c r="JOD97" s="44"/>
      <c r="JOE97" s="44"/>
      <c r="JOF97" s="44"/>
      <c r="JOG97" s="44"/>
      <c r="JOH97" s="44"/>
      <c r="JOI97" s="44"/>
      <c r="JOJ97" s="44"/>
      <c r="JOK97" s="44"/>
      <c r="JOL97" s="44"/>
      <c r="JOM97" s="44"/>
      <c r="JON97" s="44"/>
      <c r="JOO97" s="44"/>
      <c r="JOP97" s="44"/>
      <c r="JOQ97" s="44"/>
      <c r="JOR97" s="44"/>
      <c r="JOS97" s="44"/>
      <c r="JOT97" s="44"/>
      <c r="JOU97" s="44"/>
      <c r="JOV97" s="44"/>
      <c r="JOW97" s="44"/>
      <c r="JOX97" s="44"/>
      <c r="JOY97" s="44"/>
      <c r="JOZ97" s="44"/>
      <c r="JPA97" s="44"/>
      <c r="JPB97" s="44"/>
      <c r="JPC97" s="44"/>
      <c r="JPD97" s="44"/>
      <c r="JPE97" s="44"/>
      <c r="JPF97" s="44"/>
      <c r="JPG97" s="44"/>
      <c r="JPH97" s="44"/>
      <c r="JPI97" s="44"/>
      <c r="JPJ97" s="44"/>
      <c r="JPK97" s="44"/>
      <c r="JPL97" s="44"/>
      <c r="JPM97" s="44"/>
      <c r="JPN97" s="44"/>
      <c r="JPO97" s="44"/>
      <c r="JPP97" s="44"/>
      <c r="JPQ97" s="44"/>
      <c r="JPR97" s="44"/>
      <c r="JPS97" s="44"/>
      <c r="JPT97" s="44"/>
      <c r="JPU97" s="44"/>
      <c r="JPV97" s="44"/>
      <c r="JPW97" s="44"/>
      <c r="JPX97" s="44"/>
      <c r="JPY97" s="44"/>
      <c r="JPZ97" s="44"/>
      <c r="JQA97" s="44"/>
      <c r="JQB97" s="44"/>
      <c r="JQC97" s="44"/>
      <c r="JQD97" s="44"/>
      <c r="JQE97" s="44"/>
      <c r="JQF97" s="44"/>
      <c r="JQG97" s="44"/>
      <c r="JQH97" s="44"/>
      <c r="JQI97" s="44"/>
      <c r="JQJ97" s="44"/>
      <c r="JQK97" s="44"/>
      <c r="JQL97" s="44"/>
      <c r="JQM97" s="44"/>
      <c r="JQN97" s="44"/>
      <c r="JQO97" s="44"/>
      <c r="JQP97" s="44"/>
      <c r="JQQ97" s="44"/>
      <c r="JQR97" s="44"/>
      <c r="JQS97" s="44"/>
      <c r="JQT97" s="44"/>
      <c r="JQU97" s="44"/>
      <c r="JQV97" s="44"/>
      <c r="JQW97" s="44"/>
      <c r="JQX97" s="44"/>
      <c r="JQY97" s="44"/>
      <c r="JQZ97" s="44"/>
      <c r="JRA97" s="44"/>
      <c r="JRB97" s="44"/>
      <c r="JRC97" s="44"/>
      <c r="JRD97" s="44"/>
      <c r="JRE97" s="44"/>
      <c r="JRF97" s="44"/>
      <c r="JRG97" s="44"/>
      <c r="JRH97" s="44"/>
      <c r="JRI97" s="44"/>
      <c r="JRJ97" s="44"/>
      <c r="JRK97" s="44"/>
      <c r="JRL97" s="44"/>
      <c r="JRM97" s="44"/>
      <c r="JRN97" s="44"/>
      <c r="JRO97" s="44"/>
      <c r="JRP97" s="44"/>
      <c r="JRQ97" s="44"/>
      <c r="JRR97" s="44"/>
      <c r="JRS97" s="44"/>
      <c r="JRT97" s="44"/>
      <c r="JRU97" s="44"/>
      <c r="JRV97" s="44"/>
      <c r="JRW97" s="44"/>
      <c r="JRX97" s="44"/>
      <c r="JRY97" s="44"/>
      <c r="JRZ97" s="44"/>
      <c r="JSA97" s="44"/>
      <c r="JSB97" s="44"/>
      <c r="JSC97" s="44"/>
      <c r="JSD97" s="44"/>
      <c r="JSE97" s="44"/>
      <c r="JSF97" s="44"/>
      <c r="JSG97" s="44"/>
      <c r="JSH97" s="44"/>
      <c r="JSI97" s="44"/>
      <c r="JSJ97" s="44"/>
      <c r="JSK97" s="44"/>
      <c r="JSL97" s="44"/>
      <c r="JSM97" s="44"/>
      <c r="JSN97" s="44"/>
      <c r="JSO97" s="44"/>
      <c r="JSP97" s="44"/>
      <c r="JSQ97" s="44"/>
      <c r="JSR97" s="44"/>
      <c r="JSS97" s="44"/>
      <c r="JST97" s="44"/>
      <c r="JSU97" s="44"/>
      <c r="JSV97" s="44"/>
      <c r="JSW97" s="44"/>
      <c r="JSX97" s="44"/>
      <c r="JSY97" s="44"/>
      <c r="JSZ97" s="44"/>
      <c r="JTA97" s="44"/>
      <c r="JTB97" s="44"/>
      <c r="JTC97" s="44"/>
      <c r="JTD97" s="44"/>
      <c r="JTE97" s="44"/>
      <c r="JTF97" s="44"/>
      <c r="JTG97" s="44"/>
      <c r="JTH97" s="44"/>
      <c r="JTI97" s="44"/>
      <c r="JTJ97" s="44"/>
      <c r="JTK97" s="44"/>
      <c r="JTL97" s="44"/>
      <c r="JTM97" s="44"/>
      <c r="JTN97" s="44"/>
      <c r="JTO97" s="44"/>
      <c r="JTP97" s="44"/>
      <c r="JTQ97" s="44"/>
      <c r="JTR97" s="44"/>
      <c r="JTS97" s="44"/>
      <c r="JTT97" s="44"/>
      <c r="JTU97" s="44"/>
      <c r="JTV97" s="44"/>
      <c r="JTW97" s="44"/>
      <c r="JTX97" s="44"/>
      <c r="JTY97" s="44"/>
      <c r="JTZ97" s="44"/>
      <c r="JUA97" s="44"/>
      <c r="JUB97" s="44"/>
      <c r="JUC97" s="44"/>
      <c r="JUD97" s="44"/>
      <c r="JUE97" s="44"/>
      <c r="JUF97" s="44"/>
      <c r="JUG97" s="44"/>
      <c r="JUH97" s="44"/>
      <c r="JUI97" s="44"/>
      <c r="JUJ97" s="44"/>
      <c r="JUK97" s="44"/>
      <c r="JUL97" s="44"/>
      <c r="JUM97" s="44"/>
      <c r="JUN97" s="44"/>
      <c r="JUO97" s="44"/>
      <c r="JUP97" s="44"/>
      <c r="JUQ97" s="44"/>
      <c r="JUR97" s="44"/>
      <c r="JUS97" s="44"/>
      <c r="JUT97" s="44"/>
      <c r="JUU97" s="44"/>
      <c r="JUV97" s="44"/>
      <c r="JUW97" s="44"/>
      <c r="JUX97" s="44"/>
      <c r="JUY97" s="44"/>
      <c r="JUZ97" s="44"/>
      <c r="JVA97" s="44"/>
      <c r="JVB97" s="44"/>
      <c r="JVC97" s="44"/>
      <c r="JVD97" s="44"/>
      <c r="JVE97" s="44"/>
      <c r="JVF97" s="44"/>
      <c r="JVG97" s="44"/>
      <c r="JVH97" s="44"/>
      <c r="JVI97" s="44"/>
      <c r="JVJ97" s="44"/>
      <c r="JVK97" s="44"/>
      <c r="JVL97" s="44"/>
      <c r="JVM97" s="44"/>
      <c r="JVN97" s="44"/>
      <c r="JVO97" s="44"/>
      <c r="JVP97" s="44"/>
      <c r="JVQ97" s="44"/>
      <c r="JVR97" s="44"/>
      <c r="JVS97" s="44"/>
      <c r="JVT97" s="44"/>
      <c r="JVU97" s="44"/>
      <c r="JVV97" s="44"/>
      <c r="JVW97" s="44"/>
      <c r="JVX97" s="44"/>
      <c r="JVY97" s="44"/>
      <c r="JVZ97" s="44"/>
      <c r="JWA97" s="44"/>
      <c r="JWB97" s="44"/>
      <c r="JWC97" s="44"/>
      <c r="JWD97" s="44"/>
      <c r="JWE97" s="44"/>
      <c r="JWF97" s="44"/>
      <c r="JWG97" s="44"/>
      <c r="JWH97" s="44"/>
      <c r="JWI97" s="44"/>
      <c r="JWJ97" s="44"/>
      <c r="JWK97" s="44"/>
      <c r="JWL97" s="44"/>
      <c r="JWM97" s="44"/>
      <c r="JWN97" s="44"/>
      <c r="JWO97" s="44"/>
      <c r="JWP97" s="44"/>
      <c r="JWQ97" s="44"/>
      <c r="JWR97" s="44"/>
      <c r="JWS97" s="44"/>
      <c r="JWT97" s="44"/>
      <c r="JWU97" s="44"/>
      <c r="JWV97" s="44"/>
      <c r="JWW97" s="44"/>
      <c r="JWX97" s="44"/>
      <c r="JWY97" s="44"/>
      <c r="JWZ97" s="44"/>
      <c r="JXA97" s="44"/>
      <c r="JXB97" s="44"/>
      <c r="JXC97" s="44"/>
      <c r="JXD97" s="44"/>
      <c r="JXE97" s="44"/>
      <c r="JXF97" s="44"/>
      <c r="JXG97" s="44"/>
      <c r="JXH97" s="44"/>
      <c r="JXI97" s="44"/>
      <c r="JXJ97" s="44"/>
      <c r="JXK97" s="44"/>
      <c r="JXL97" s="44"/>
      <c r="JXM97" s="44"/>
      <c r="JXN97" s="44"/>
      <c r="JXO97" s="44"/>
      <c r="JXP97" s="44"/>
      <c r="JXQ97" s="44"/>
      <c r="JXR97" s="44"/>
      <c r="JXS97" s="44"/>
      <c r="JXT97" s="44"/>
      <c r="JXU97" s="44"/>
      <c r="JXV97" s="44"/>
      <c r="JXW97" s="44"/>
      <c r="JXX97" s="44"/>
      <c r="JXY97" s="44"/>
      <c r="JXZ97" s="44"/>
      <c r="JYA97" s="44"/>
      <c r="JYB97" s="44"/>
      <c r="JYC97" s="44"/>
      <c r="JYD97" s="44"/>
      <c r="JYE97" s="44"/>
      <c r="JYF97" s="44"/>
      <c r="JYG97" s="44"/>
      <c r="JYH97" s="44"/>
      <c r="JYI97" s="44"/>
      <c r="JYJ97" s="44"/>
      <c r="JYK97" s="44"/>
      <c r="JYL97" s="44"/>
      <c r="JYM97" s="44"/>
      <c r="JYN97" s="44"/>
      <c r="JYO97" s="44"/>
      <c r="JYP97" s="44"/>
      <c r="JYQ97" s="44"/>
      <c r="JYR97" s="44"/>
      <c r="JYS97" s="44"/>
      <c r="JYT97" s="44"/>
      <c r="JYU97" s="44"/>
      <c r="JYV97" s="44"/>
      <c r="JYW97" s="44"/>
      <c r="JYX97" s="44"/>
      <c r="JYY97" s="44"/>
      <c r="JYZ97" s="44"/>
      <c r="JZA97" s="44"/>
      <c r="JZB97" s="44"/>
      <c r="JZC97" s="44"/>
      <c r="JZD97" s="44"/>
      <c r="JZE97" s="44"/>
      <c r="JZF97" s="44"/>
      <c r="JZG97" s="44"/>
      <c r="JZH97" s="44"/>
      <c r="JZI97" s="44"/>
      <c r="JZJ97" s="44"/>
      <c r="JZK97" s="44"/>
      <c r="JZL97" s="44"/>
      <c r="JZM97" s="44"/>
      <c r="JZN97" s="44"/>
      <c r="JZO97" s="44"/>
      <c r="JZP97" s="44"/>
      <c r="JZQ97" s="44"/>
      <c r="JZR97" s="44"/>
      <c r="JZS97" s="44"/>
      <c r="JZT97" s="44"/>
      <c r="JZU97" s="44"/>
      <c r="JZV97" s="44"/>
      <c r="JZW97" s="44"/>
      <c r="JZX97" s="44"/>
      <c r="JZY97" s="44"/>
      <c r="JZZ97" s="44"/>
      <c r="KAA97" s="44"/>
      <c r="KAB97" s="44"/>
      <c r="KAC97" s="44"/>
      <c r="KAD97" s="44"/>
      <c r="KAE97" s="44"/>
      <c r="KAF97" s="44"/>
      <c r="KAG97" s="44"/>
      <c r="KAH97" s="44"/>
      <c r="KAI97" s="44"/>
      <c r="KAJ97" s="44"/>
      <c r="KAK97" s="44"/>
      <c r="KAL97" s="44"/>
      <c r="KAM97" s="44"/>
      <c r="KAN97" s="44"/>
      <c r="KAO97" s="44"/>
      <c r="KAP97" s="44"/>
      <c r="KAQ97" s="44"/>
      <c r="KAR97" s="44"/>
      <c r="KAS97" s="44"/>
      <c r="KAT97" s="44"/>
      <c r="KAU97" s="44"/>
      <c r="KAV97" s="44"/>
      <c r="KAW97" s="44"/>
      <c r="KAX97" s="44"/>
      <c r="KAY97" s="44"/>
      <c r="KAZ97" s="44"/>
      <c r="KBA97" s="44"/>
      <c r="KBB97" s="44"/>
      <c r="KBC97" s="44"/>
      <c r="KBD97" s="44"/>
      <c r="KBE97" s="44"/>
      <c r="KBF97" s="44"/>
      <c r="KBG97" s="44"/>
      <c r="KBH97" s="44"/>
      <c r="KBI97" s="44"/>
      <c r="KBJ97" s="44"/>
      <c r="KBK97" s="44"/>
      <c r="KBL97" s="44"/>
      <c r="KBM97" s="44"/>
      <c r="KBN97" s="44"/>
      <c r="KBO97" s="44"/>
      <c r="KBP97" s="44"/>
      <c r="KBQ97" s="44"/>
      <c r="KBR97" s="44"/>
      <c r="KBS97" s="44"/>
      <c r="KBT97" s="44"/>
      <c r="KBU97" s="44"/>
      <c r="KBV97" s="44"/>
      <c r="KBW97" s="44"/>
      <c r="KBX97" s="44"/>
      <c r="KBY97" s="44"/>
      <c r="KBZ97" s="44"/>
      <c r="KCA97" s="44"/>
      <c r="KCB97" s="44"/>
      <c r="KCC97" s="44"/>
      <c r="KCD97" s="44"/>
      <c r="KCE97" s="44"/>
      <c r="KCF97" s="44"/>
      <c r="KCG97" s="44"/>
      <c r="KCH97" s="44"/>
      <c r="KCI97" s="44"/>
      <c r="KCJ97" s="44"/>
      <c r="KCK97" s="44"/>
      <c r="KCL97" s="44"/>
      <c r="KCM97" s="44"/>
      <c r="KCN97" s="44"/>
      <c r="KCO97" s="44"/>
      <c r="KCP97" s="44"/>
      <c r="KCQ97" s="44"/>
      <c r="KCR97" s="44"/>
      <c r="KCS97" s="44"/>
      <c r="KCT97" s="44"/>
      <c r="KCU97" s="44"/>
      <c r="KCV97" s="44"/>
      <c r="KCW97" s="44"/>
      <c r="KCX97" s="44"/>
      <c r="KCY97" s="44"/>
      <c r="KCZ97" s="44"/>
      <c r="KDA97" s="44"/>
      <c r="KDB97" s="44"/>
      <c r="KDC97" s="44"/>
      <c r="KDD97" s="44"/>
      <c r="KDE97" s="44"/>
      <c r="KDF97" s="44"/>
      <c r="KDG97" s="44"/>
      <c r="KDH97" s="44"/>
      <c r="KDI97" s="44"/>
      <c r="KDJ97" s="44"/>
      <c r="KDK97" s="44"/>
      <c r="KDL97" s="44"/>
      <c r="KDM97" s="44"/>
      <c r="KDN97" s="44"/>
      <c r="KDO97" s="44"/>
      <c r="KDP97" s="44"/>
      <c r="KDQ97" s="44"/>
      <c r="KDR97" s="44"/>
      <c r="KDS97" s="44"/>
      <c r="KDT97" s="44"/>
      <c r="KDU97" s="44"/>
      <c r="KDV97" s="44"/>
      <c r="KDW97" s="44"/>
      <c r="KDX97" s="44"/>
      <c r="KDY97" s="44"/>
      <c r="KDZ97" s="44"/>
      <c r="KEA97" s="44"/>
      <c r="KEB97" s="44"/>
      <c r="KEC97" s="44"/>
      <c r="KED97" s="44"/>
      <c r="KEE97" s="44"/>
      <c r="KEF97" s="44"/>
      <c r="KEG97" s="44"/>
      <c r="KEH97" s="44"/>
      <c r="KEI97" s="44"/>
      <c r="KEJ97" s="44"/>
      <c r="KEK97" s="44"/>
      <c r="KEL97" s="44"/>
      <c r="KEM97" s="44"/>
      <c r="KEN97" s="44"/>
      <c r="KEO97" s="44"/>
      <c r="KEP97" s="44"/>
      <c r="KEQ97" s="44"/>
      <c r="KER97" s="44"/>
      <c r="KES97" s="44"/>
      <c r="KET97" s="44"/>
      <c r="KEU97" s="44"/>
      <c r="KEV97" s="44"/>
      <c r="KEW97" s="44"/>
      <c r="KEX97" s="44"/>
      <c r="KEY97" s="44"/>
      <c r="KEZ97" s="44"/>
      <c r="KFA97" s="44"/>
      <c r="KFB97" s="44"/>
      <c r="KFC97" s="44"/>
      <c r="KFD97" s="44"/>
      <c r="KFE97" s="44"/>
      <c r="KFF97" s="44"/>
      <c r="KFG97" s="44"/>
      <c r="KFH97" s="44"/>
      <c r="KFI97" s="44"/>
      <c r="KFJ97" s="44"/>
      <c r="KFK97" s="44"/>
      <c r="KFL97" s="44"/>
      <c r="KFM97" s="44"/>
      <c r="KFN97" s="44"/>
      <c r="KFO97" s="44"/>
      <c r="KFP97" s="44"/>
      <c r="KFQ97" s="44"/>
      <c r="KFR97" s="44"/>
      <c r="KFS97" s="44"/>
      <c r="KFT97" s="44"/>
      <c r="KFU97" s="44"/>
      <c r="KFV97" s="44"/>
      <c r="KFW97" s="44"/>
      <c r="KFX97" s="44"/>
      <c r="KFY97" s="44"/>
      <c r="KFZ97" s="44"/>
      <c r="KGA97" s="44"/>
      <c r="KGB97" s="44"/>
      <c r="KGC97" s="44"/>
      <c r="KGD97" s="44"/>
      <c r="KGE97" s="44"/>
      <c r="KGF97" s="44"/>
      <c r="KGG97" s="44"/>
      <c r="KGH97" s="44"/>
      <c r="KGI97" s="44"/>
      <c r="KGJ97" s="44"/>
      <c r="KGK97" s="44"/>
      <c r="KGL97" s="44"/>
      <c r="KGM97" s="44"/>
      <c r="KGN97" s="44"/>
      <c r="KGO97" s="44"/>
      <c r="KGP97" s="44"/>
      <c r="KGQ97" s="44"/>
      <c r="KGR97" s="44"/>
      <c r="KGS97" s="44"/>
      <c r="KGT97" s="44"/>
      <c r="KGU97" s="44"/>
      <c r="KGV97" s="44"/>
      <c r="KGW97" s="44"/>
      <c r="KGX97" s="44"/>
      <c r="KGY97" s="44"/>
      <c r="KGZ97" s="44"/>
      <c r="KHA97" s="44"/>
      <c r="KHB97" s="44"/>
      <c r="KHC97" s="44"/>
      <c r="KHD97" s="44"/>
      <c r="KHE97" s="44"/>
      <c r="KHF97" s="44"/>
      <c r="KHG97" s="44"/>
      <c r="KHH97" s="44"/>
      <c r="KHI97" s="44"/>
      <c r="KHJ97" s="44"/>
      <c r="KHK97" s="44"/>
      <c r="KHL97" s="44"/>
      <c r="KHM97" s="44"/>
      <c r="KHN97" s="44"/>
      <c r="KHO97" s="44"/>
      <c r="KHP97" s="44"/>
      <c r="KHQ97" s="44"/>
      <c r="KHR97" s="44"/>
      <c r="KHS97" s="44"/>
      <c r="KHT97" s="44"/>
      <c r="KHU97" s="44"/>
      <c r="KHV97" s="44"/>
      <c r="KHW97" s="44"/>
      <c r="KHX97" s="44"/>
      <c r="KHY97" s="44"/>
      <c r="KHZ97" s="44"/>
      <c r="KIA97" s="44"/>
      <c r="KIB97" s="44"/>
      <c r="KIC97" s="44"/>
      <c r="KID97" s="44"/>
      <c r="KIE97" s="44"/>
      <c r="KIF97" s="44"/>
      <c r="KIG97" s="44"/>
      <c r="KIH97" s="44"/>
      <c r="KII97" s="44"/>
      <c r="KIJ97" s="44"/>
      <c r="KIK97" s="44"/>
      <c r="KIL97" s="44"/>
      <c r="KIM97" s="44"/>
      <c r="KIN97" s="44"/>
      <c r="KIO97" s="44"/>
      <c r="KIP97" s="44"/>
      <c r="KIQ97" s="44"/>
      <c r="KIR97" s="44"/>
      <c r="KIS97" s="44"/>
      <c r="KIT97" s="44"/>
      <c r="KIU97" s="44"/>
      <c r="KIV97" s="44"/>
      <c r="KIW97" s="44"/>
      <c r="KIX97" s="44"/>
      <c r="KIY97" s="44"/>
      <c r="KIZ97" s="44"/>
      <c r="KJA97" s="44"/>
      <c r="KJB97" s="44"/>
      <c r="KJC97" s="44"/>
      <c r="KJD97" s="44"/>
      <c r="KJE97" s="44"/>
      <c r="KJF97" s="44"/>
      <c r="KJG97" s="44"/>
      <c r="KJH97" s="44"/>
      <c r="KJI97" s="44"/>
      <c r="KJJ97" s="44"/>
      <c r="KJK97" s="44"/>
      <c r="KJL97" s="44"/>
      <c r="KJM97" s="44"/>
      <c r="KJN97" s="44"/>
      <c r="KJO97" s="44"/>
      <c r="KJP97" s="44"/>
      <c r="KJQ97" s="44"/>
      <c r="KJR97" s="44"/>
      <c r="KJS97" s="44"/>
      <c r="KJT97" s="44"/>
      <c r="KJU97" s="44"/>
      <c r="KJV97" s="44"/>
      <c r="KJW97" s="44"/>
      <c r="KJX97" s="44"/>
      <c r="KJY97" s="44"/>
      <c r="KJZ97" s="44"/>
      <c r="KKA97" s="44"/>
      <c r="KKB97" s="44"/>
      <c r="KKC97" s="44"/>
      <c r="KKD97" s="44"/>
      <c r="KKE97" s="44"/>
      <c r="KKF97" s="44"/>
      <c r="KKG97" s="44"/>
      <c r="KKH97" s="44"/>
      <c r="KKI97" s="44"/>
      <c r="KKJ97" s="44"/>
      <c r="KKK97" s="44"/>
      <c r="KKL97" s="44"/>
      <c r="KKM97" s="44"/>
      <c r="KKN97" s="44"/>
      <c r="KKO97" s="44"/>
      <c r="KKP97" s="44"/>
      <c r="KKQ97" s="44"/>
      <c r="KKR97" s="44"/>
      <c r="KKS97" s="44"/>
      <c r="KKT97" s="44"/>
      <c r="KKU97" s="44"/>
      <c r="KKV97" s="44"/>
      <c r="KKW97" s="44"/>
      <c r="KKX97" s="44"/>
      <c r="KKY97" s="44"/>
      <c r="KKZ97" s="44"/>
      <c r="KLA97" s="44"/>
      <c r="KLB97" s="44"/>
      <c r="KLC97" s="44"/>
      <c r="KLD97" s="44"/>
      <c r="KLE97" s="44"/>
      <c r="KLF97" s="44"/>
      <c r="KLG97" s="44"/>
      <c r="KLH97" s="44"/>
      <c r="KLI97" s="44"/>
      <c r="KLJ97" s="44"/>
      <c r="KLK97" s="44"/>
      <c r="KLL97" s="44"/>
      <c r="KLM97" s="44"/>
      <c r="KLN97" s="44"/>
      <c r="KLO97" s="44"/>
      <c r="KLP97" s="44"/>
      <c r="KLQ97" s="44"/>
      <c r="KLR97" s="44"/>
      <c r="KLS97" s="44"/>
      <c r="KLT97" s="44"/>
      <c r="KLU97" s="44"/>
      <c r="KLV97" s="44"/>
      <c r="KLW97" s="44"/>
      <c r="KLX97" s="44"/>
      <c r="KLY97" s="44"/>
      <c r="KLZ97" s="44"/>
      <c r="KMA97" s="44"/>
      <c r="KMB97" s="44"/>
      <c r="KMC97" s="44"/>
      <c r="KMD97" s="44"/>
      <c r="KME97" s="44"/>
      <c r="KMF97" s="44"/>
      <c r="KMG97" s="44"/>
      <c r="KMH97" s="44"/>
      <c r="KMI97" s="44"/>
      <c r="KMJ97" s="44"/>
      <c r="KMK97" s="44"/>
      <c r="KML97" s="44"/>
      <c r="KMM97" s="44"/>
      <c r="KMN97" s="44"/>
      <c r="KMO97" s="44"/>
      <c r="KMP97" s="44"/>
      <c r="KMQ97" s="44"/>
      <c r="KMR97" s="44"/>
      <c r="KMS97" s="44"/>
      <c r="KMT97" s="44"/>
      <c r="KMU97" s="44"/>
      <c r="KMV97" s="44"/>
      <c r="KMW97" s="44"/>
      <c r="KMX97" s="44"/>
      <c r="KMY97" s="44"/>
      <c r="KMZ97" s="44"/>
      <c r="KNA97" s="44"/>
      <c r="KNB97" s="44"/>
      <c r="KNC97" s="44"/>
      <c r="KND97" s="44"/>
      <c r="KNE97" s="44"/>
      <c r="KNF97" s="44"/>
      <c r="KNG97" s="44"/>
      <c r="KNH97" s="44"/>
      <c r="KNI97" s="44"/>
      <c r="KNJ97" s="44"/>
      <c r="KNK97" s="44"/>
      <c r="KNL97" s="44"/>
      <c r="KNM97" s="44"/>
      <c r="KNN97" s="44"/>
      <c r="KNO97" s="44"/>
      <c r="KNP97" s="44"/>
      <c r="KNQ97" s="44"/>
      <c r="KNR97" s="44"/>
      <c r="KNS97" s="44"/>
      <c r="KNT97" s="44"/>
      <c r="KNU97" s="44"/>
      <c r="KNV97" s="44"/>
      <c r="KNW97" s="44"/>
      <c r="KNX97" s="44"/>
      <c r="KNY97" s="44"/>
      <c r="KNZ97" s="44"/>
      <c r="KOA97" s="44"/>
      <c r="KOB97" s="44"/>
      <c r="KOC97" s="44"/>
      <c r="KOD97" s="44"/>
      <c r="KOE97" s="44"/>
      <c r="KOF97" s="44"/>
      <c r="KOG97" s="44"/>
      <c r="KOH97" s="44"/>
      <c r="KOI97" s="44"/>
      <c r="KOJ97" s="44"/>
      <c r="KOK97" s="44"/>
      <c r="KOL97" s="44"/>
      <c r="KOM97" s="44"/>
      <c r="KON97" s="44"/>
      <c r="KOO97" s="44"/>
      <c r="KOP97" s="44"/>
      <c r="KOQ97" s="44"/>
      <c r="KOR97" s="44"/>
      <c r="KOS97" s="44"/>
      <c r="KOT97" s="44"/>
      <c r="KOU97" s="44"/>
      <c r="KOV97" s="44"/>
      <c r="KOW97" s="44"/>
      <c r="KOX97" s="44"/>
      <c r="KOY97" s="44"/>
      <c r="KOZ97" s="44"/>
      <c r="KPA97" s="44"/>
      <c r="KPB97" s="44"/>
      <c r="KPC97" s="44"/>
      <c r="KPD97" s="44"/>
      <c r="KPE97" s="44"/>
      <c r="KPF97" s="44"/>
      <c r="KPG97" s="44"/>
      <c r="KPH97" s="44"/>
      <c r="KPI97" s="44"/>
      <c r="KPJ97" s="44"/>
      <c r="KPK97" s="44"/>
      <c r="KPL97" s="44"/>
      <c r="KPM97" s="44"/>
      <c r="KPN97" s="44"/>
      <c r="KPO97" s="44"/>
      <c r="KPP97" s="44"/>
      <c r="KPQ97" s="44"/>
      <c r="KPR97" s="44"/>
      <c r="KPS97" s="44"/>
      <c r="KPT97" s="44"/>
      <c r="KPU97" s="44"/>
      <c r="KPV97" s="44"/>
      <c r="KPW97" s="44"/>
      <c r="KPX97" s="44"/>
      <c r="KPY97" s="44"/>
      <c r="KPZ97" s="44"/>
      <c r="KQA97" s="44"/>
      <c r="KQB97" s="44"/>
      <c r="KQC97" s="44"/>
      <c r="KQD97" s="44"/>
      <c r="KQE97" s="44"/>
      <c r="KQF97" s="44"/>
      <c r="KQG97" s="44"/>
      <c r="KQH97" s="44"/>
      <c r="KQI97" s="44"/>
      <c r="KQJ97" s="44"/>
      <c r="KQK97" s="44"/>
      <c r="KQL97" s="44"/>
      <c r="KQM97" s="44"/>
      <c r="KQN97" s="44"/>
      <c r="KQO97" s="44"/>
      <c r="KQP97" s="44"/>
      <c r="KQQ97" s="44"/>
      <c r="KQR97" s="44"/>
      <c r="KQS97" s="44"/>
      <c r="KQT97" s="44"/>
      <c r="KQU97" s="44"/>
      <c r="KQV97" s="44"/>
      <c r="KQW97" s="44"/>
      <c r="KQX97" s="44"/>
      <c r="KQY97" s="44"/>
      <c r="KQZ97" s="44"/>
      <c r="KRA97" s="44"/>
      <c r="KRB97" s="44"/>
      <c r="KRC97" s="44"/>
      <c r="KRD97" s="44"/>
      <c r="KRE97" s="44"/>
      <c r="KRF97" s="44"/>
      <c r="KRG97" s="44"/>
      <c r="KRH97" s="44"/>
      <c r="KRI97" s="44"/>
      <c r="KRJ97" s="44"/>
      <c r="KRK97" s="44"/>
      <c r="KRL97" s="44"/>
      <c r="KRM97" s="44"/>
      <c r="KRN97" s="44"/>
      <c r="KRO97" s="44"/>
      <c r="KRP97" s="44"/>
      <c r="KRQ97" s="44"/>
      <c r="KRR97" s="44"/>
      <c r="KRS97" s="44"/>
      <c r="KRT97" s="44"/>
      <c r="KRU97" s="44"/>
      <c r="KRV97" s="44"/>
      <c r="KRW97" s="44"/>
      <c r="KRX97" s="44"/>
      <c r="KRY97" s="44"/>
      <c r="KRZ97" s="44"/>
      <c r="KSA97" s="44"/>
      <c r="KSB97" s="44"/>
      <c r="KSC97" s="44"/>
      <c r="KSD97" s="44"/>
      <c r="KSE97" s="44"/>
      <c r="KSF97" s="44"/>
      <c r="KSG97" s="44"/>
      <c r="KSH97" s="44"/>
      <c r="KSI97" s="44"/>
      <c r="KSJ97" s="44"/>
      <c r="KSK97" s="44"/>
      <c r="KSL97" s="44"/>
      <c r="KSM97" s="44"/>
      <c r="KSN97" s="44"/>
      <c r="KSO97" s="44"/>
      <c r="KSP97" s="44"/>
      <c r="KSQ97" s="44"/>
      <c r="KSR97" s="44"/>
      <c r="KSS97" s="44"/>
      <c r="KST97" s="44"/>
      <c r="KSU97" s="44"/>
      <c r="KSV97" s="44"/>
      <c r="KSW97" s="44"/>
      <c r="KSX97" s="44"/>
      <c r="KSY97" s="44"/>
      <c r="KSZ97" s="44"/>
      <c r="KTA97" s="44"/>
      <c r="KTB97" s="44"/>
      <c r="KTC97" s="44"/>
      <c r="KTD97" s="44"/>
      <c r="KTE97" s="44"/>
      <c r="KTF97" s="44"/>
      <c r="KTG97" s="44"/>
      <c r="KTH97" s="44"/>
      <c r="KTI97" s="44"/>
      <c r="KTJ97" s="44"/>
      <c r="KTK97" s="44"/>
      <c r="KTL97" s="44"/>
      <c r="KTM97" s="44"/>
      <c r="KTN97" s="44"/>
      <c r="KTO97" s="44"/>
      <c r="KTP97" s="44"/>
      <c r="KTQ97" s="44"/>
      <c r="KTR97" s="44"/>
      <c r="KTS97" s="44"/>
      <c r="KTT97" s="44"/>
      <c r="KTU97" s="44"/>
      <c r="KTV97" s="44"/>
      <c r="KTW97" s="44"/>
      <c r="KTX97" s="44"/>
      <c r="KTY97" s="44"/>
      <c r="KTZ97" s="44"/>
      <c r="KUA97" s="44"/>
      <c r="KUB97" s="44"/>
      <c r="KUC97" s="44"/>
      <c r="KUD97" s="44"/>
      <c r="KUE97" s="44"/>
      <c r="KUF97" s="44"/>
      <c r="KUG97" s="44"/>
      <c r="KUH97" s="44"/>
      <c r="KUI97" s="44"/>
      <c r="KUJ97" s="44"/>
      <c r="KUK97" s="44"/>
      <c r="KUL97" s="44"/>
      <c r="KUM97" s="44"/>
      <c r="KUN97" s="44"/>
      <c r="KUO97" s="44"/>
      <c r="KUP97" s="44"/>
      <c r="KUQ97" s="44"/>
      <c r="KUR97" s="44"/>
      <c r="KUS97" s="44"/>
      <c r="KUT97" s="44"/>
      <c r="KUU97" s="44"/>
      <c r="KUV97" s="44"/>
      <c r="KUW97" s="44"/>
      <c r="KUX97" s="44"/>
      <c r="KUY97" s="44"/>
      <c r="KUZ97" s="44"/>
      <c r="KVA97" s="44"/>
      <c r="KVB97" s="44"/>
      <c r="KVC97" s="44"/>
      <c r="KVD97" s="44"/>
      <c r="KVE97" s="44"/>
      <c r="KVF97" s="44"/>
      <c r="KVG97" s="44"/>
      <c r="KVH97" s="44"/>
      <c r="KVI97" s="44"/>
      <c r="KVJ97" s="44"/>
      <c r="KVK97" s="44"/>
      <c r="KVL97" s="44"/>
      <c r="KVM97" s="44"/>
      <c r="KVN97" s="44"/>
      <c r="KVO97" s="44"/>
      <c r="KVP97" s="44"/>
      <c r="KVQ97" s="44"/>
      <c r="KVR97" s="44"/>
      <c r="KVS97" s="44"/>
      <c r="KVT97" s="44"/>
      <c r="KVU97" s="44"/>
      <c r="KVV97" s="44"/>
      <c r="KVW97" s="44"/>
      <c r="KVX97" s="44"/>
      <c r="KVY97" s="44"/>
      <c r="KVZ97" s="44"/>
      <c r="KWA97" s="44"/>
      <c r="KWB97" s="44"/>
      <c r="KWC97" s="44"/>
      <c r="KWD97" s="44"/>
      <c r="KWE97" s="44"/>
      <c r="KWF97" s="44"/>
      <c r="KWG97" s="44"/>
      <c r="KWH97" s="44"/>
      <c r="KWI97" s="44"/>
      <c r="KWJ97" s="44"/>
      <c r="KWK97" s="44"/>
      <c r="KWL97" s="44"/>
      <c r="KWM97" s="44"/>
      <c r="KWN97" s="44"/>
      <c r="KWO97" s="44"/>
      <c r="KWP97" s="44"/>
      <c r="KWQ97" s="44"/>
      <c r="KWR97" s="44"/>
      <c r="KWS97" s="44"/>
      <c r="KWT97" s="44"/>
      <c r="KWU97" s="44"/>
      <c r="KWV97" s="44"/>
      <c r="KWW97" s="44"/>
      <c r="KWX97" s="44"/>
      <c r="KWY97" s="44"/>
      <c r="KWZ97" s="44"/>
      <c r="KXA97" s="44"/>
      <c r="KXB97" s="44"/>
      <c r="KXC97" s="44"/>
      <c r="KXD97" s="44"/>
      <c r="KXE97" s="44"/>
      <c r="KXF97" s="44"/>
      <c r="KXG97" s="44"/>
      <c r="KXH97" s="44"/>
      <c r="KXI97" s="44"/>
      <c r="KXJ97" s="44"/>
      <c r="KXK97" s="44"/>
      <c r="KXL97" s="44"/>
      <c r="KXM97" s="44"/>
      <c r="KXN97" s="44"/>
      <c r="KXO97" s="44"/>
      <c r="KXP97" s="44"/>
      <c r="KXQ97" s="44"/>
      <c r="KXR97" s="44"/>
      <c r="KXS97" s="44"/>
      <c r="KXT97" s="44"/>
      <c r="KXU97" s="44"/>
      <c r="KXV97" s="44"/>
      <c r="KXW97" s="44"/>
      <c r="KXX97" s="44"/>
      <c r="KXY97" s="44"/>
      <c r="KXZ97" s="44"/>
      <c r="KYA97" s="44"/>
      <c r="KYB97" s="44"/>
      <c r="KYC97" s="44"/>
      <c r="KYD97" s="44"/>
      <c r="KYE97" s="44"/>
      <c r="KYF97" s="44"/>
      <c r="KYG97" s="44"/>
      <c r="KYH97" s="44"/>
      <c r="KYI97" s="44"/>
      <c r="KYJ97" s="44"/>
      <c r="KYK97" s="44"/>
      <c r="KYL97" s="44"/>
      <c r="KYM97" s="44"/>
      <c r="KYN97" s="44"/>
      <c r="KYO97" s="44"/>
      <c r="KYP97" s="44"/>
      <c r="KYQ97" s="44"/>
      <c r="KYR97" s="44"/>
      <c r="KYS97" s="44"/>
      <c r="KYT97" s="44"/>
      <c r="KYU97" s="44"/>
      <c r="KYV97" s="44"/>
      <c r="KYW97" s="44"/>
      <c r="KYX97" s="44"/>
      <c r="KYY97" s="44"/>
      <c r="KYZ97" s="44"/>
      <c r="KZA97" s="44"/>
      <c r="KZB97" s="44"/>
      <c r="KZC97" s="44"/>
      <c r="KZD97" s="44"/>
      <c r="KZE97" s="44"/>
      <c r="KZF97" s="44"/>
      <c r="KZG97" s="44"/>
      <c r="KZH97" s="44"/>
      <c r="KZI97" s="44"/>
      <c r="KZJ97" s="44"/>
      <c r="KZK97" s="44"/>
      <c r="KZL97" s="44"/>
      <c r="KZM97" s="44"/>
      <c r="KZN97" s="44"/>
      <c r="KZO97" s="44"/>
      <c r="KZP97" s="44"/>
      <c r="KZQ97" s="44"/>
      <c r="KZR97" s="44"/>
      <c r="KZS97" s="44"/>
      <c r="KZT97" s="44"/>
      <c r="KZU97" s="44"/>
      <c r="KZV97" s="44"/>
      <c r="KZW97" s="44"/>
      <c r="KZX97" s="44"/>
      <c r="KZY97" s="44"/>
      <c r="KZZ97" s="44"/>
      <c r="LAA97" s="44"/>
      <c r="LAB97" s="44"/>
      <c r="LAC97" s="44"/>
      <c r="LAD97" s="44"/>
      <c r="LAE97" s="44"/>
      <c r="LAF97" s="44"/>
      <c r="LAG97" s="44"/>
      <c r="LAH97" s="44"/>
      <c r="LAI97" s="44"/>
      <c r="LAJ97" s="44"/>
      <c r="LAK97" s="44"/>
      <c r="LAL97" s="44"/>
      <c r="LAM97" s="44"/>
      <c r="LAN97" s="44"/>
      <c r="LAO97" s="44"/>
      <c r="LAP97" s="44"/>
      <c r="LAQ97" s="44"/>
      <c r="LAR97" s="44"/>
      <c r="LAS97" s="44"/>
      <c r="LAT97" s="44"/>
      <c r="LAU97" s="44"/>
      <c r="LAV97" s="44"/>
      <c r="LAW97" s="44"/>
      <c r="LAX97" s="44"/>
      <c r="LAY97" s="44"/>
      <c r="LAZ97" s="44"/>
      <c r="LBA97" s="44"/>
      <c r="LBB97" s="44"/>
      <c r="LBC97" s="44"/>
      <c r="LBD97" s="44"/>
      <c r="LBE97" s="44"/>
      <c r="LBF97" s="44"/>
      <c r="LBG97" s="44"/>
      <c r="LBH97" s="44"/>
      <c r="LBI97" s="44"/>
      <c r="LBJ97" s="44"/>
      <c r="LBK97" s="44"/>
      <c r="LBL97" s="44"/>
      <c r="LBM97" s="44"/>
      <c r="LBN97" s="44"/>
      <c r="LBO97" s="44"/>
      <c r="LBP97" s="44"/>
      <c r="LBQ97" s="44"/>
      <c r="LBR97" s="44"/>
      <c r="LBS97" s="44"/>
      <c r="LBT97" s="44"/>
      <c r="LBU97" s="44"/>
      <c r="LBV97" s="44"/>
      <c r="LBW97" s="44"/>
      <c r="LBX97" s="44"/>
      <c r="LBY97" s="44"/>
      <c r="LBZ97" s="44"/>
      <c r="LCA97" s="44"/>
      <c r="LCB97" s="44"/>
      <c r="LCC97" s="44"/>
      <c r="LCD97" s="44"/>
      <c r="LCE97" s="44"/>
      <c r="LCF97" s="44"/>
      <c r="LCG97" s="44"/>
      <c r="LCH97" s="44"/>
      <c r="LCI97" s="44"/>
      <c r="LCJ97" s="44"/>
      <c r="LCK97" s="44"/>
      <c r="LCL97" s="44"/>
      <c r="LCM97" s="44"/>
      <c r="LCN97" s="44"/>
      <c r="LCO97" s="44"/>
      <c r="LCP97" s="44"/>
      <c r="LCQ97" s="44"/>
      <c r="LCR97" s="44"/>
      <c r="LCS97" s="44"/>
      <c r="LCT97" s="44"/>
      <c r="LCU97" s="44"/>
      <c r="LCV97" s="44"/>
      <c r="LCW97" s="44"/>
      <c r="LCX97" s="44"/>
      <c r="LCY97" s="44"/>
      <c r="LCZ97" s="44"/>
      <c r="LDA97" s="44"/>
      <c r="LDB97" s="44"/>
      <c r="LDC97" s="44"/>
      <c r="LDD97" s="44"/>
      <c r="LDE97" s="44"/>
      <c r="LDF97" s="44"/>
      <c r="LDG97" s="44"/>
      <c r="LDH97" s="44"/>
      <c r="LDI97" s="44"/>
      <c r="LDJ97" s="44"/>
      <c r="LDK97" s="44"/>
      <c r="LDL97" s="44"/>
      <c r="LDM97" s="44"/>
      <c r="LDN97" s="44"/>
      <c r="LDO97" s="44"/>
      <c r="LDP97" s="44"/>
      <c r="LDQ97" s="44"/>
      <c r="LDR97" s="44"/>
      <c r="LDS97" s="44"/>
      <c r="LDT97" s="44"/>
      <c r="LDU97" s="44"/>
      <c r="LDV97" s="44"/>
      <c r="LDW97" s="44"/>
      <c r="LDX97" s="44"/>
      <c r="LDY97" s="44"/>
      <c r="LDZ97" s="44"/>
      <c r="LEA97" s="44"/>
      <c r="LEB97" s="44"/>
      <c r="LEC97" s="44"/>
      <c r="LED97" s="44"/>
      <c r="LEE97" s="44"/>
      <c r="LEF97" s="44"/>
      <c r="LEG97" s="44"/>
      <c r="LEH97" s="44"/>
      <c r="LEI97" s="44"/>
      <c r="LEJ97" s="44"/>
      <c r="LEK97" s="44"/>
      <c r="LEL97" s="44"/>
      <c r="LEM97" s="44"/>
      <c r="LEN97" s="44"/>
      <c r="LEO97" s="44"/>
      <c r="LEP97" s="44"/>
      <c r="LEQ97" s="44"/>
      <c r="LER97" s="44"/>
      <c r="LES97" s="44"/>
      <c r="LET97" s="44"/>
      <c r="LEU97" s="44"/>
      <c r="LEV97" s="44"/>
      <c r="LEW97" s="44"/>
      <c r="LEX97" s="44"/>
      <c r="LEY97" s="44"/>
      <c r="LEZ97" s="44"/>
      <c r="LFA97" s="44"/>
      <c r="LFB97" s="44"/>
      <c r="LFC97" s="44"/>
      <c r="LFD97" s="44"/>
      <c r="LFE97" s="44"/>
      <c r="LFF97" s="44"/>
      <c r="LFG97" s="44"/>
      <c r="LFH97" s="44"/>
      <c r="LFI97" s="44"/>
      <c r="LFJ97" s="44"/>
      <c r="LFK97" s="44"/>
      <c r="LFL97" s="44"/>
      <c r="LFM97" s="44"/>
      <c r="LFN97" s="44"/>
      <c r="LFO97" s="44"/>
      <c r="LFP97" s="44"/>
      <c r="LFQ97" s="44"/>
      <c r="LFR97" s="44"/>
      <c r="LFS97" s="44"/>
      <c r="LFT97" s="44"/>
      <c r="LFU97" s="44"/>
      <c r="LFV97" s="44"/>
      <c r="LFW97" s="44"/>
      <c r="LFX97" s="44"/>
      <c r="LFY97" s="44"/>
      <c r="LFZ97" s="44"/>
      <c r="LGA97" s="44"/>
      <c r="LGB97" s="44"/>
      <c r="LGC97" s="44"/>
      <c r="LGD97" s="44"/>
      <c r="LGE97" s="44"/>
      <c r="LGF97" s="44"/>
      <c r="LGG97" s="44"/>
      <c r="LGH97" s="44"/>
      <c r="LGI97" s="44"/>
      <c r="LGJ97" s="44"/>
      <c r="LGK97" s="44"/>
      <c r="LGL97" s="44"/>
      <c r="LGM97" s="44"/>
      <c r="LGN97" s="44"/>
      <c r="LGO97" s="44"/>
      <c r="LGP97" s="44"/>
      <c r="LGQ97" s="44"/>
      <c r="LGR97" s="44"/>
      <c r="LGS97" s="44"/>
      <c r="LGT97" s="44"/>
      <c r="LGU97" s="44"/>
      <c r="LGV97" s="44"/>
      <c r="LGW97" s="44"/>
      <c r="LGX97" s="44"/>
      <c r="LGY97" s="44"/>
      <c r="LGZ97" s="44"/>
      <c r="LHA97" s="44"/>
      <c r="LHB97" s="44"/>
      <c r="LHC97" s="44"/>
      <c r="LHD97" s="44"/>
      <c r="LHE97" s="44"/>
      <c r="LHF97" s="44"/>
      <c r="LHG97" s="44"/>
      <c r="LHH97" s="44"/>
      <c r="LHI97" s="44"/>
      <c r="LHJ97" s="44"/>
      <c r="LHK97" s="44"/>
      <c r="LHL97" s="44"/>
      <c r="LHM97" s="44"/>
      <c r="LHN97" s="44"/>
      <c r="LHO97" s="44"/>
      <c r="LHP97" s="44"/>
      <c r="LHQ97" s="44"/>
      <c r="LHR97" s="44"/>
      <c r="LHS97" s="44"/>
      <c r="LHT97" s="44"/>
      <c r="LHU97" s="44"/>
      <c r="LHV97" s="44"/>
      <c r="LHW97" s="44"/>
      <c r="LHX97" s="44"/>
      <c r="LHY97" s="44"/>
      <c r="LHZ97" s="44"/>
      <c r="LIA97" s="44"/>
      <c r="LIB97" s="44"/>
      <c r="LIC97" s="44"/>
      <c r="LID97" s="44"/>
      <c r="LIE97" s="44"/>
      <c r="LIF97" s="44"/>
      <c r="LIG97" s="44"/>
      <c r="LIH97" s="44"/>
      <c r="LII97" s="44"/>
      <c r="LIJ97" s="44"/>
      <c r="LIK97" s="44"/>
      <c r="LIL97" s="44"/>
      <c r="LIM97" s="44"/>
      <c r="LIN97" s="44"/>
      <c r="LIO97" s="44"/>
      <c r="LIP97" s="44"/>
      <c r="LIQ97" s="44"/>
      <c r="LIR97" s="44"/>
      <c r="LIS97" s="44"/>
      <c r="LIT97" s="44"/>
      <c r="LIU97" s="44"/>
      <c r="LIV97" s="44"/>
      <c r="LIW97" s="44"/>
      <c r="LIX97" s="44"/>
      <c r="LIY97" s="44"/>
      <c r="LIZ97" s="44"/>
      <c r="LJA97" s="44"/>
      <c r="LJB97" s="44"/>
      <c r="LJC97" s="44"/>
      <c r="LJD97" s="44"/>
      <c r="LJE97" s="44"/>
      <c r="LJF97" s="44"/>
      <c r="LJG97" s="44"/>
      <c r="LJH97" s="44"/>
      <c r="LJI97" s="44"/>
      <c r="LJJ97" s="44"/>
      <c r="LJK97" s="44"/>
      <c r="LJL97" s="44"/>
      <c r="LJM97" s="44"/>
      <c r="LJN97" s="44"/>
      <c r="LJO97" s="44"/>
      <c r="LJP97" s="44"/>
      <c r="LJQ97" s="44"/>
      <c r="LJR97" s="44"/>
      <c r="LJS97" s="44"/>
      <c r="LJT97" s="44"/>
      <c r="LJU97" s="44"/>
      <c r="LJV97" s="44"/>
      <c r="LJW97" s="44"/>
      <c r="LJX97" s="44"/>
      <c r="LJY97" s="44"/>
      <c r="LJZ97" s="44"/>
      <c r="LKA97" s="44"/>
      <c r="LKB97" s="44"/>
      <c r="LKC97" s="44"/>
      <c r="LKD97" s="44"/>
      <c r="LKE97" s="44"/>
      <c r="LKF97" s="44"/>
      <c r="LKG97" s="44"/>
      <c r="LKH97" s="44"/>
      <c r="LKI97" s="44"/>
      <c r="LKJ97" s="44"/>
      <c r="LKK97" s="44"/>
      <c r="LKL97" s="44"/>
      <c r="LKM97" s="44"/>
      <c r="LKN97" s="44"/>
      <c r="LKO97" s="44"/>
      <c r="LKP97" s="44"/>
      <c r="LKQ97" s="44"/>
      <c r="LKR97" s="44"/>
      <c r="LKS97" s="44"/>
      <c r="LKT97" s="44"/>
      <c r="LKU97" s="44"/>
      <c r="LKV97" s="44"/>
      <c r="LKW97" s="44"/>
      <c r="LKX97" s="44"/>
      <c r="LKY97" s="44"/>
      <c r="LKZ97" s="44"/>
      <c r="LLA97" s="44"/>
      <c r="LLB97" s="44"/>
      <c r="LLC97" s="44"/>
      <c r="LLD97" s="44"/>
      <c r="LLE97" s="44"/>
      <c r="LLF97" s="44"/>
      <c r="LLG97" s="44"/>
      <c r="LLH97" s="44"/>
      <c r="LLI97" s="44"/>
      <c r="LLJ97" s="44"/>
      <c r="LLK97" s="44"/>
      <c r="LLL97" s="44"/>
      <c r="LLM97" s="44"/>
      <c r="LLN97" s="44"/>
      <c r="LLO97" s="44"/>
      <c r="LLP97" s="44"/>
      <c r="LLQ97" s="44"/>
      <c r="LLR97" s="44"/>
      <c r="LLS97" s="44"/>
      <c r="LLT97" s="44"/>
      <c r="LLU97" s="44"/>
      <c r="LLV97" s="44"/>
      <c r="LLW97" s="44"/>
      <c r="LLX97" s="44"/>
      <c r="LLY97" s="44"/>
      <c r="LLZ97" s="44"/>
      <c r="LMA97" s="44"/>
      <c r="LMB97" s="44"/>
      <c r="LMC97" s="44"/>
      <c r="LMD97" s="44"/>
      <c r="LME97" s="44"/>
      <c r="LMF97" s="44"/>
      <c r="LMG97" s="44"/>
      <c r="LMH97" s="44"/>
      <c r="LMI97" s="44"/>
      <c r="LMJ97" s="44"/>
      <c r="LMK97" s="44"/>
      <c r="LML97" s="44"/>
      <c r="LMM97" s="44"/>
      <c r="LMN97" s="44"/>
      <c r="LMO97" s="44"/>
      <c r="LMP97" s="44"/>
      <c r="LMQ97" s="44"/>
      <c r="LMR97" s="44"/>
      <c r="LMS97" s="44"/>
      <c r="LMT97" s="44"/>
      <c r="LMU97" s="44"/>
      <c r="LMV97" s="44"/>
      <c r="LMW97" s="44"/>
      <c r="LMX97" s="44"/>
      <c r="LMY97" s="44"/>
      <c r="LMZ97" s="44"/>
      <c r="LNA97" s="44"/>
      <c r="LNB97" s="44"/>
      <c r="LNC97" s="44"/>
      <c r="LND97" s="44"/>
      <c r="LNE97" s="44"/>
      <c r="LNF97" s="44"/>
      <c r="LNG97" s="44"/>
      <c r="LNH97" s="44"/>
      <c r="LNI97" s="44"/>
      <c r="LNJ97" s="44"/>
      <c r="LNK97" s="44"/>
      <c r="LNL97" s="44"/>
      <c r="LNM97" s="44"/>
      <c r="LNN97" s="44"/>
      <c r="LNO97" s="44"/>
      <c r="LNP97" s="44"/>
      <c r="LNQ97" s="44"/>
      <c r="LNR97" s="44"/>
      <c r="LNS97" s="44"/>
      <c r="LNT97" s="44"/>
      <c r="LNU97" s="44"/>
      <c r="LNV97" s="44"/>
      <c r="LNW97" s="44"/>
      <c r="LNX97" s="44"/>
      <c r="LNY97" s="44"/>
      <c r="LNZ97" s="44"/>
      <c r="LOA97" s="44"/>
      <c r="LOB97" s="44"/>
      <c r="LOC97" s="44"/>
      <c r="LOD97" s="44"/>
      <c r="LOE97" s="44"/>
      <c r="LOF97" s="44"/>
      <c r="LOG97" s="44"/>
      <c r="LOH97" s="44"/>
      <c r="LOI97" s="44"/>
      <c r="LOJ97" s="44"/>
      <c r="LOK97" s="44"/>
      <c r="LOL97" s="44"/>
      <c r="LOM97" s="44"/>
      <c r="LON97" s="44"/>
      <c r="LOO97" s="44"/>
      <c r="LOP97" s="44"/>
      <c r="LOQ97" s="44"/>
      <c r="LOR97" s="44"/>
      <c r="LOS97" s="44"/>
      <c r="LOT97" s="44"/>
      <c r="LOU97" s="44"/>
      <c r="LOV97" s="44"/>
      <c r="LOW97" s="44"/>
      <c r="LOX97" s="44"/>
      <c r="LOY97" s="44"/>
      <c r="LOZ97" s="44"/>
      <c r="LPA97" s="44"/>
      <c r="LPB97" s="44"/>
      <c r="LPC97" s="44"/>
      <c r="LPD97" s="44"/>
      <c r="LPE97" s="44"/>
      <c r="LPF97" s="44"/>
      <c r="LPG97" s="44"/>
      <c r="LPH97" s="44"/>
      <c r="LPI97" s="44"/>
      <c r="LPJ97" s="44"/>
      <c r="LPK97" s="44"/>
      <c r="LPL97" s="44"/>
      <c r="LPM97" s="44"/>
      <c r="LPN97" s="44"/>
      <c r="LPO97" s="44"/>
      <c r="LPP97" s="44"/>
      <c r="LPQ97" s="44"/>
      <c r="LPR97" s="44"/>
      <c r="LPS97" s="44"/>
      <c r="LPT97" s="44"/>
      <c r="LPU97" s="44"/>
      <c r="LPV97" s="44"/>
      <c r="LPW97" s="44"/>
      <c r="LPX97" s="44"/>
      <c r="LPY97" s="44"/>
      <c r="LPZ97" s="44"/>
      <c r="LQA97" s="44"/>
      <c r="LQB97" s="44"/>
      <c r="LQC97" s="44"/>
      <c r="LQD97" s="44"/>
      <c r="LQE97" s="44"/>
      <c r="LQF97" s="44"/>
      <c r="LQG97" s="44"/>
      <c r="LQH97" s="44"/>
      <c r="LQI97" s="44"/>
      <c r="LQJ97" s="44"/>
      <c r="LQK97" s="44"/>
      <c r="LQL97" s="44"/>
      <c r="LQM97" s="44"/>
      <c r="LQN97" s="44"/>
      <c r="LQO97" s="44"/>
      <c r="LQP97" s="44"/>
      <c r="LQQ97" s="44"/>
      <c r="LQR97" s="44"/>
      <c r="LQS97" s="44"/>
      <c r="LQT97" s="44"/>
      <c r="LQU97" s="44"/>
      <c r="LQV97" s="44"/>
      <c r="LQW97" s="44"/>
      <c r="LQX97" s="44"/>
      <c r="LQY97" s="44"/>
      <c r="LQZ97" s="44"/>
      <c r="LRA97" s="44"/>
      <c r="LRB97" s="44"/>
      <c r="LRC97" s="44"/>
      <c r="LRD97" s="44"/>
      <c r="LRE97" s="44"/>
      <c r="LRF97" s="44"/>
      <c r="LRG97" s="44"/>
      <c r="LRH97" s="44"/>
      <c r="LRI97" s="44"/>
      <c r="LRJ97" s="44"/>
      <c r="LRK97" s="44"/>
      <c r="LRL97" s="44"/>
      <c r="LRM97" s="44"/>
      <c r="LRN97" s="44"/>
      <c r="LRO97" s="44"/>
      <c r="LRP97" s="44"/>
      <c r="LRQ97" s="44"/>
      <c r="LRR97" s="44"/>
      <c r="LRS97" s="44"/>
      <c r="LRT97" s="44"/>
      <c r="LRU97" s="44"/>
      <c r="LRV97" s="44"/>
      <c r="LRW97" s="44"/>
      <c r="LRX97" s="44"/>
      <c r="LRY97" s="44"/>
      <c r="LRZ97" s="44"/>
      <c r="LSA97" s="44"/>
      <c r="LSB97" s="44"/>
      <c r="LSC97" s="44"/>
      <c r="LSD97" s="44"/>
      <c r="LSE97" s="44"/>
      <c r="LSF97" s="44"/>
      <c r="LSG97" s="44"/>
      <c r="LSH97" s="44"/>
      <c r="LSI97" s="44"/>
      <c r="LSJ97" s="44"/>
      <c r="LSK97" s="44"/>
      <c r="LSL97" s="44"/>
      <c r="LSM97" s="44"/>
      <c r="LSN97" s="44"/>
      <c r="LSO97" s="44"/>
      <c r="LSP97" s="44"/>
      <c r="LSQ97" s="44"/>
      <c r="LSR97" s="44"/>
      <c r="LSS97" s="44"/>
      <c r="LST97" s="44"/>
      <c r="LSU97" s="44"/>
      <c r="LSV97" s="44"/>
      <c r="LSW97" s="44"/>
      <c r="LSX97" s="44"/>
      <c r="LSY97" s="44"/>
      <c r="LSZ97" s="44"/>
      <c r="LTA97" s="44"/>
      <c r="LTB97" s="44"/>
      <c r="LTC97" s="44"/>
      <c r="LTD97" s="44"/>
      <c r="LTE97" s="44"/>
      <c r="LTF97" s="44"/>
      <c r="LTG97" s="44"/>
      <c r="LTH97" s="44"/>
      <c r="LTI97" s="44"/>
      <c r="LTJ97" s="44"/>
      <c r="LTK97" s="44"/>
      <c r="LTL97" s="44"/>
      <c r="LTM97" s="44"/>
      <c r="LTN97" s="44"/>
      <c r="LTO97" s="44"/>
      <c r="LTP97" s="44"/>
      <c r="LTQ97" s="44"/>
      <c r="LTR97" s="44"/>
      <c r="LTS97" s="44"/>
      <c r="LTT97" s="44"/>
      <c r="LTU97" s="44"/>
      <c r="LTV97" s="44"/>
      <c r="LTW97" s="44"/>
      <c r="LTX97" s="44"/>
      <c r="LTY97" s="44"/>
      <c r="LTZ97" s="44"/>
      <c r="LUA97" s="44"/>
      <c r="LUB97" s="44"/>
      <c r="LUC97" s="44"/>
      <c r="LUD97" s="44"/>
      <c r="LUE97" s="44"/>
      <c r="LUF97" s="44"/>
      <c r="LUG97" s="44"/>
      <c r="LUH97" s="44"/>
      <c r="LUI97" s="44"/>
      <c r="LUJ97" s="44"/>
      <c r="LUK97" s="44"/>
      <c r="LUL97" s="44"/>
      <c r="LUM97" s="44"/>
      <c r="LUN97" s="44"/>
      <c r="LUO97" s="44"/>
      <c r="LUP97" s="44"/>
      <c r="LUQ97" s="44"/>
      <c r="LUR97" s="44"/>
      <c r="LUS97" s="44"/>
      <c r="LUT97" s="44"/>
      <c r="LUU97" s="44"/>
      <c r="LUV97" s="44"/>
      <c r="LUW97" s="44"/>
      <c r="LUX97" s="44"/>
      <c r="LUY97" s="44"/>
      <c r="LUZ97" s="44"/>
      <c r="LVA97" s="44"/>
      <c r="LVB97" s="44"/>
      <c r="LVC97" s="44"/>
      <c r="LVD97" s="44"/>
      <c r="LVE97" s="44"/>
      <c r="LVF97" s="44"/>
      <c r="LVG97" s="44"/>
      <c r="LVH97" s="44"/>
      <c r="LVI97" s="44"/>
      <c r="LVJ97" s="44"/>
      <c r="LVK97" s="44"/>
      <c r="LVL97" s="44"/>
      <c r="LVM97" s="44"/>
      <c r="LVN97" s="44"/>
      <c r="LVO97" s="44"/>
      <c r="LVP97" s="44"/>
      <c r="LVQ97" s="44"/>
      <c r="LVR97" s="44"/>
      <c r="LVS97" s="44"/>
      <c r="LVT97" s="44"/>
      <c r="LVU97" s="44"/>
      <c r="LVV97" s="44"/>
      <c r="LVW97" s="44"/>
      <c r="LVX97" s="44"/>
      <c r="LVY97" s="44"/>
      <c r="LVZ97" s="44"/>
      <c r="LWA97" s="44"/>
      <c r="LWB97" s="44"/>
      <c r="LWC97" s="44"/>
      <c r="LWD97" s="44"/>
      <c r="LWE97" s="44"/>
      <c r="LWF97" s="44"/>
      <c r="LWG97" s="44"/>
      <c r="LWH97" s="44"/>
      <c r="LWI97" s="44"/>
      <c r="LWJ97" s="44"/>
      <c r="LWK97" s="44"/>
      <c r="LWL97" s="44"/>
      <c r="LWM97" s="44"/>
      <c r="LWN97" s="44"/>
      <c r="LWO97" s="44"/>
      <c r="LWP97" s="44"/>
      <c r="LWQ97" s="44"/>
      <c r="LWR97" s="44"/>
      <c r="LWS97" s="44"/>
      <c r="LWT97" s="44"/>
      <c r="LWU97" s="44"/>
      <c r="LWV97" s="44"/>
      <c r="LWW97" s="44"/>
      <c r="LWX97" s="44"/>
      <c r="LWY97" s="44"/>
      <c r="LWZ97" s="44"/>
      <c r="LXA97" s="44"/>
      <c r="LXB97" s="44"/>
      <c r="LXC97" s="44"/>
      <c r="LXD97" s="44"/>
      <c r="LXE97" s="44"/>
      <c r="LXF97" s="44"/>
      <c r="LXG97" s="44"/>
      <c r="LXH97" s="44"/>
      <c r="LXI97" s="44"/>
      <c r="LXJ97" s="44"/>
      <c r="LXK97" s="44"/>
      <c r="LXL97" s="44"/>
      <c r="LXM97" s="44"/>
      <c r="LXN97" s="44"/>
      <c r="LXO97" s="44"/>
      <c r="LXP97" s="44"/>
      <c r="LXQ97" s="44"/>
      <c r="LXR97" s="44"/>
      <c r="LXS97" s="44"/>
      <c r="LXT97" s="44"/>
      <c r="LXU97" s="44"/>
      <c r="LXV97" s="44"/>
      <c r="LXW97" s="44"/>
      <c r="LXX97" s="44"/>
      <c r="LXY97" s="44"/>
      <c r="LXZ97" s="44"/>
      <c r="LYA97" s="44"/>
      <c r="LYB97" s="44"/>
      <c r="LYC97" s="44"/>
      <c r="LYD97" s="44"/>
      <c r="LYE97" s="44"/>
      <c r="LYF97" s="44"/>
      <c r="LYG97" s="44"/>
      <c r="LYH97" s="44"/>
      <c r="LYI97" s="44"/>
      <c r="LYJ97" s="44"/>
      <c r="LYK97" s="44"/>
      <c r="LYL97" s="44"/>
      <c r="LYM97" s="44"/>
      <c r="LYN97" s="44"/>
      <c r="LYO97" s="44"/>
      <c r="LYP97" s="44"/>
      <c r="LYQ97" s="44"/>
      <c r="LYR97" s="44"/>
      <c r="LYS97" s="44"/>
      <c r="LYT97" s="44"/>
      <c r="LYU97" s="44"/>
      <c r="LYV97" s="44"/>
      <c r="LYW97" s="44"/>
      <c r="LYX97" s="44"/>
      <c r="LYY97" s="44"/>
      <c r="LYZ97" s="44"/>
      <c r="LZA97" s="44"/>
      <c r="LZB97" s="44"/>
      <c r="LZC97" s="44"/>
      <c r="LZD97" s="44"/>
      <c r="LZE97" s="44"/>
      <c r="LZF97" s="44"/>
      <c r="LZG97" s="44"/>
      <c r="LZH97" s="44"/>
      <c r="LZI97" s="44"/>
      <c r="LZJ97" s="44"/>
      <c r="LZK97" s="44"/>
      <c r="LZL97" s="44"/>
      <c r="LZM97" s="44"/>
      <c r="LZN97" s="44"/>
      <c r="LZO97" s="44"/>
      <c r="LZP97" s="44"/>
      <c r="LZQ97" s="44"/>
      <c r="LZR97" s="44"/>
      <c r="LZS97" s="44"/>
      <c r="LZT97" s="44"/>
      <c r="LZU97" s="44"/>
      <c r="LZV97" s="44"/>
      <c r="LZW97" s="44"/>
      <c r="LZX97" s="44"/>
      <c r="LZY97" s="44"/>
      <c r="LZZ97" s="44"/>
      <c r="MAA97" s="44"/>
      <c r="MAB97" s="44"/>
      <c r="MAC97" s="44"/>
      <c r="MAD97" s="44"/>
      <c r="MAE97" s="44"/>
      <c r="MAF97" s="44"/>
      <c r="MAG97" s="44"/>
      <c r="MAH97" s="44"/>
      <c r="MAI97" s="44"/>
      <c r="MAJ97" s="44"/>
      <c r="MAK97" s="44"/>
      <c r="MAL97" s="44"/>
      <c r="MAM97" s="44"/>
      <c r="MAN97" s="44"/>
      <c r="MAO97" s="44"/>
      <c r="MAP97" s="44"/>
      <c r="MAQ97" s="44"/>
      <c r="MAR97" s="44"/>
      <c r="MAS97" s="44"/>
      <c r="MAT97" s="44"/>
      <c r="MAU97" s="44"/>
      <c r="MAV97" s="44"/>
      <c r="MAW97" s="44"/>
      <c r="MAX97" s="44"/>
      <c r="MAY97" s="44"/>
      <c r="MAZ97" s="44"/>
      <c r="MBA97" s="44"/>
      <c r="MBB97" s="44"/>
      <c r="MBC97" s="44"/>
      <c r="MBD97" s="44"/>
      <c r="MBE97" s="44"/>
      <c r="MBF97" s="44"/>
      <c r="MBG97" s="44"/>
      <c r="MBH97" s="44"/>
      <c r="MBI97" s="44"/>
      <c r="MBJ97" s="44"/>
      <c r="MBK97" s="44"/>
      <c r="MBL97" s="44"/>
      <c r="MBM97" s="44"/>
      <c r="MBN97" s="44"/>
      <c r="MBO97" s="44"/>
      <c r="MBP97" s="44"/>
      <c r="MBQ97" s="44"/>
      <c r="MBR97" s="44"/>
      <c r="MBS97" s="44"/>
      <c r="MBT97" s="44"/>
      <c r="MBU97" s="44"/>
      <c r="MBV97" s="44"/>
      <c r="MBW97" s="44"/>
      <c r="MBX97" s="44"/>
      <c r="MBY97" s="44"/>
      <c r="MBZ97" s="44"/>
      <c r="MCA97" s="44"/>
      <c r="MCB97" s="44"/>
      <c r="MCC97" s="44"/>
      <c r="MCD97" s="44"/>
      <c r="MCE97" s="44"/>
      <c r="MCF97" s="44"/>
      <c r="MCG97" s="44"/>
      <c r="MCH97" s="44"/>
      <c r="MCI97" s="44"/>
      <c r="MCJ97" s="44"/>
      <c r="MCK97" s="44"/>
      <c r="MCL97" s="44"/>
      <c r="MCM97" s="44"/>
      <c r="MCN97" s="44"/>
      <c r="MCO97" s="44"/>
      <c r="MCP97" s="44"/>
      <c r="MCQ97" s="44"/>
      <c r="MCR97" s="44"/>
      <c r="MCS97" s="44"/>
      <c r="MCT97" s="44"/>
      <c r="MCU97" s="44"/>
      <c r="MCV97" s="44"/>
      <c r="MCW97" s="44"/>
      <c r="MCX97" s="44"/>
      <c r="MCY97" s="44"/>
      <c r="MCZ97" s="44"/>
      <c r="MDA97" s="44"/>
      <c r="MDB97" s="44"/>
      <c r="MDC97" s="44"/>
      <c r="MDD97" s="44"/>
      <c r="MDE97" s="44"/>
      <c r="MDF97" s="44"/>
      <c r="MDG97" s="44"/>
      <c r="MDH97" s="44"/>
      <c r="MDI97" s="44"/>
      <c r="MDJ97" s="44"/>
      <c r="MDK97" s="44"/>
      <c r="MDL97" s="44"/>
      <c r="MDM97" s="44"/>
      <c r="MDN97" s="44"/>
      <c r="MDO97" s="44"/>
      <c r="MDP97" s="44"/>
      <c r="MDQ97" s="44"/>
      <c r="MDR97" s="44"/>
      <c r="MDS97" s="44"/>
      <c r="MDT97" s="44"/>
      <c r="MDU97" s="44"/>
      <c r="MDV97" s="44"/>
      <c r="MDW97" s="44"/>
      <c r="MDX97" s="44"/>
      <c r="MDY97" s="44"/>
      <c r="MDZ97" s="44"/>
      <c r="MEA97" s="44"/>
      <c r="MEB97" s="44"/>
      <c r="MEC97" s="44"/>
      <c r="MED97" s="44"/>
      <c r="MEE97" s="44"/>
      <c r="MEF97" s="44"/>
      <c r="MEG97" s="44"/>
      <c r="MEH97" s="44"/>
      <c r="MEI97" s="44"/>
      <c r="MEJ97" s="44"/>
      <c r="MEK97" s="44"/>
      <c r="MEL97" s="44"/>
      <c r="MEM97" s="44"/>
      <c r="MEN97" s="44"/>
      <c r="MEO97" s="44"/>
      <c r="MEP97" s="44"/>
      <c r="MEQ97" s="44"/>
      <c r="MER97" s="44"/>
      <c r="MES97" s="44"/>
      <c r="MET97" s="44"/>
      <c r="MEU97" s="44"/>
      <c r="MEV97" s="44"/>
      <c r="MEW97" s="44"/>
      <c r="MEX97" s="44"/>
      <c r="MEY97" s="44"/>
      <c r="MEZ97" s="44"/>
      <c r="MFA97" s="44"/>
      <c r="MFB97" s="44"/>
      <c r="MFC97" s="44"/>
      <c r="MFD97" s="44"/>
      <c r="MFE97" s="44"/>
      <c r="MFF97" s="44"/>
      <c r="MFG97" s="44"/>
      <c r="MFH97" s="44"/>
      <c r="MFI97" s="44"/>
      <c r="MFJ97" s="44"/>
      <c r="MFK97" s="44"/>
      <c r="MFL97" s="44"/>
      <c r="MFM97" s="44"/>
      <c r="MFN97" s="44"/>
      <c r="MFO97" s="44"/>
      <c r="MFP97" s="44"/>
      <c r="MFQ97" s="44"/>
      <c r="MFR97" s="44"/>
      <c r="MFS97" s="44"/>
      <c r="MFT97" s="44"/>
      <c r="MFU97" s="44"/>
      <c r="MFV97" s="44"/>
      <c r="MFW97" s="44"/>
      <c r="MFX97" s="44"/>
      <c r="MFY97" s="44"/>
      <c r="MFZ97" s="44"/>
      <c r="MGA97" s="44"/>
      <c r="MGB97" s="44"/>
      <c r="MGC97" s="44"/>
      <c r="MGD97" s="44"/>
      <c r="MGE97" s="44"/>
      <c r="MGF97" s="44"/>
      <c r="MGG97" s="44"/>
      <c r="MGH97" s="44"/>
      <c r="MGI97" s="44"/>
      <c r="MGJ97" s="44"/>
      <c r="MGK97" s="44"/>
      <c r="MGL97" s="44"/>
      <c r="MGM97" s="44"/>
      <c r="MGN97" s="44"/>
      <c r="MGO97" s="44"/>
      <c r="MGP97" s="44"/>
      <c r="MGQ97" s="44"/>
      <c r="MGR97" s="44"/>
      <c r="MGS97" s="44"/>
      <c r="MGT97" s="44"/>
      <c r="MGU97" s="44"/>
      <c r="MGV97" s="44"/>
      <c r="MGW97" s="44"/>
      <c r="MGX97" s="44"/>
      <c r="MGY97" s="44"/>
      <c r="MGZ97" s="44"/>
      <c r="MHA97" s="44"/>
      <c r="MHB97" s="44"/>
      <c r="MHC97" s="44"/>
      <c r="MHD97" s="44"/>
      <c r="MHE97" s="44"/>
      <c r="MHF97" s="44"/>
      <c r="MHG97" s="44"/>
      <c r="MHH97" s="44"/>
      <c r="MHI97" s="44"/>
      <c r="MHJ97" s="44"/>
      <c r="MHK97" s="44"/>
      <c r="MHL97" s="44"/>
      <c r="MHM97" s="44"/>
      <c r="MHN97" s="44"/>
      <c r="MHO97" s="44"/>
      <c r="MHP97" s="44"/>
      <c r="MHQ97" s="44"/>
      <c r="MHR97" s="44"/>
      <c r="MHS97" s="44"/>
      <c r="MHT97" s="44"/>
      <c r="MHU97" s="44"/>
      <c r="MHV97" s="44"/>
      <c r="MHW97" s="44"/>
      <c r="MHX97" s="44"/>
      <c r="MHY97" s="44"/>
      <c r="MHZ97" s="44"/>
      <c r="MIA97" s="44"/>
      <c r="MIB97" s="44"/>
      <c r="MIC97" s="44"/>
      <c r="MID97" s="44"/>
      <c r="MIE97" s="44"/>
      <c r="MIF97" s="44"/>
      <c r="MIG97" s="44"/>
      <c r="MIH97" s="44"/>
      <c r="MII97" s="44"/>
      <c r="MIJ97" s="44"/>
      <c r="MIK97" s="44"/>
      <c r="MIL97" s="44"/>
      <c r="MIM97" s="44"/>
      <c r="MIN97" s="44"/>
      <c r="MIO97" s="44"/>
      <c r="MIP97" s="44"/>
      <c r="MIQ97" s="44"/>
      <c r="MIR97" s="44"/>
      <c r="MIS97" s="44"/>
      <c r="MIT97" s="44"/>
      <c r="MIU97" s="44"/>
      <c r="MIV97" s="44"/>
      <c r="MIW97" s="44"/>
      <c r="MIX97" s="44"/>
      <c r="MIY97" s="44"/>
      <c r="MIZ97" s="44"/>
      <c r="MJA97" s="44"/>
      <c r="MJB97" s="44"/>
      <c r="MJC97" s="44"/>
      <c r="MJD97" s="44"/>
      <c r="MJE97" s="44"/>
      <c r="MJF97" s="44"/>
      <c r="MJG97" s="44"/>
      <c r="MJH97" s="44"/>
      <c r="MJI97" s="44"/>
      <c r="MJJ97" s="44"/>
      <c r="MJK97" s="44"/>
      <c r="MJL97" s="44"/>
      <c r="MJM97" s="44"/>
      <c r="MJN97" s="44"/>
      <c r="MJO97" s="44"/>
      <c r="MJP97" s="44"/>
      <c r="MJQ97" s="44"/>
      <c r="MJR97" s="44"/>
      <c r="MJS97" s="44"/>
      <c r="MJT97" s="44"/>
      <c r="MJU97" s="44"/>
      <c r="MJV97" s="44"/>
      <c r="MJW97" s="44"/>
      <c r="MJX97" s="44"/>
      <c r="MJY97" s="44"/>
      <c r="MJZ97" s="44"/>
      <c r="MKA97" s="44"/>
      <c r="MKB97" s="44"/>
      <c r="MKC97" s="44"/>
      <c r="MKD97" s="44"/>
      <c r="MKE97" s="44"/>
      <c r="MKF97" s="44"/>
      <c r="MKG97" s="44"/>
      <c r="MKH97" s="44"/>
      <c r="MKI97" s="44"/>
      <c r="MKJ97" s="44"/>
      <c r="MKK97" s="44"/>
      <c r="MKL97" s="44"/>
      <c r="MKM97" s="44"/>
      <c r="MKN97" s="44"/>
      <c r="MKO97" s="44"/>
      <c r="MKP97" s="44"/>
      <c r="MKQ97" s="44"/>
      <c r="MKR97" s="44"/>
      <c r="MKS97" s="44"/>
      <c r="MKT97" s="44"/>
      <c r="MKU97" s="44"/>
      <c r="MKV97" s="44"/>
      <c r="MKW97" s="44"/>
      <c r="MKX97" s="44"/>
      <c r="MKY97" s="44"/>
      <c r="MKZ97" s="44"/>
      <c r="MLA97" s="44"/>
      <c r="MLB97" s="44"/>
      <c r="MLC97" s="44"/>
      <c r="MLD97" s="44"/>
      <c r="MLE97" s="44"/>
      <c r="MLF97" s="44"/>
      <c r="MLG97" s="44"/>
      <c r="MLH97" s="44"/>
      <c r="MLI97" s="44"/>
      <c r="MLJ97" s="44"/>
      <c r="MLK97" s="44"/>
      <c r="MLL97" s="44"/>
      <c r="MLM97" s="44"/>
      <c r="MLN97" s="44"/>
      <c r="MLO97" s="44"/>
      <c r="MLP97" s="44"/>
      <c r="MLQ97" s="44"/>
      <c r="MLR97" s="44"/>
      <c r="MLS97" s="44"/>
      <c r="MLT97" s="44"/>
      <c r="MLU97" s="44"/>
      <c r="MLV97" s="44"/>
      <c r="MLW97" s="44"/>
      <c r="MLX97" s="44"/>
      <c r="MLY97" s="44"/>
      <c r="MLZ97" s="44"/>
      <c r="MMA97" s="44"/>
      <c r="MMB97" s="44"/>
      <c r="MMC97" s="44"/>
      <c r="MMD97" s="44"/>
      <c r="MME97" s="44"/>
      <c r="MMF97" s="44"/>
      <c r="MMG97" s="44"/>
      <c r="MMH97" s="44"/>
      <c r="MMI97" s="44"/>
      <c r="MMJ97" s="44"/>
      <c r="MMK97" s="44"/>
      <c r="MML97" s="44"/>
      <c r="MMM97" s="44"/>
      <c r="MMN97" s="44"/>
      <c r="MMO97" s="44"/>
      <c r="MMP97" s="44"/>
      <c r="MMQ97" s="44"/>
      <c r="MMR97" s="44"/>
      <c r="MMS97" s="44"/>
      <c r="MMT97" s="44"/>
      <c r="MMU97" s="44"/>
      <c r="MMV97" s="44"/>
      <c r="MMW97" s="44"/>
      <c r="MMX97" s="44"/>
      <c r="MMY97" s="44"/>
      <c r="MMZ97" s="44"/>
      <c r="MNA97" s="44"/>
      <c r="MNB97" s="44"/>
      <c r="MNC97" s="44"/>
      <c r="MND97" s="44"/>
      <c r="MNE97" s="44"/>
      <c r="MNF97" s="44"/>
      <c r="MNG97" s="44"/>
      <c r="MNH97" s="44"/>
      <c r="MNI97" s="44"/>
      <c r="MNJ97" s="44"/>
      <c r="MNK97" s="44"/>
      <c r="MNL97" s="44"/>
      <c r="MNM97" s="44"/>
      <c r="MNN97" s="44"/>
      <c r="MNO97" s="44"/>
      <c r="MNP97" s="44"/>
      <c r="MNQ97" s="44"/>
      <c r="MNR97" s="44"/>
      <c r="MNS97" s="44"/>
      <c r="MNT97" s="44"/>
      <c r="MNU97" s="44"/>
      <c r="MNV97" s="44"/>
      <c r="MNW97" s="44"/>
      <c r="MNX97" s="44"/>
      <c r="MNY97" s="44"/>
      <c r="MNZ97" s="44"/>
      <c r="MOA97" s="44"/>
      <c r="MOB97" s="44"/>
      <c r="MOC97" s="44"/>
      <c r="MOD97" s="44"/>
      <c r="MOE97" s="44"/>
      <c r="MOF97" s="44"/>
      <c r="MOG97" s="44"/>
      <c r="MOH97" s="44"/>
      <c r="MOI97" s="44"/>
      <c r="MOJ97" s="44"/>
      <c r="MOK97" s="44"/>
      <c r="MOL97" s="44"/>
      <c r="MOM97" s="44"/>
      <c r="MON97" s="44"/>
      <c r="MOO97" s="44"/>
      <c r="MOP97" s="44"/>
      <c r="MOQ97" s="44"/>
      <c r="MOR97" s="44"/>
      <c r="MOS97" s="44"/>
      <c r="MOT97" s="44"/>
      <c r="MOU97" s="44"/>
      <c r="MOV97" s="44"/>
      <c r="MOW97" s="44"/>
      <c r="MOX97" s="44"/>
      <c r="MOY97" s="44"/>
      <c r="MOZ97" s="44"/>
      <c r="MPA97" s="44"/>
      <c r="MPB97" s="44"/>
      <c r="MPC97" s="44"/>
      <c r="MPD97" s="44"/>
      <c r="MPE97" s="44"/>
      <c r="MPF97" s="44"/>
      <c r="MPG97" s="44"/>
      <c r="MPH97" s="44"/>
      <c r="MPI97" s="44"/>
      <c r="MPJ97" s="44"/>
      <c r="MPK97" s="44"/>
      <c r="MPL97" s="44"/>
      <c r="MPM97" s="44"/>
      <c r="MPN97" s="44"/>
      <c r="MPO97" s="44"/>
      <c r="MPP97" s="44"/>
      <c r="MPQ97" s="44"/>
      <c r="MPR97" s="44"/>
      <c r="MPS97" s="44"/>
      <c r="MPT97" s="44"/>
      <c r="MPU97" s="44"/>
      <c r="MPV97" s="44"/>
      <c r="MPW97" s="44"/>
      <c r="MPX97" s="44"/>
      <c r="MPY97" s="44"/>
      <c r="MPZ97" s="44"/>
      <c r="MQA97" s="44"/>
      <c r="MQB97" s="44"/>
      <c r="MQC97" s="44"/>
      <c r="MQD97" s="44"/>
      <c r="MQE97" s="44"/>
      <c r="MQF97" s="44"/>
      <c r="MQG97" s="44"/>
      <c r="MQH97" s="44"/>
      <c r="MQI97" s="44"/>
      <c r="MQJ97" s="44"/>
      <c r="MQK97" s="44"/>
      <c r="MQL97" s="44"/>
      <c r="MQM97" s="44"/>
      <c r="MQN97" s="44"/>
      <c r="MQO97" s="44"/>
      <c r="MQP97" s="44"/>
      <c r="MQQ97" s="44"/>
      <c r="MQR97" s="44"/>
      <c r="MQS97" s="44"/>
      <c r="MQT97" s="44"/>
      <c r="MQU97" s="44"/>
      <c r="MQV97" s="44"/>
      <c r="MQW97" s="44"/>
      <c r="MQX97" s="44"/>
      <c r="MQY97" s="44"/>
      <c r="MQZ97" s="44"/>
      <c r="MRA97" s="44"/>
      <c r="MRB97" s="44"/>
      <c r="MRC97" s="44"/>
      <c r="MRD97" s="44"/>
      <c r="MRE97" s="44"/>
      <c r="MRF97" s="44"/>
      <c r="MRG97" s="44"/>
      <c r="MRH97" s="44"/>
      <c r="MRI97" s="44"/>
      <c r="MRJ97" s="44"/>
      <c r="MRK97" s="44"/>
      <c r="MRL97" s="44"/>
      <c r="MRM97" s="44"/>
      <c r="MRN97" s="44"/>
      <c r="MRO97" s="44"/>
      <c r="MRP97" s="44"/>
      <c r="MRQ97" s="44"/>
      <c r="MRR97" s="44"/>
      <c r="MRS97" s="44"/>
      <c r="MRT97" s="44"/>
      <c r="MRU97" s="44"/>
      <c r="MRV97" s="44"/>
      <c r="MRW97" s="44"/>
      <c r="MRX97" s="44"/>
      <c r="MRY97" s="44"/>
      <c r="MRZ97" s="44"/>
      <c r="MSA97" s="44"/>
      <c r="MSB97" s="44"/>
      <c r="MSC97" s="44"/>
      <c r="MSD97" s="44"/>
      <c r="MSE97" s="44"/>
      <c r="MSF97" s="44"/>
      <c r="MSG97" s="44"/>
      <c r="MSH97" s="44"/>
      <c r="MSI97" s="44"/>
      <c r="MSJ97" s="44"/>
      <c r="MSK97" s="44"/>
      <c r="MSL97" s="44"/>
      <c r="MSM97" s="44"/>
      <c r="MSN97" s="44"/>
      <c r="MSO97" s="44"/>
      <c r="MSP97" s="44"/>
      <c r="MSQ97" s="44"/>
      <c r="MSR97" s="44"/>
      <c r="MSS97" s="44"/>
      <c r="MST97" s="44"/>
      <c r="MSU97" s="44"/>
      <c r="MSV97" s="44"/>
      <c r="MSW97" s="44"/>
      <c r="MSX97" s="44"/>
      <c r="MSY97" s="44"/>
      <c r="MSZ97" s="44"/>
      <c r="MTA97" s="44"/>
      <c r="MTB97" s="44"/>
      <c r="MTC97" s="44"/>
      <c r="MTD97" s="44"/>
      <c r="MTE97" s="44"/>
      <c r="MTF97" s="44"/>
      <c r="MTG97" s="44"/>
      <c r="MTH97" s="44"/>
      <c r="MTI97" s="44"/>
      <c r="MTJ97" s="44"/>
      <c r="MTK97" s="44"/>
      <c r="MTL97" s="44"/>
      <c r="MTM97" s="44"/>
      <c r="MTN97" s="44"/>
      <c r="MTO97" s="44"/>
      <c r="MTP97" s="44"/>
      <c r="MTQ97" s="44"/>
      <c r="MTR97" s="44"/>
      <c r="MTS97" s="44"/>
      <c r="MTT97" s="44"/>
      <c r="MTU97" s="44"/>
      <c r="MTV97" s="44"/>
      <c r="MTW97" s="44"/>
      <c r="MTX97" s="44"/>
      <c r="MTY97" s="44"/>
      <c r="MTZ97" s="44"/>
      <c r="MUA97" s="44"/>
      <c r="MUB97" s="44"/>
      <c r="MUC97" s="44"/>
      <c r="MUD97" s="44"/>
      <c r="MUE97" s="44"/>
      <c r="MUF97" s="44"/>
      <c r="MUG97" s="44"/>
      <c r="MUH97" s="44"/>
      <c r="MUI97" s="44"/>
      <c r="MUJ97" s="44"/>
      <c r="MUK97" s="44"/>
      <c r="MUL97" s="44"/>
      <c r="MUM97" s="44"/>
      <c r="MUN97" s="44"/>
      <c r="MUO97" s="44"/>
      <c r="MUP97" s="44"/>
      <c r="MUQ97" s="44"/>
      <c r="MUR97" s="44"/>
      <c r="MUS97" s="44"/>
      <c r="MUT97" s="44"/>
      <c r="MUU97" s="44"/>
      <c r="MUV97" s="44"/>
      <c r="MUW97" s="44"/>
      <c r="MUX97" s="44"/>
      <c r="MUY97" s="44"/>
      <c r="MUZ97" s="44"/>
      <c r="MVA97" s="44"/>
      <c r="MVB97" s="44"/>
      <c r="MVC97" s="44"/>
      <c r="MVD97" s="44"/>
      <c r="MVE97" s="44"/>
      <c r="MVF97" s="44"/>
      <c r="MVG97" s="44"/>
      <c r="MVH97" s="44"/>
      <c r="MVI97" s="44"/>
      <c r="MVJ97" s="44"/>
      <c r="MVK97" s="44"/>
      <c r="MVL97" s="44"/>
      <c r="MVM97" s="44"/>
      <c r="MVN97" s="44"/>
      <c r="MVO97" s="44"/>
      <c r="MVP97" s="44"/>
      <c r="MVQ97" s="44"/>
      <c r="MVR97" s="44"/>
      <c r="MVS97" s="44"/>
      <c r="MVT97" s="44"/>
      <c r="MVU97" s="44"/>
      <c r="MVV97" s="44"/>
      <c r="MVW97" s="44"/>
      <c r="MVX97" s="44"/>
      <c r="MVY97" s="44"/>
      <c r="MVZ97" s="44"/>
      <c r="MWA97" s="44"/>
      <c r="MWB97" s="44"/>
      <c r="MWC97" s="44"/>
      <c r="MWD97" s="44"/>
      <c r="MWE97" s="44"/>
      <c r="MWF97" s="44"/>
      <c r="MWG97" s="44"/>
      <c r="MWH97" s="44"/>
      <c r="MWI97" s="44"/>
      <c r="MWJ97" s="44"/>
      <c r="MWK97" s="44"/>
      <c r="MWL97" s="44"/>
      <c r="MWM97" s="44"/>
      <c r="MWN97" s="44"/>
      <c r="MWO97" s="44"/>
      <c r="MWP97" s="44"/>
      <c r="MWQ97" s="44"/>
      <c r="MWR97" s="44"/>
      <c r="MWS97" s="44"/>
      <c r="MWT97" s="44"/>
      <c r="MWU97" s="44"/>
      <c r="MWV97" s="44"/>
      <c r="MWW97" s="44"/>
      <c r="MWX97" s="44"/>
      <c r="MWY97" s="44"/>
      <c r="MWZ97" s="44"/>
      <c r="MXA97" s="44"/>
      <c r="MXB97" s="44"/>
      <c r="MXC97" s="44"/>
      <c r="MXD97" s="44"/>
      <c r="MXE97" s="44"/>
      <c r="MXF97" s="44"/>
      <c r="MXG97" s="44"/>
      <c r="MXH97" s="44"/>
      <c r="MXI97" s="44"/>
      <c r="MXJ97" s="44"/>
      <c r="MXK97" s="44"/>
      <c r="MXL97" s="44"/>
      <c r="MXM97" s="44"/>
      <c r="MXN97" s="44"/>
      <c r="MXO97" s="44"/>
      <c r="MXP97" s="44"/>
      <c r="MXQ97" s="44"/>
      <c r="MXR97" s="44"/>
      <c r="MXS97" s="44"/>
      <c r="MXT97" s="44"/>
      <c r="MXU97" s="44"/>
      <c r="MXV97" s="44"/>
      <c r="MXW97" s="44"/>
      <c r="MXX97" s="44"/>
      <c r="MXY97" s="44"/>
      <c r="MXZ97" s="44"/>
      <c r="MYA97" s="44"/>
      <c r="MYB97" s="44"/>
      <c r="MYC97" s="44"/>
      <c r="MYD97" s="44"/>
      <c r="MYE97" s="44"/>
      <c r="MYF97" s="44"/>
      <c r="MYG97" s="44"/>
      <c r="MYH97" s="44"/>
      <c r="MYI97" s="44"/>
      <c r="MYJ97" s="44"/>
      <c r="MYK97" s="44"/>
      <c r="MYL97" s="44"/>
      <c r="MYM97" s="44"/>
      <c r="MYN97" s="44"/>
      <c r="MYO97" s="44"/>
      <c r="MYP97" s="44"/>
      <c r="MYQ97" s="44"/>
      <c r="MYR97" s="44"/>
      <c r="MYS97" s="44"/>
      <c r="MYT97" s="44"/>
      <c r="MYU97" s="44"/>
      <c r="MYV97" s="44"/>
      <c r="MYW97" s="44"/>
      <c r="MYX97" s="44"/>
      <c r="MYY97" s="44"/>
      <c r="MYZ97" s="44"/>
      <c r="MZA97" s="44"/>
      <c r="MZB97" s="44"/>
      <c r="MZC97" s="44"/>
      <c r="MZD97" s="44"/>
      <c r="MZE97" s="44"/>
      <c r="MZF97" s="44"/>
      <c r="MZG97" s="44"/>
      <c r="MZH97" s="44"/>
      <c r="MZI97" s="44"/>
      <c r="MZJ97" s="44"/>
      <c r="MZK97" s="44"/>
      <c r="MZL97" s="44"/>
      <c r="MZM97" s="44"/>
      <c r="MZN97" s="44"/>
      <c r="MZO97" s="44"/>
      <c r="MZP97" s="44"/>
      <c r="MZQ97" s="44"/>
      <c r="MZR97" s="44"/>
      <c r="MZS97" s="44"/>
      <c r="MZT97" s="44"/>
      <c r="MZU97" s="44"/>
      <c r="MZV97" s="44"/>
      <c r="MZW97" s="44"/>
      <c r="MZX97" s="44"/>
      <c r="MZY97" s="44"/>
      <c r="MZZ97" s="44"/>
      <c r="NAA97" s="44"/>
      <c r="NAB97" s="44"/>
      <c r="NAC97" s="44"/>
      <c r="NAD97" s="44"/>
      <c r="NAE97" s="44"/>
      <c r="NAF97" s="44"/>
      <c r="NAG97" s="44"/>
      <c r="NAH97" s="44"/>
      <c r="NAI97" s="44"/>
      <c r="NAJ97" s="44"/>
      <c r="NAK97" s="44"/>
      <c r="NAL97" s="44"/>
      <c r="NAM97" s="44"/>
      <c r="NAN97" s="44"/>
      <c r="NAO97" s="44"/>
      <c r="NAP97" s="44"/>
      <c r="NAQ97" s="44"/>
      <c r="NAR97" s="44"/>
      <c r="NAS97" s="44"/>
      <c r="NAT97" s="44"/>
      <c r="NAU97" s="44"/>
      <c r="NAV97" s="44"/>
      <c r="NAW97" s="44"/>
      <c r="NAX97" s="44"/>
      <c r="NAY97" s="44"/>
      <c r="NAZ97" s="44"/>
      <c r="NBA97" s="44"/>
      <c r="NBB97" s="44"/>
      <c r="NBC97" s="44"/>
      <c r="NBD97" s="44"/>
      <c r="NBE97" s="44"/>
      <c r="NBF97" s="44"/>
      <c r="NBG97" s="44"/>
      <c r="NBH97" s="44"/>
      <c r="NBI97" s="44"/>
      <c r="NBJ97" s="44"/>
      <c r="NBK97" s="44"/>
      <c r="NBL97" s="44"/>
      <c r="NBM97" s="44"/>
      <c r="NBN97" s="44"/>
      <c r="NBO97" s="44"/>
      <c r="NBP97" s="44"/>
      <c r="NBQ97" s="44"/>
      <c r="NBR97" s="44"/>
      <c r="NBS97" s="44"/>
      <c r="NBT97" s="44"/>
      <c r="NBU97" s="44"/>
      <c r="NBV97" s="44"/>
      <c r="NBW97" s="44"/>
      <c r="NBX97" s="44"/>
      <c r="NBY97" s="44"/>
      <c r="NBZ97" s="44"/>
      <c r="NCA97" s="44"/>
      <c r="NCB97" s="44"/>
      <c r="NCC97" s="44"/>
      <c r="NCD97" s="44"/>
      <c r="NCE97" s="44"/>
      <c r="NCF97" s="44"/>
      <c r="NCG97" s="44"/>
      <c r="NCH97" s="44"/>
      <c r="NCI97" s="44"/>
      <c r="NCJ97" s="44"/>
      <c r="NCK97" s="44"/>
      <c r="NCL97" s="44"/>
      <c r="NCM97" s="44"/>
      <c r="NCN97" s="44"/>
      <c r="NCO97" s="44"/>
      <c r="NCP97" s="44"/>
      <c r="NCQ97" s="44"/>
      <c r="NCR97" s="44"/>
      <c r="NCS97" s="44"/>
      <c r="NCT97" s="44"/>
      <c r="NCU97" s="44"/>
      <c r="NCV97" s="44"/>
      <c r="NCW97" s="44"/>
      <c r="NCX97" s="44"/>
      <c r="NCY97" s="44"/>
      <c r="NCZ97" s="44"/>
      <c r="NDA97" s="44"/>
      <c r="NDB97" s="44"/>
      <c r="NDC97" s="44"/>
      <c r="NDD97" s="44"/>
      <c r="NDE97" s="44"/>
      <c r="NDF97" s="44"/>
      <c r="NDG97" s="44"/>
      <c r="NDH97" s="44"/>
      <c r="NDI97" s="44"/>
      <c r="NDJ97" s="44"/>
      <c r="NDK97" s="44"/>
      <c r="NDL97" s="44"/>
      <c r="NDM97" s="44"/>
      <c r="NDN97" s="44"/>
      <c r="NDO97" s="44"/>
      <c r="NDP97" s="44"/>
      <c r="NDQ97" s="44"/>
      <c r="NDR97" s="44"/>
      <c r="NDS97" s="44"/>
      <c r="NDT97" s="44"/>
      <c r="NDU97" s="44"/>
      <c r="NDV97" s="44"/>
      <c r="NDW97" s="44"/>
      <c r="NDX97" s="44"/>
      <c r="NDY97" s="44"/>
      <c r="NDZ97" s="44"/>
      <c r="NEA97" s="44"/>
      <c r="NEB97" s="44"/>
      <c r="NEC97" s="44"/>
      <c r="NED97" s="44"/>
      <c r="NEE97" s="44"/>
      <c r="NEF97" s="44"/>
      <c r="NEG97" s="44"/>
      <c r="NEH97" s="44"/>
      <c r="NEI97" s="44"/>
      <c r="NEJ97" s="44"/>
      <c r="NEK97" s="44"/>
      <c r="NEL97" s="44"/>
      <c r="NEM97" s="44"/>
      <c r="NEN97" s="44"/>
      <c r="NEO97" s="44"/>
      <c r="NEP97" s="44"/>
      <c r="NEQ97" s="44"/>
      <c r="NER97" s="44"/>
      <c r="NES97" s="44"/>
      <c r="NET97" s="44"/>
      <c r="NEU97" s="44"/>
      <c r="NEV97" s="44"/>
      <c r="NEW97" s="44"/>
      <c r="NEX97" s="44"/>
      <c r="NEY97" s="44"/>
      <c r="NEZ97" s="44"/>
      <c r="NFA97" s="44"/>
      <c r="NFB97" s="44"/>
      <c r="NFC97" s="44"/>
      <c r="NFD97" s="44"/>
      <c r="NFE97" s="44"/>
      <c r="NFF97" s="44"/>
      <c r="NFG97" s="44"/>
      <c r="NFH97" s="44"/>
      <c r="NFI97" s="44"/>
      <c r="NFJ97" s="44"/>
      <c r="NFK97" s="44"/>
      <c r="NFL97" s="44"/>
      <c r="NFM97" s="44"/>
      <c r="NFN97" s="44"/>
      <c r="NFO97" s="44"/>
      <c r="NFP97" s="44"/>
      <c r="NFQ97" s="44"/>
      <c r="NFR97" s="44"/>
      <c r="NFS97" s="44"/>
      <c r="NFT97" s="44"/>
      <c r="NFU97" s="44"/>
      <c r="NFV97" s="44"/>
      <c r="NFW97" s="44"/>
      <c r="NFX97" s="44"/>
      <c r="NFY97" s="44"/>
      <c r="NFZ97" s="44"/>
      <c r="NGA97" s="44"/>
      <c r="NGB97" s="44"/>
      <c r="NGC97" s="44"/>
      <c r="NGD97" s="44"/>
      <c r="NGE97" s="44"/>
      <c r="NGF97" s="44"/>
      <c r="NGG97" s="44"/>
      <c r="NGH97" s="44"/>
      <c r="NGI97" s="44"/>
      <c r="NGJ97" s="44"/>
      <c r="NGK97" s="44"/>
      <c r="NGL97" s="44"/>
      <c r="NGM97" s="44"/>
      <c r="NGN97" s="44"/>
      <c r="NGO97" s="44"/>
      <c r="NGP97" s="44"/>
      <c r="NGQ97" s="44"/>
      <c r="NGR97" s="44"/>
      <c r="NGS97" s="44"/>
      <c r="NGT97" s="44"/>
      <c r="NGU97" s="44"/>
      <c r="NGV97" s="44"/>
      <c r="NGW97" s="44"/>
      <c r="NGX97" s="44"/>
      <c r="NGY97" s="44"/>
      <c r="NGZ97" s="44"/>
      <c r="NHA97" s="44"/>
      <c r="NHB97" s="44"/>
      <c r="NHC97" s="44"/>
      <c r="NHD97" s="44"/>
      <c r="NHE97" s="44"/>
      <c r="NHF97" s="44"/>
      <c r="NHG97" s="44"/>
      <c r="NHH97" s="44"/>
      <c r="NHI97" s="44"/>
      <c r="NHJ97" s="44"/>
      <c r="NHK97" s="44"/>
      <c r="NHL97" s="44"/>
      <c r="NHM97" s="44"/>
      <c r="NHN97" s="44"/>
      <c r="NHO97" s="44"/>
      <c r="NHP97" s="44"/>
      <c r="NHQ97" s="44"/>
      <c r="NHR97" s="44"/>
      <c r="NHS97" s="44"/>
      <c r="NHT97" s="44"/>
      <c r="NHU97" s="44"/>
      <c r="NHV97" s="44"/>
      <c r="NHW97" s="44"/>
      <c r="NHX97" s="44"/>
      <c r="NHY97" s="44"/>
      <c r="NHZ97" s="44"/>
      <c r="NIA97" s="44"/>
      <c r="NIB97" s="44"/>
      <c r="NIC97" s="44"/>
      <c r="NID97" s="44"/>
      <c r="NIE97" s="44"/>
      <c r="NIF97" s="44"/>
      <c r="NIG97" s="44"/>
      <c r="NIH97" s="44"/>
      <c r="NII97" s="44"/>
      <c r="NIJ97" s="44"/>
      <c r="NIK97" s="44"/>
      <c r="NIL97" s="44"/>
      <c r="NIM97" s="44"/>
      <c r="NIN97" s="44"/>
      <c r="NIO97" s="44"/>
      <c r="NIP97" s="44"/>
      <c r="NIQ97" s="44"/>
      <c r="NIR97" s="44"/>
      <c r="NIS97" s="44"/>
      <c r="NIT97" s="44"/>
      <c r="NIU97" s="44"/>
      <c r="NIV97" s="44"/>
      <c r="NIW97" s="44"/>
      <c r="NIX97" s="44"/>
      <c r="NIY97" s="44"/>
      <c r="NIZ97" s="44"/>
      <c r="NJA97" s="44"/>
      <c r="NJB97" s="44"/>
      <c r="NJC97" s="44"/>
      <c r="NJD97" s="44"/>
      <c r="NJE97" s="44"/>
      <c r="NJF97" s="44"/>
      <c r="NJG97" s="44"/>
      <c r="NJH97" s="44"/>
      <c r="NJI97" s="44"/>
      <c r="NJJ97" s="44"/>
      <c r="NJK97" s="44"/>
      <c r="NJL97" s="44"/>
      <c r="NJM97" s="44"/>
      <c r="NJN97" s="44"/>
      <c r="NJO97" s="44"/>
      <c r="NJP97" s="44"/>
      <c r="NJQ97" s="44"/>
      <c r="NJR97" s="44"/>
      <c r="NJS97" s="44"/>
      <c r="NJT97" s="44"/>
      <c r="NJU97" s="44"/>
      <c r="NJV97" s="44"/>
      <c r="NJW97" s="44"/>
      <c r="NJX97" s="44"/>
      <c r="NJY97" s="44"/>
      <c r="NJZ97" s="44"/>
      <c r="NKA97" s="44"/>
      <c r="NKB97" s="44"/>
      <c r="NKC97" s="44"/>
      <c r="NKD97" s="44"/>
      <c r="NKE97" s="44"/>
      <c r="NKF97" s="44"/>
      <c r="NKG97" s="44"/>
      <c r="NKH97" s="44"/>
      <c r="NKI97" s="44"/>
      <c r="NKJ97" s="44"/>
      <c r="NKK97" s="44"/>
      <c r="NKL97" s="44"/>
      <c r="NKM97" s="44"/>
      <c r="NKN97" s="44"/>
      <c r="NKO97" s="44"/>
      <c r="NKP97" s="44"/>
      <c r="NKQ97" s="44"/>
      <c r="NKR97" s="44"/>
      <c r="NKS97" s="44"/>
      <c r="NKT97" s="44"/>
      <c r="NKU97" s="44"/>
      <c r="NKV97" s="44"/>
      <c r="NKW97" s="44"/>
      <c r="NKX97" s="44"/>
      <c r="NKY97" s="44"/>
      <c r="NKZ97" s="44"/>
      <c r="NLA97" s="44"/>
      <c r="NLB97" s="44"/>
      <c r="NLC97" s="44"/>
      <c r="NLD97" s="44"/>
      <c r="NLE97" s="44"/>
      <c r="NLF97" s="44"/>
      <c r="NLG97" s="44"/>
      <c r="NLH97" s="44"/>
      <c r="NLI97" s="44"/>
      <c r="NLJ97" s="44"/>
      <c r="NLK97" s="44"/>
      <c r="NLL97" s="44"/>
      <c r="NLM97" s="44"/>
      <c r="NLN97" s="44"/>
      <c r="NLO97" s="44"/>
      <c r="NLP97" s="44"/>
      <c r="NLQ97" s="44"/>
      <c r="NLR97" s="44"/>
      <c r="NLS97" s="44"/>
      <c r="NLT97" s="44"/>
      <c r="NLU97" s="44"/>
      <c r="NLV97" s="44"/>
      <c r="NLW97" s="44"/>
      <c r="NLX97" s="44"/>
      <c r="NLY97" s="44"/>
      <c r="NLZ97" s="44"/>
      <c r="NMA97" s="44"/>
      <c r="NMB97" s="44"/>
      <c r="NMC97" s="44"/>
      <c r="NMD97" s="44"/>
      <c r="NME97" s="44"/>
      <c r="NMF97" s="44"/>
      <c r="NMG97" s="44"/>
      <c r="NMH97" s="44"/>
      <c r="NMI97" s="44"/>
      <c r="NMJ97" s="44"/>
      <c r="NMK97" s="44"/>
      <c r="NML97" s="44"/>
      <c r="NMM97" s="44"/>
      <c r="NMN97" s="44"/>
      <c r="NMO97" s="44"/>
      <c r="NMP97" s="44"/>
      <c r="NMQ97" s="44"/>
      <c r="NMR97" s="44"/>
      <c r="NMS97" s="44"/>
      <c r="NMT97" s="44"/>
      <c r="NMU97" s="44"/>
      <c r="NMV97" s="44"/>
      <c r="NMW97" s="44"/>
      <c r="NMX97" s="44"/>
      <c r="NMY97" s="44"/>
      <c r="NMZ97" s="44"/>
      <c r="NNA97" s="44"/>
      <c r="NNB97" s="44"/>
      <c r="NNC97" s="44"/>
      <c r="NND97" s="44"/>
      <c r="NNE97" s="44"/>
      <c r="NNF97" s="44"/>
      <c r="NNG97" s="44"/>
      <c r="NNH97" s="44"/>
      <c r="NNI97" s="44"/>
      <c r="NNJ97" s="44"/>
      <c r="NNK97" s="44"/>
      <c r="NNL97" s="44"/>
      <c r="NNM97" s="44"/>
      <c r="NNN97" s="44"/>
      <c r="NNO97" s="44"/>
      <c r="NNP97" s="44"/>
      <c r="NNQ97" s="44"/>
      <c r="NNR97" s="44"/>
      <c r="NNS97" s="44"/>
      <c r="NNT97" s="44"/>
      <c r="NNU97" s="44"/>
      <c r="NNV97" s="44"/>
      <c r="NNW97" s="44"/>
      <c r="NNX97" s="44"/>
      <c r="NNY97" s="44"/>
      <c r="NNZ97" s="44"/>
      <c r="NOA97" s="44"/>
      <c r="NOB97" s="44"/>
      <c r="NOC97" s="44"/>
      <c r="NOD97" s="44"/>
      <c r="NOE97" s="44"/>
      <c r="NOF97" s="44"/>
      <c r="NOG97" s="44"/>
      <c r="NOH97" s="44"/>
      <c r="NOI97" s="44"/>
      <c r="NOJ97" s="44"/>
      <c r="NOK97" s="44"/>
      <c r="NOL97" s="44"/>
      <c r="NOM97" s="44"/>
      <c r="NON97" s="44"/>
      <c r="NOO97" s="44"/>
      <c r="NOP97" s="44"/>
      <c r="NOQ97" s="44"/>
      <c r="NOR97" s="44"/>
      <c r="NOS97" s="44"/>
      <c r="NOT97" s="44"/>
      <c r="NOU97" s="44"/>
      <c r="NOV97" s="44"/>
      <c r="NOW97" s="44"/>
      <c r="NOX97" s="44"/>
      <c r="NOY97" s="44"/>
      <c r="NOZ97" s="44"/>
      <c r="NPA97" s="44"/>
      <c r="NPB97" s="44"/>
      <c r="NPC97" s="44"/>
      <c r="NPD97" s="44"/>
      <c r="NPE97" s="44"/>
      <c r="NPF97" s="44"/>
      <c r="NPG97" s="44"/>
      <c r="NPH97" s="44"/>
      <c r="NPI97" s="44"/>
      <c r="NPJ97" s="44"/>
      <c r="NPK97" s="44"/>
      <c r="NPL97" s="44"/>
      <c r="NPM97" s="44"/>
      <c r="NPN97" s="44"/>
      <c r="NPO97" s="44"/>
      <c r="NPP97" s="44"/>
      <c r="NPQ97" s="44"/>
      <c r="NPR97" s="44"/>
      <c r="NPS97" s="44"/>
      <c r="NPT97" s="44"/>
      <c r="NPU97" s="44"/>
      <c r="NPV97" s="44"/>
      <c r="NPW97" s="44"/>
      <c r="NPX97" s="44"/>
      <c r="NPY97" s="44"/>
      <c r="NPZ97" s="44"/>
      <c r="NQA97" s="44"/>
      <c r="NQB97" s="44"/>
      <c r="NQC97" s="44"/>
      <c r="NQD97" s="44"/>
      <c r="NQE97" s="44"/>
      <c r="NQF97" s="44"/>
      <c r="NQG97" s="44"/>
      <c r="NQH97" s="44"/>
      <c r="NQI97" s="44"/>
      <c r="NQJ97" s="44"/>
      <c r="NQK97" s="44"/>
      <c r="NQL97" s="44"/>
      <c r="NQM97" s="44"/>
      <c r="NQN97" s="44"/>
      <c r="NQO97" s="44"/>
      <c r="NQP97" s="44"/>
      <c r="NQQ97" s="44"/>
      <c r="NQR97" s="44"/>
      <c r="NQS97" s="44"/>
      <c r="NQT97" s="44"/>
      <c r="NQU97" s="44"/>
      <c r="NQV97" s="44"/>
      <c r="NQW97" s="44"/>
      <c r="NQX97" s="44"/>
      <c r="NQY97" s="44"/>
      <c r="NQZ97" s="44"/>
      <c r="NRA97" s="44"/>
      <c r="NRB97" s="44"/>
      <c r="NRC97" s="44"/>
      <c r="NRD97" s="44"/>
      <c r="NRE97" s="44"/>
      <c r="NRF97" s="44"/>
      <c r="NRG97" s="44"/>
      <c r="NRH97" s="44"/>
      <c r="NRI97" s="44"/>
      <c r="NRJ97" s="44"/>
      <c r="NRK97" s="44"/>
      <c r="NRL97" s="44"/>
      <c r="NRM97" s="44"/>
      <c r="NRN97" s="44"/>
      <c r="NRO97" s="44"/>
      <c r="NRP97" s="44"/>
      <c r="NRQ97" s="44"/>
      <c r="NRR97" s="44"/>
      <c r="NRS97" s="44"/>
      <c r="NRT97" s="44"/>
      <c r="NRU97" s="44"/>
      <c r="NRV97" s="44"/>
      <c r="NRW97" s="44"/>
      <c r="NRX97" s="44"/>
      <c r="NRY97" s="44"/>
      <c r="NRZ97" s="44"/>
      <c r="NSA97" s="44"/>
      <c r="NSB97" s="44"/>
      <c r="NSC97" s="44"/>
      <c r="NSD97" s="44"/>
      <c r="NSE97" s="44"/>
      <c r="NSF97" s="44"/>
      <c r="NSG97" s="44"/>
      <c r="NSH97" s="44"/>
      <c r="NSI97" s="44"/>
      <c r="NSJ97" s="44"/>
      <c r="NSK97" s="44"/>
      <c r="NSL97" s="44"/>
      <c r="NSM97" s="44"/>
      <c r="NSN97" s="44"/>
      <c r="NSO97" s="44"/>
      <c r="NSP97" s="44"/>
      <c r="NSQ97" s="44"/>
      <c r="NSR97" s="44"/>
      <c r="NSS97" s="44"/>
      <c r="NST97" s="44"/>
      <c r="NSU97" s="44"/>
      <c r="NSV97" s="44"/>
      <c r="NSW97" s="44"/>
      <c r="NSX97" s="44"/>
      <c r="NSY97" s="44"/>
      <c r="NSZ97" s="44"/>
      <c r="NTA97" s="44"/>
      <c r="NTB97" s="44"/>
      <c r="NTC97" s="44"/>
      <c r="NTD97" s="44"/>
      <c r="NTE97" s="44"/>
      <c r="NTF97" s="44"/>
      <c r="NTG97" s="44"/>
      <c r="NTH97" s="44"/>
      <c r="NTI97" s="44"/>
      <c r="NTJ97" s="44"/>
      <c r="NTK97" s="44"/>
      <c r="NTL97" s="44"/>
      <c r="NTM97" s="44"/>
      <c r="NTN97" s="44"/>
      <c r="NTO97" s="44"/>
      <c r="NTP97" s="44"/>
      <c r="NTQ97" s="44"/>
      <c r="NTR97" s="44"/>
      <c r="NTS97" s="44"/>
      <c r="NTT97" s="44"/>
      <c r="NTU97" s="44"/>
      <c r="NTV97" s="44"/>
      <c r="NTW97" s="44"/>
      <c r="NTX97" s="44"/>
      <c r="NTY97" s="44"/>
      <c r="NTZ97" s="44"/>
      <c r="NUA97" s="44"/>
      <c r="NUB97" s="44"/>
      <c r="NUC97" s="44"/>
      <c r="NUD97" s="44"/>
      <c r="NUE97" s="44"/>
      <c r="NUF97" s="44"/>
      <c r="NUG97" s="44"/>
      <c r="NUH97" s="44"/>
      <c r="NUI97" s="44"/>
      <c r="NUJ97" s="44"/>
      <c r="NUK97" s="44"/>
      <c r="NUL97" s="44"/>
      <c r="NUM97" s="44"/>
      <c r="NUN97" s="44"/>
      <c r="NUO97" s="44"/>
      <c r="NUP97" s="44"/>
      <c r="NUQ97" s="44"/>
      <c r="NUR97" s="44"/>
      <c r="NUS97" s="44"/>
      <c r="NUT97" s="44"/>
      <c r="NUU97" s="44"/>
      <c r="NUV97" s="44"/>
      <c r="NUW97" s="44"/>
      <c r="NUX97" s="44"/>
      <c r="NUY97" s="44"/>
      <c r="NUZ97" s="44"/>
      <c r="NVA97" s="44"/>
      <c r="NVB97" s="44"/>
      <c r="NVC97" s="44"/>
      <c r="NVD97" s="44"/>
      <c r="NVE97" s="44"/>
      <c r="NVF97" s="44"/>
      <c r="NVG97" s="44"/>
      <c r="NVH97" s="44"/>
      <c r="NVI97" s="44"/>
      <c r="NVJ97" s="44"/>
      <c r="NVK97" s="44"/>
      <c r="NVL97" s="44"/>
      <c r="NVM97" s="44"/>
      <c r="NVN97" s="44"/>
      <c r="NVO97" s="44"/>
      <c r="NVP97" s="44"/>
      <c r="NVQ97" s="44"/>
      <c r="NVR97" s="44"/>
      <c r="NVS97" s="44"/>
      <c r="NVT97" s="44"/>
      <c r="NVU97" s="44"/>
      <c r="NVV97" s="44"/>
      <c r="NVW97" s="44"/>
      <c r="NVX97" s="44"/>
      <c r="NVY97" s="44"/>
      <c r="NVZ97" s="44"/>
      <c r="NWA97" s="44"/>
      <c r="NWB97" s="44"/>
      <c r="NWC97" s="44"/>
      <c r="NWD97" s="44"/>
      <c r="NWE97" s="44"/>
      <c r="NWF97" s="44"/>
      <c r="NWG97" s="44"/>
      <c r="NWH97" s="44"/>
      <c r="NWI97" s="44"/>
      <c r="NWJ97" s="44"/>
      <c r="NWK97" s="44"/>
      <c r="NWL97" s="44"/>
      <c r="NWM97" s="44"/>
      <c r="NWN97" s="44"/>
      <c r="NWO97" s="44"/>
      <c r="NWP97" s="44"/>
      <c r="NWQ97" s="44"/>
      <c r="NWR97" s="44"/>
      <c r="NWS97" s="44"/>
      <c r="NWT97" s="44"/>
      <c r="NWU97" s="44"/>
      <c r="NWV97" s="44"/>
      <c r="NWW97" s="44"/>
      <c r="NWX97" s="44"/>
      <c r="NWY97" s="44"/>
      <c r="NWZ97" s="44"/>
      <c r="NXA97" s="44"/>
      <c r="NXB97" s="44"/>
      <c r="NXC97" s="44"/>
      <c r="NXD97" s="44"/>
      <c r="NXE97" s="44"/>
      <c r="NXF97" s="44"/>
      <c r="NXG97" s="44"/>
      <c r="NXH97" s="44"/>
      <c r="NXI97" s="44"/>
      <c r="NXJ97" s="44"/>
      <c r="NXK97" s="44"/>
      <c r="NXL97" s="44"/>
      <c r="NXM97" s="44"/>
      <c r="NXN97" s="44"/>
      <c r="NXO97" s="44"/>
      <c r="NXP97" s="44"/>
      <c r="NXQ97" s="44"/>
      <c r="NXR97" s="44"/>
      <c r="NXS97" s="44"/>
      <c r="NXT97" s="44"/>
      <c r="NXU97" s="44"/>
      <c r="NXV97" s="44"/>
      <c r="NXW97" s="44"/>
      <c r="NXX97" s="44"/>
      <c r="NXY97" s="44"/>
      <c r="NXZ97" s="44"/>
      <c r="NYA97" s="44"/>
      <c r="NYB97" s="44"/>
      <c r="NYC97" s="44"/>
      <c r="NYD97" s="44"/>
      <c r="NYE97" s="44"/>
      <c r="NYF97" s="44"/>
      <c r="NYG97" s="44"/>
      <c r="NYH97" s="44"/>
      <c r="NYI97" s="44"/>
      <c r="NYJ97" s="44"/>
      <c r="NYK97" s="44"/>
      <c r="NYL97" s="44"/>
      <c r="NYM97" s="44"/>
      <c r="NYN97" s="44"/>
      <c r="NYO97" s="44"/>
      <c r="NYP97" s="44"/>
      <c r="NYQ97" s="44"/>
      <c r="NYR97" s="44"/>
      <c r="NYS97" s="44"/>
      <c r="NYT97" s="44"/>
      <c r="NYU97" s="44"/>
      <c r="NYV97" s="44"/>
      <c r="NYW97" s="44"/>
      <c r="NYX97" s="44"/>
      <c r="NYY97" s="44"/>
      <c r="NYZ97" s="44"/>
      <c r="NZA97" s="44"/>
      <c r="NZB97" s="44"/>
      <c r="NZC97" s="44"/>
      <c r="NZD97" s="44"/>
      <c r="NZE97" s="44"/>
      <c r="NZF97" s="44"/>
      <c r="NZG97" s="44"/>
      <c r="NZH97" s="44"/>
      <c r="NZI97" s="44"/>
      <c r="NZJ97" s="44"/>
      <c r="NZK97" s="44"/>
      <c r="NZL97" s="44"/>
      <c r="NZM97" s="44"/>
      <c r="NZN97" s="44"/>
      <c r="NZO97" s="44"/>
      <c r="NZP97" s="44"/>
      <c r="NZQ97" s="44"/>
      <c r="NZR97" s="44"/>
      <c r="NZS97" s="44"/>
      <c r="NZT97" s="44"/>
      <c r="NZU97" s="44"/>
      <c r="NZV97" s="44"/>
      <c r="NZW97" s="44"/>
      <c r="NZX97" s="44"/>
      <c r="NZY97" s="44"/>
      <c r="NZZ97" s="44"/>
      <c r="OAA97" s="44"/>
      <c r="OAB97" s="44"/>
      <c r="OAC97" s="44"/>
      <c r="OAD97" s="44"/>
      <c r="OAE97" s="44"/>
      <c r="OAF97" s="44"/>
      <c r="OAG97" s="44"/>
      <c r="OAH97" s="44"/>
      <c r="OAI97" s="44"/>
      <c r="OAJ97" s="44"/>
      <c r="OAK97" s="44"/>
      <c r="OAL97" s="44"/>
      <c r="OAM97" s="44"/>
      <c r="OAN97" s="44"/>
      <c r="OAO97" s="44"/>
      <c r="OAP97" s="44"/>
      <c r="OAQ97" s="44"/>
      <c r="OAR97" s="44"/>
      <c r="OAS97" s="44"/>
      <c r="OAT97" s="44"/>
      <c r="OAU97" s="44"/>
      <c r="OAV97" s="44"/>
      <c r="OAW97" s="44"/>
      <c r="OAX97" s="44"/>
      <c r="OAY97" s="44"/>
      <c r="OAZ97" s="44"/>
      <c r="OBA97" s="44"/>
      <c r="OBB97" s="44"/>
      <c r="OBC97" s="44"/>
      <c r="OBD97" s="44"/>
      <c r="OBE97" s="44"/>
      <c r="OBF97" s="44"/>
      <c r="OBG97" s="44"/>
      <c r="OBH97" s="44"/>
      <c r="OBI97" s="44"/>
      <c r="OBJ97" s="44"/>
      <c r="OBK97" s="44"/>
      <c r="OBL97" s="44"/>
      <c r="OBM97" s="44"/>
      <c r="OBN97" s="44"/>
      <c r="OBO97" s="44"/>
      <c r="OBP97" s="44"/>
      <c r="OBQ97" s="44"/>
      <c r="OBR97" s="44"/>
      <c r="OBS97" s="44"/>
      <c r="OBT97" s="44"/>
      <c r="OBU97" s="44"/>
      <c r="OBV97" s="44"/>
      <c r="OBW97" s="44"/>
      <c r="OBX97" s="44"/>
      <c r="OBY97" s="44"/>
      <c r="OBZ97" s="44"/>
      <c r="OCA97" s="44"/>
      <c r="OCB97" s="44"/>
      <c r="OCC97" s="44"/>
      <c r="OCD97" s="44"/>
      <c r="OCE97" s="44"/>
      <c r="OCF97" s="44"/>
      <c r="OCG97" s="44"/>
      <c r="OCH97" s="44"/>
      <c r="OCI97" s="44"/>
      <c r="OCJ97" s="44"/>
      <c r="OCK97" s="44"/>
      <c r="OCL97" s="44"/>
      <c r="OCM97" s="44"/>
      <c r="OCN97" s="44"/>
      <c r="OCO97" s="44"/>
      <c r="OCP97" s="44"/>
      <c r="OCQ97" s="44"/>
      <c r="OCR97" s="44"/>
      <c r="OCS97" s="44"/>
      <c r="OCT97" s="44"/>
      <c r="OCU97" s="44"/>
      <c r="OCV97" s="44"/>
      <c r="OCW97" s="44"/>
      <c r="OCX97" s="44"/>
      <c r="OCY97" s="44"/>
      <c r="OCZ97" s="44"/>
      <c r="ODA97" s="44"/>
      <c r="ODB97" s="44"/>
      <c r="ODC97" s="44"/>
      <c r="ODD97" s="44"/>
      <c r="ODE97" s="44"/>
      <c r="ODF97" s="44"/>
      <c r="ODG97" s="44"/>
      <c r="ODH97" s="44"/>
      <c r="ODI97" s="44"/>
      <c r="ODJ97" s="44"/>
      <c r="ODK97" s="44"/>
      <c r="ODL97" s="44"/>
      <c r="ODM97" s="44"/>
      <c r="ODN97" s="44"/>
      <c r="ODO97" s="44"/>
      <c r="ODP97" s="44"/>
      <c r="ODQ97" s="44"/>
      <c r="ODR97" s="44"/>
      <c r="ODS97" s="44"/>
      <c r="ODT97" s="44"/>
      <c r="ODU97" s="44"/>
      <c r="ODV97" s="44"/>
      <c r="ODW97" s="44"/>
      <c r="ODX97" s="44"/>
      <c r="ODY97" s="44"/>
      <c r="ODZ97" s="44"/>
      <c r="OEA97" s="44"/>
      <c r="OEB97" s="44"/>
      <c r="OEC97" s="44"/>
      <c r="OED97" s="44"/>
      <c r="OEE97" s="44"/>
      <c r="OEF97" s="44"/>
      <c r="OEG97" s="44"/>
      <c r="OEH97" s="44"/>
      <c r="OEI97" s="44"/>
      <c r="OEJ97" s="44"/>
      <c r="OEK97" s="44"/>
      <c r="OEL97" s="44"/>
      <c r="OEM97" s="44"/>
      <c r="OEN97" s="44"/>
      <c r="OEO97" s="44"/>
      <c r="OEP97" s="44"/>
      <c r="OEQ97" s="44"/>
      <c r="OER97" s="44"/>
      <c r="OES97" s="44"/>
      <c r="OET97" s="44"/>
      <c r="OEU97" s="44"/>
      <c r="OEV97" s="44"/>
      <c r="OEW97" s="44"/>
      <c r="OEX97" s="44"/>
      <c r="OEY97" s="44"/>
      <c r="OEZ97" s="44"/>
      <c r="OFA97" s="44"/>
      <c r="OFB97" s="44"/>
      <c r="OFC97" s="44"/>
      <c r="OFD97" s="44"/>
      <c r="OFE97" s="44"/>
      <c r="OFF97" s="44"/>
      <c r="OFG97" s="44"/>
      <c r="OFH97" s="44"/>
      <c r="OFI97" s="44"/>
      <c r="OFJ97" s="44"/>
      <c r="OFK97" s="44"/>
      <c r="OFL97" s="44"/>
      <c r="OFM97" s="44"/>
      <c r="OFN97" s="44"/>
      <c r="OFO97" s="44"/>
      <c r="OFP97" s="44"/>
      <c r="OFQ97" s="44"/>
      <c r="OFR97" s="44"/>
      <c r="OFS97" s="44"/>
      <c r="OFT97" s="44"/>
      <c r="OFU97" s="44"/>
      <c r="OFV97" s="44"/>
      <c r="OFW97" s="44"/>
      <c r="OFX97" s="44"/>
      <c r="OFY97" s="44"/>
      <c r="OFZ97" s="44"/>
      <c r="OGA97" s="44"/>
      <c r="OGB97" s="44"/>
      <c r="OGC97" s="44"/>
      <c r="OGD97" s="44"/>
      <c r="OGE97" s="44"/>
      <c r="OGF97" s="44"/>
      <c r="OGG97" s="44"/>
      <c r="OGH97" s="44"/>
      <c r="OGI97" s="44"/>
      <c r="OGJ97" s="44"/>
      <c r="OGK97" s="44"/>
      <c r="OGL97" s="44"/>
      <c r="OGM97" s="44"/>
      <c r="OGN97" s="44"/>
      <c r="OGO97" s="44"/>
      <c r="OGP97" s="44"/>
      <c r="OGQ97" s="44"/>
      <c r="OGR97" s="44"/>
      <c r="OGS97" s="44"/>
      <c r="OGT97" s="44"/>
      <c r="OGU97" s="44"/>
      <c r="OGV97" s="44"/>
      <c r="OGW97" s="44"/>
      <c r="OGX97" s="44"/>
      <c r="OGY97" s="44"/>
      <c r="OGZ97" s="44"/>
      <c r="OHA97" s="44"/>
      <c r="OHB97" s="44"/>
      <c r="OHC97" s="44"/>
      <c r="OHD97" s="44"/>
      <c r="OHE97" s="44"/>
      <c r="OHF97" s="44"/>
      <c r="OHG97" s="44"/>
      <c r="OHH97" s="44"/>
      <c r="OHI97" s="44"/>
      <c r="OHJ97" s="44"/>
      <c r="OHK97" s="44"/>
      <c r="OHL97" s="44"/>
      <c r="OHM97" s="44"/>
      <c r="OHN97" s="44"/>
      <c r="OHO97" s="44"/>
      <c r="OHP97" s="44"/>
      <c r="OHQ97" s="44"/>
      <c r="OHR97" s="44"/>
      <c r="OHS97" s="44"/>
      <c r="OHT97" s="44"/>
      <c r="OHU97" s="44"/>
      <c r="OHV97" s="44"/>
      <c r="OHW97" s="44"/>
      <c r="OHX97" s="44"/>
      <c r="OHY97" s="44"/>
      <c r="OHZ97" s="44"/>
      <c r="OIA97" s="44"/>
      <c r="OIB97" s="44"/>
      <c r="OIC97" s="44"/>
      <c r="OID97" s="44"/>
      <c r="OIE97" s="44"/>
      <c r="OIF97" s="44"/>
      <c r="OIG97" s="44"/>
      <c r="OIH97" s="44"/>
      <c r="OII97" s="44"/>
      <c r="OIJ97" s="44"/>
      <c r="OIK97" s="44"/>
      <c r="OIL97" s="44"/>
      <c r="OIM97" s="44"/>
      <c r="OIN97" s="44"/>
      <c r="OIO97" s="44"/>
      <c r="OIP97" s="44"/>
      <c r="OIQ97" s="44"/>
      <c r="OIR97" s="44"/>
      <c r="OIS97" s="44"/>
      <c r="OIT97" s="44"/>
      <c r="OIU97" s="44"/>
      <c r="OIV97" s="44"/>
      <c r="OIW97" s="44"/>
      <c r="OIX97" s="44"/>
      <c r="OIY97" s="44"/>
      <c r="OIZ97" s="44"/>
      <c r="OJA97" s="44"/>
      <c r="OJB97" s="44"/>
      <c r="OJC97" s="44"/>
      <c r="OJD97" s="44"/>
      <c r="OJE97" s="44"/>
      <c r="OJF97" s="44"/>
      <c r="OJG97" s="44"/>
      <c r="OJH97" s="44"/>
      <c r="OJI97" s="44"/>
      <c r="OJJ97" s="44"/>
      <c r="OJK97" s="44"/>
      <c r="OJL97" s="44"/>
      <c r="OJM97" s="44"/>
      <c r="OJN97" s="44"/>
      <c r="OJO97" s="44"/>
      <c r="OJP97" s="44"/>
      <c r="OJQ97" s="44"/>
      <c r="OJR97" s="44"/>
      <c r="OJS97" s="44"/>
      <c r="OJT97" s="44"/>
      <c r="OJU97" s="44"/>
      <c r="OJV97" s="44"/>
      <c r="OJW97" s="44"/>
      <c r="OJX97" s="44"/>
      <c r="OJY97" s="44"/>
      <c r="OJZ97" s="44"/>
      <c r="OKA97" s="44"/>
      <c r="OKB97" s="44"/>
      <c r="OKC97" s="44"/>
      <c r="OKD97" s="44"/>
      <c r="OKE97" s="44"/>
      <c r="OKF97" s="44"/>
      <c r="OKG97" s="44"/>
      <c r="OKH97" s="44"/>
      <c r="OKI97" s="44"/>
      <c r="OKJ97" s="44"/>
      <c r="OKK97" s="44"/>
      <c r="OKL97" s="44"/>
      <c r="OKM97" s="44"/>
      <c r="OKN97" s="44"/>
      <c r="OKO97" s="44"/>
      <c r="OKP97" s="44"/>
      <c r="OKQ97" s="44"/>
      <c r="OKR97" s="44"/>
      <c r="OKS97" s="44"/>
      <c r="OKT97" s="44"/>
      <c r="OKU97" s="44"/>
      <c r="OKV97" s="44"/>
      <c r="OKW97" s="44"/>
      <c r="OKX97" s="44"/>
      <c r="OKY97" s="44"/>
      <c r="OKZ97" s="44"/>
      <c r="OLA97" s="44"/>
      <c r="OLB97" s="44"/>
      <c r="OLC97" s="44"/>
      <c r="OLD97" s="44"/>
      <c r="OLE97" s="44"/>
      <c r="OLF97" s="44"/>
      <c r="OLG97" s="44"/>
      <c r="OLH97" s="44"/>
      <c r="OLI97" s="44"/>
      <c r="OLJ97" s="44"/>
      <c r="OLK97" s="44"/>
      <c r="OLL97" s="44"/>
      <c r="OLM97" s="44"/>
      <c r="OLN97" s="44"/>
      <c r="OLO97" s="44"/>
      <c r="OLP97" s="44"/>
      <c r="OLQ97" s="44"/>
      <c r="OLR97" s="44"/>
      <c r="OLS97" s="44"/>
      <c r="OLT97" s="44"/>
      <c r="OLU97" s="44"/>
      <c r="OLV97" s="44"/>
      <c r="OLW97" s="44"/>
      <c r="OLX97" s="44"/>
      <c r="OLY97" s="44"/>
      <c r="OLZ97" s="44"/>
      <c r="OMA97" s="44"/>
      <c r="OMB97" s="44"/>
      <c r="OMC97" s="44"/>
      <c r="OMD97" s="44"/>
      <c r="OME97" s="44"/>
      <c r="OMF97" s="44"/>
      <c r="OMG97" s="44"/>
      <c r="OMH97" s="44"/>
      <c r="OMI97" s="44"/>
      <c r="OMJ97" s="44"/>
      <c r="OMK97" s="44"/>
      <c r="OML97" s="44"/>
      <c r="OMM97" s="44"/>
      <c r="OMN97" s="44"/>
      <c r="OMO97" s="44"/>
      <c r="OMP97" s="44"/>
      <c r="OMQ97" s="44"/>
      <c r="OMR97" s="44"/>
      <c r="OMS97" s="44"/>
      <c r="OMT97" s="44"/>
      <c r="OMU97" s="44"/>
      <c r="OMV97" s="44"/>
      <c r="OMW97" s="44"/>
      <c r="OMX97" s="44"/>
      <c r="OMY97" s="44"/>
      <c r="OMZ97" s="44"/>
      <c r="ONA97" s="44"/>
      <c r="ONB97" s="44"/>
      <c r="ONC97" s="44"/>
      <c r="OND97" s="44"/>
      <c r="ONE97" s="44"/>
      <c r="ONF97" s="44"/>
      <c r="ONG97" s="44"/>
      <c r="ONH97" s="44"/>
      <c r="ONI97" s="44"/>
      <c r="ONJ97" s="44"/>
      <c r="ONK97" s="44"/>
      <c r="ONL97" s="44"/>
      <c r="ONM97" s="44"/>
      <c r="ONN97" s="44"/>
      <c r="ONO97" s="44"/>
      <c r="ONP97" s="44"/>
      <c r="ONQ97" s="44"/>
      <c r="ONR97" s="44"/>
      <c r="ONS97" s="44"/>
      <c r="ONT97" s="44"/>
      <c r="ONU97" s="44"/>
      <c r="ONV97" s="44"/>
      <c r="ONW97" s="44"/>
      <c r="ONX97" s="44"/>
      <c r="ONY97" s="44"/>
      <c r="ONZ97" s="44"/>
      <c r="OOA97" s="44"/>
      <c r="OOB97" s="44"/>
      <c r="OOC97" s="44"/>
      <c r="OOD97" s="44"/>
      <c r="OOE97" s="44"/>
      <c r="OOF97" s="44"/>
      <c r="OOG97" s="44"/>
      <c r="OOH97" s="44"/>
      <c r="OOI97" s="44"/>
      <c r="OOJ97" s="44"/>
      <c r="OOK97" s="44"/>
      <c r="OOL97" s="44"/>
      <c r="OOM97" s="44"/>
      <c r="OON97" s="44"/>
      <c r="OOO97" s="44"/>
      <c r="OOP97" s="44"/>
      <c r="OOQ97" s="44"/>
      <c r="OOR97" s="44"/>
      <c r="OOS97" s="44"/>
      <c r="OOT97" s="44"/>
      <c r="OOU97" s="44"/>
      <c r="OOV97" s="44"/>
      <c r="OOW97" s="44"/>
      <c r="OOX97" s="44"/>
      <c r="OOY97" s="44"/>
      <c r="OOZ97" s="44"/>
      <c r="OPA97" s="44"/>
      <c r="OPB97" s="44"/>
      <c r="OPC97" s="44"/>
      <c r="OPD97" s="44"/>
      <c r="OPE97" s="44"/>
      <c r="OPF97" s="44"/>
      <c r="OPG97" s="44"/>
      <c r="OPH97" s="44"/>
      <c r="OPI97" s="44"/>
      <c r="OPJ97" s="44"/>
      <c r="OPK97" s="44"/>
      <c r="OPL97" s="44"/>
      <c r="OPM97" s="44"/>
      <c r="OPN97" s="44"/>
      <c r="OPO97" s="44"/>
      <c r="OPP97" s="44"/>
      <c r="OPQ97" s="44"/>
      <c r="OPR97" s="44"/>
      <c r="OPS97" s="44"/>
      <c r="OPT97" s="44"/>
      <c r="OPU97" s="44"/>
      <c r="OPV97" s="44"/>
      <c r="OPW97" s="44"/>
      <c r="OPX97" s="44"/>
      <c r="OPY97" s="44"/>
      <c r="OPZ97" s="44"/>
      <c r="OQA97" s="44"/>
      <c r="OQB97" s="44"/>
      <c r="OQC97" s="44"/>
      <c r="OQD97" s="44"/>
      <c r="OQE97" s="44"/>
      <c r="OQF97" s="44"/>
      <c r="OQG97" s="44"/>
      <c r="OQH97" s="44"/>
      <c r="OQI97" s="44"/>
      <c r="OQJ97" s="44"/>
      <c r="OQK97" s="44"/>
      <c r="OQL97" s="44"/>
      <c r="OQM97" s="44"/>
      <c r="OQN97" s="44"/>
      <c r="OQO97" s="44"/>
      <c r="OQP97" s="44"/>
      <c r="OQQ97" s="44"/>
      <c r="OQR97" s="44"/>
      <c r="OQS97" s="44"/>
      <c r="OQT97" s="44"/>
      <c r="OQU97" s="44"/>
      <c r="OQV97" s="44"/>
      <c r="OQW97" s="44"/>
      <c r="OQX97" s="44"/>
      <c r="OQY97" s="44"/>
      <c r="OQZ97" s="44"/>
      <c r="ORA97" s="44"/>
      <c r="ORB97" s="44"/>
      <c r="ORC97" s="44"/>
      <c r="ORD97" s="44"/>
      <c r="ORE97" s="44"/>
      <c r="ORF97" s="44"/>
      <c r="ORG97" s="44"/>
      <c r="ORH97" s="44"/>
      <c r="ORI97" s="44"/>
      <c r="ORJ97" s="44"/>
      <c r="ORK97" s="44"/>
      <c r="ORL97" s="44"/>
      <c r="ORM97" s="44"/>
      <c r="ORN97" s="44"/>
      <c r="ORO97" s="44"/>
      <c r="ORP97" s="44"/>
      <c r="ORQ97" s="44"/>
      <c r="ORR97" s="44"/>
      <c r="ORS97" s="44"/>
      <c r="ORT97" s="44"/>
      <c r="ORU97" s="44"/>
      <c r="ORV97" s="44"/>
      <c r="ORW97" s="44"/>
      <c r="ORX97" s="44"/>
      <c r="ORY97" s="44"/>
      <c r="ORZ97" s="44"/>
      <c r="OSA97" s="44"/>
      <c r="OSB97" s="44"/>
      <c r="OSC97" s="44"/>
      <c r="OSD97" s="44"/>
      <c r="OSE97" s="44"/>
      <c r="OSF97" s="44"/>
      <c r="OSG97" s="44"/>
      <c r="OSH97" s="44"/>
      <c r="OSI97" s="44"/>
      <c r="OSJ97" s="44"/>
      <c r="OSK97" s="44"/>
      <c r="OSL97" s="44"/>
      <c r="OSM97" s="44"/>
      <c r="OSN97" s="44"/>
      <c r="OSO97" s="44"/>
      <c r="OSP97" s="44"/>
      <c r="OSQ97" s="44"/>
      <c r="OSR97" s="44"/>
      <c r="OSS97" s="44"/>
      <c r="OST97" s="44"/>
      <c r="OSU97" s="44"/>
      <c r="OSV97" s="44"/>
      <c r="OSW97" s="44"/>
      <c r="OSX97" s="44"/>
      <c r="OSY97" s="44"/>
      <c r="OSZ97" s="44"/>
      <c r="OTA97" s="44"/>
      <c r="OTB97" s="44"/>
      <c r="OTC97" s="44"/>
      <c r="OTD97" s="44"/>
      <c r="OTE97" s="44"/>
      <c r="OTF97" s="44"/>
      <c r="OTG97" s="44"/>
      <c r="OTH97" s="44"/>
      <c r="OTI97" s="44"/>
      <c r="OTJ97" s="44"/>
      <c r="OTK97" s="44"/>
      <c r="OTL97" s="44"/>
      <c r="OTM97" s="44"/>
      <c r="OTN97" s="44"/>
      <c r="OTO97" s="44"/>
      <c r="OTP97" s="44"/>
      <c r="OTQ97" s="44"/>
      <c r="OTR97" s="44"/>
      <c r="OTS97" s="44"/>
      <c r="OTT97" s="44"/>
      <c r="OTU97" s="44"/>
      <c r="OTV97" s="44"/>
      <c r="OTW97" s="44"/>
      <c r="OTX97" s="44"/>
      <c r="OTY97" s="44"/>
      <c r="OTZ97" s="44"/>
      <c r="OUA97" s="44"/>
      <c r="OUB97" s="44"/>
      <c r="OUC97" s="44"/>
      <c r="OUD97" s="44"/>
      <c r="OUE97" s="44"/>
      <c r="OUF97" s="44"/>
      <c r="OUG97" s="44"/>
      <c r="OUH97" s="44"/>
      <c r="OUI97" s="44"/>
      <c r="OUJ97" s="44"/>
      <c r="OUK97" s="44"/>
      <c r="OUL97" s="44"/>
      <c r="OUM97" s="44"/>
      <c r="OUN97" s="44"/>
      <c r="OUO97" s="44"/>
      <c r="OUP97" s="44"/>
      <c r="OUQ97" s="44"/>
      <c r="OUR97" s="44"/>
      <c r="OUS97" s="44"/>
      <c r="OUT97" s="44"/>
      <c r="OUU97" s="44"/>
      <c r="OUV97" s="44"/>
      <c r="OUW97" s="44"/>
      <c r="OUX97" s="44"/>
      <c r="OUY97" s="44"/>
      <c r="OUZ97" s="44"/>
      <c r="OVA97" s="44"/>
      <c r="OVB97" s="44"/>
      <c r="OVC97" s="44"/>
      <c r="OVD97" s="44"/>
      <c r="OVE97" s="44"/>
      <c r="OVF97" s="44"/>
      <c r="OVG97" s="44"/>
      <c r="OVH97" s="44"/>
      <c r="OVI97" s="44"/>
      <c r="OVJ97" s="44"/>
      <c r="OVK97" s="44"/>
      <c r="OVL97" s="44"/>
      <c r="OVM97" s="44"/>
      <c r="OVN97" s="44"/>
      <c r="OVO97" s="44"/>
      <c r="OVP97" s="44"/>
      <c r="OVQ97" s="44"/>
      <c r="OVR97" s="44"/>
      <c r="OVS97" s="44"/>
      <c r="OVT97" s="44"/>
      <c r="OVU97" s="44"/>
      <c r="OVV97" s="44"/>
      <c r="OVW97" s="44"/>
      <c r="OVX97" s="44"/>
      <c r="OVY97" s="44"/>
      <c r="OVZ97" s="44"/>
      <c r="OWA97" s="44"/>
      <c r="OWB97" s="44"/>
      <c r="OWC97" s="44"/>
      <c r="OWD97" s="44"/>
      <c r="OWE97" s="44"/>
      <c r="OWF97" s="44"/>
      <c r="OWG97" s="44"/>
      <c r="OWH97" s="44"/>
      <c r="OWI97" s="44"/>
      <c r="OWJ97" s="44"/>
      <c r="OWK97" s="44"/>
      <c r="OWL97" s="44"/>
      <c r="OWM97" s="44"/>
      <c r="OWN97" s="44"/>
      <c r="OWO97" s="44"/>
      <c r="OWP97" s="44"/>
      <c r="OWQ97" s="44"/>
      <c r="OWR97" s="44"/>
      <c r="OWS97" s="44"/>
      <c r="OWT97" s="44"/>
      <c r="OWU97" s="44"/>
      <c r="OWV97" s="44"/>
      <c r="OWW97" s="44"/>
      <c r="OWX97" s="44"/>
      <c r="OWY97" s="44"/>
      <c r="OWZ97" s="44"/>
      <c r="OXA97" s="44"/>
      <c r="OXB97" s="44"/>
      <c r="OXC97" s="44"/>
      <c r="OXD97" s="44"/>
      <c r="OXE97" s="44"/>
      <c r="OXF97" s="44"/>
      <c r="OXG97" s="44"/>
      <c r="OXH97" s="44"/>
      <c r="OXI97" s="44"/>
      <c r="OXJ97" s="44"/>
      <c r="OXK97" s="44"/>
      <c r="OXL97" s="44"/>
      <c r="OXM97" s="44"/>
      <c r="OXN97" s="44"/>
      <c r="OXO97" s="44"/>
      <c r="OXP97" s="44"/>
      <c r="OXQ97" s="44"/>
      <c r="OXR97" s="44"/>
      <c r="OXS97" s="44"/>
      <c r="OXT97" s="44"/>
      <c r="OXU97" s="44"/>
      <c r="OXV97" s="44"/>
      <c r="OXW97" s="44"/>
      <c r="OXX97" s="44"/>
      <c r="OXY97" s="44"/>
      <c r="OXZ97" s="44"/>
      <c r="OYA97" s="44"/>
      <c r="OYB97" s="44"/>
      <c r="OYC97" s="44"/>
      <c r="OYD97" s="44"/>
      <c r="OYE97" s="44"/>
      <c r="OYF97" s="44"/>
      <c r="OYG97" s="44"/>
      <c r="OYH97" s="44"/>
      <c r="OYI97" s="44"/>
      <c r="OYJ97" s="44"/>
      <c r="OYK97" s="44"/>
      <c r="OYL97" s="44"/>
      <c r="OYM97" s="44"/>
      <c r="OYN97" s="44"/>
      <c r="OYO97" s="44"/>
      <c r="OYP97" s="44"/>
      <c r="OYQ97" s="44"/>
      <c r="OYR97" s="44"/>
      <c r="OYS97" s="44"/>
      <c r="OYT97" s="44"/>
      <c r="OYU97" s="44"/>
      <c r="OYV97" s="44"/>
      <c r="OYW97" s="44"/>
      <c r="OYX97" s="44"/>
      <c r="OYY97" s="44"/>
      <c r="OYZ97" s="44"/>
      <c r="OZA97" s="44"/>
      <c r="OZB97" s="44"/>
      <c r="OZC97" s="44"/>
      <c r="OZD97" s="44"/>
      <c r="OZE97" s="44"/>
      <c r="OZF97" s="44"/>
      <c r="OZG97" s="44"/>
      <c r="OZH97" s="44"/>
      <c r="OZI97" s="44"/>
      <c r="OZJ97" s="44"/>
      <c r="OZK97" s="44"/>
      <c r="OZL97" s="44"/>
      <c r="OZM97" s="44"/>
      <c r="OZN97" s="44"/>
      <c r="OZO97" s="44"/>
      <c r="OZP97" s="44"/>
      <c r="OZQ97" s="44"/>
      <c r="OZR97" s="44"/>
      <c r="OZS97" s="44"/>
      <c r="OZT97" s="44"/>
      <c r="OZU97" s="44"/>
      <c r="OZV97" s="44"/>
      <c r="OZW97" s="44"/>
      <c r="OZX97" s="44"/>
      <c r="OZY97" s="44"/>
      <c r="OZZ97" s="44"/>
      <c r="PAA97" s="44"/>
      <c r="PAB97" s="44"/>
      <c r="PAC97" s="44"/>
      <c r="PAD97" s="44"/>
      <c r="PAE97" s="44"/>
      <c r="PAF97" s="44"/>
      <c r="PAG97" s="44"/>
      <c r="PAH97" s="44"/>
      <c r="PAI97" s="44"/>
      <c r="PAJ97" s="44"/>
      <c r="PAK97" s="44"/>
      <c r="PAL97" s="44"/>
      <c r="PAM97" s="44"/>
      <c r="PAN97" s="44"/>
      <c r="PAO97" s="44"/>
      <c r="PAP97" s="44"/>
      <c r="PAQ97" s="44"/>
      <c r="PAR97" s="44"/>
      <c r="PAS97" s="44"/>
      <c r="PAT97" s="44"/>
      <c r="PAU97" s="44"/>
      <c r="PAV97" s="44"/>
      <c r="PAW97" s="44"/>
      <c r="PAX97" s="44"/>
      <c r="PAY97" s="44"/>
      <c r="PAZ97" s="44"/>
      <c r="PBA97" s="44"/>
      <c r="PBB97" s="44"/>
      <c r="PBC97" s="44"/>
      <c r="PBD97" s="44"/>
      <c r="PBE97" s="44"/>
      <c r="PBF97" s="44"/>
      <c r="PBG97" s="44"/>
      <c r="PBH97" s="44"/>
      <c r="PBI97" s="44"/>
      <c r="PBJ97" s="44"/>
      <c r="PBK97" s="44"/>
      <c r="PBL97" s="44"/>
      <c r="PBM97" s="44"/>
      <c r="PBN97" s="44"/>
      <c r="PBO97" s="44"/>
      <c r="PBP97" s="44"/>
      <c r="PBQ97" s="44"/>
      <c r="PBR97" s="44"/>
      <c r="PBS97" s="44"/>
      <c r="PBT97" s="44"/>
      <c r="PBU97" s="44"/>
      <c r="PBV97" s="44"/>
      <c r="PBW97" s="44"/>
      <c r="PBX97" s="44"/>
      <c r="PBY97" s="44"/>
      <c r="PBZ97" s="44"/>
      <c r="PCA97" s="44"/>
      <c r="PCB97" s="44"/>
      <c r="PCC97" s="44"/>
      <c r="PCD97" s="44"/>
      <c r="PCE97" s="44"/>
      <c r="PCF97" s="44"/>
      <c r="PCG97" s="44"/>
      <c r="PCH97" s="44"/>
      <c r="PCI97" s="44"/>
      <c r="PCJ97" s="44"/>
      <c r="PCK97" s="44"/>
      <c r="PCL97" s="44"/>
      <c r="PCM97" s="44"/>
      <c r="PCN97" s="44"/>
      <c r="PCO97" s="44"/>
      <c r="PCP97" s="44"/>
      <c r="PCQ97" s="44"/>
      <c r="PCR97" s="44"/>
      <c r="PCS97" s="44"/>
      <c r="PCT97" s="44"/>
      <c r="PCU97" s="44"/>
      <c r="PCV97" s="44"/>
      <c r="PCW97" s="44"/>
      <c r="PCX97" s="44"/>
      <c r="PCY97" s="44"/>
      <c r="PCZ97" s="44"/>
      <c r="PDA97" s="44"/>
      <c r="PDB97" s="44"/>
      <c r="PDC97" s="44"/>
      <c r="PDD97" s="44"/>
      <c r="PDE97" s="44"/>
      <c r="PDF97" s="44"/>
      <c r="PDG97" s="44"/>
      <c r="PDH97" s="44"/>
      <c r="PDI97" s="44"/>
      <c r="PDJ97" s="44"/>
      <c r="PDK97" s="44"/>
      <c r="PDL97" s="44"/>
      <c r="PDM97" s="44"/>
      <c r="PDN97" s="44"/>
      <c r="PDO97" s="44"/>
      <c r="PDP97" s="44"/>
      <c r="PDQ97" s="44"/>
      <c r="PDR97" s="44"/>
      <c r="PDS97" s="44"/>
      <c r="PDT97" s="44"/>
      <c r="PDU97" s="44"/>
      <c r="PDV97" s="44"/>
      <c r="PDW97" s="44"/>
      <c r="PDX97" s="44"/>
      <c r="PDY97" s="44"/>
      <c r="PDZ97" s="44"/>
      <c r="PEA97" s="44"/>
      <c r="PEB97" s="44"/>
      <c r="PEC97" s="44"/>
      <c r="PED97" s="44"/>
      <c r="PEE97" s="44"/>
      <c r="PEF97" s="44"/>
      <c r="PEG97" s="44"/>
      <c r="PEH97" s="44"/>
      <c r="PEI97" s="44"/>
      <c r="PEJ97" s="44"/>
      <c r="PEK97" s="44"/>
      <c r="PEL97" s="44"/>
      <c r="PEM97" s="44"/>
      <c r="PEN97" s="44"/>
      <c r="PEO97" s="44"/>
      <c r="PEP97" s="44"/>
      <c r="PEQ97" s="44"/>
      <c r="PER97" s="44"/>
      <c r="PES97" s="44"/>
      <c r="PET97" s="44"/>
      <c r="PEU97" s="44"/>
      <c r="PEV97" s="44"/>
      <c r="PEW97" s="44"/>
      <c r="PEX97" s="44"/>
      <c r="PEY97" s="44"/>
      <c r="PEZ97" s="44"/>
      <c r="PFA97" s="44"/>
      <c r="PFB97" s="44"/>
      <c r="PFC97" s="44"/>
      <c r="PFD97" s="44"/>
      <c r="PFE97" s="44"/>
      <c r="PFF97" s="44"/>
      <c r="PFG97" s="44"/>
      <c r="PFH97" s="44"/>
      <c r="PFI97" s="44"/>
      <c r="PFJ97" s="44"/>
      <c r="PFK97" s="44"/>
      <c r="PFL97" s="44"/>
      <c r="PFM97" s="44"/>
      <c r="PFN97" s="44"/>
      <c r="PFO97" s="44"/>
      <c r="PFP97" s="44"/>
      <c r="PFQ97" s="44"/>
      <c r="PFR97" s="44"/>
      <c r="PFS97" s="44"/>
      <c r="PFT97" s="44"/>
      <c r="PFU97" s="44"/>
      <c r="PFV97" s="44"/>
      <c r="PFW97" s="44"/>
      <c r="PFX97" s="44"/>
      <c r="PFY97" s="44"/>
      <c r="PFZ97" s="44"/>
      <c r="PGA97" s="44"/>
      <c r="PGB97" s="44"/>
      <c r="PGC97" s="44"/>
      <c r="PGD97" s="44"/>
      <c r="PGE97" s="44"/>
      <c r="PGF97" s="44"/>
      <c r="PGG97" s="44"/>
      <c r="PGH97" s="44"/>
      <c r="PGI97" s="44"/>
      <c r="PGJ97" s="44"/>
      <c r="PGK97" s="44"/>
      <c r="PGL97" s="44"/>
      <c r="PGM97" s="44"/>
      <c r="PGN97" s="44"/>
      <c r="PGO97" s="44"/>
      <c r="PGP97" s="44"/>
      <c r="PGQ97" s="44"/>
      <c r="PGR97" s="44"/>
      <c r="PGS97" s="44"/>
      <c r="PGT97" s="44"/>
      <c r="PGU97" s="44"/>
      <c r="PGV97" s="44"/>
      <c r="PGW97" s="44"/>
      <c r="PGX97" s="44"/>
      <c r="PGY97" s="44"/>
      <c r="PGZ97" s="44"/>
      <c r="PHA97" s="44"/>
      <c r="PHB97" s="44"/>
      <c r="PHC97" s="44"/>
      <c r="PHD97" s="44"/>
      <c r="PHE97" s="44"/>
      <c r="PHF97" s="44"/>
      <c r="PHG97" s="44"/>
      <c r="PHH97" s="44"/>
      <c r="PHI97" s="44"/>
      <c r="PHJ97" s="44"/>
      <c r="PHK97" s="44"/>
      <c r="PHL97" s="44"/>
      <c r="PHM97" s="44"/>
      <c r="PHN97" s="44"/>
      <c r="PHO97" s="44"/>
      <c r="PHP97" s="44"/>
      <c r="PHQ97" s="44"/>
      <c r="PHR97" s="44"/>
      <c r="PHS97" s="44"/>
      <c r="PHT97" s="44"/>
      <c r="PHU97" s="44"/>
      <c r="PHV97" s="44"/>
      <c r="PHW97" s="44"/>
      <c r="PHX97" s="44"/>
      <c r="PHY97" s="44"/>
      <c r="PHZ97" s="44"/>
      <c r="PIA97" s="44"/>
      <c r="PIB97" s="44"/>
      <c r="PIC97" s="44"/>
      <c r="PID97" s="44"/>
      <c r="PIE97" s="44"/>
      <c r="PIF97" s="44"/>
      <c r="PIG97" s="44"/>
      <c r="PIH97" s="44"/>
      <c r="PII97" s="44"/>
      <c r="PIJ97" s="44"/>
      <c r="PIK97" s="44"/>
      <c r="PIL97" s="44"/>
      <c r="PIM97" s="44"/>
      <c r="PIN97" s="44"/>
      <c r="PIO97" s="44"/>
      <c r="PIP97" s="44"/>
      <c r="PIQ97" s="44"/>
      <c r="PIR97" s="44"/>
      <c r="PIS97" s="44"/>
      <c r="PIT97" s="44"/>
      <c r="PIU97" s="44"/>
      <c r="PIV97" s="44"/>
      <c r="PIW97" s="44"/>
      <c r="PIX97" s="44"/>
      <c r="PIY97" s="44"/>
      <c r="PIZ97" s="44"/>
      <c r="PJA97" s="44"/>
      <c r="PJB97" s="44"/>
      <c r="PJC97" s="44"/>
      <c r="PJD97" s="44"/>
      <c r="PJE97" s="44"/>
      <c r="PJF97" s="44"/>
      <c r="PJG97" s="44"/>
      <c r="PJH97" s="44"/>
      <c r="PJI97" s="44"/>
      <c r="PJJ97" s="44"/>
      <c r="PJK97" s="44"/>
      <c r="PJL97" s="44"/>
      <c r="PJM97" s="44"/>
      <c r="PJN97" s="44"/>
      <c r="PJO97" s="44"/>
      <c r="PJP97" s="44"/>
      <c r="PJQ97" s="44"/>
      <c r="PJR97" s="44"/>
      <c r="PJS97" s="44"/>
      <c r="PJT97" s="44"/>
      <c r="PJU97" s="44"/>
      <c r="PJV97" s="44"/>
      <c r="PJW97" s="44"/>
      <c r="PJX97" s="44"/>
      <c r="PJY97" s="44"/>
      <c r="PJZ97" s="44"/>
      <c r="PKA97" s="44"/>
      <c r="PKB97" s="44"/>
      <c r="PKC97" s="44"/>
      <c r="PKD97" s="44"/>
      <c r="PKE97" s="44"/>
      <c r="PKF97" s="44"/>
      <c r="PKG97" s="44"/>
      <c r="PKH97" s="44"/>
      <c r="PKI97" s="44"/>
      <c r="PKJ97" s="44"/>
      <c r="PKK97" s="44"/>
      <c r="PKL97" s="44"/>
      <c r="PKM97" s="44"/>
      <c r="PKN97" s="44"/>
      <c r="PKO97" s="44"/>
      <c r="PKP97" s="44"/>
      <c r="PKQ97" s="44"/>
      <c r="PKR97" s="44"/>
      <c r="PKS97" s="44"/>
      <c r="PKT97" s="44"/>
      <c r="PKU97" s="44"/>
      <c r="PKV97" s="44"/>
      <c r="PKW97" s="44"/>
      <c r="PKX97" s="44"/>
      <c r="PKY97" s="44"/>
      <c r="PKZ97" s="44"/>
      <c r="PLA97" s="44"/>
      <c r="PLB97" s="44"/>
      <c r="PLC97" s="44"/>
      <c r="PLD97" s="44"/>
      <c r="PLE97" s="44"/>
      <c r="PLF97" s="44"/>
      <c r="PLG97" s="44"/>
      <c r="PLH97" s="44"/>
      <c r="PLI97" s="44"/>
      <c r="PLJ97" s="44"/>
      <c r="PLK97" s="44"/>
      <c r="PLL97" s="44"/>
      <c r="PLM97" s="44"/>
      <c r="PLN97" s="44"/>
      <c r="PLO97" s="44"/>
      <c r="PLP97" s="44"/>
      <c r="PLQ97" s="44"/>
      <c r="PLR97" s="44"/>
      <c r="PLS97" s="44"/>
      <c r="PLT97" s="44"/>
      <c r="PLU97" s="44"/>
      <c r="PLV97" s="44"/>
      <c r="PLW97" s="44"/>
      <c r="PLX97" s="44"/>
      <c r="PLY97" s="44"/>
      <c r="PLZ97" s="44"/>
      <c r="PMA97" s="44"/>
      <c r="PMB97" s="44"/>
      <c r="PMC97" s="44"/>
      <c r="PMD97" s="44"/>
      <c r="PME97" s="44"/>
      <c r="PMF97" s="44"/>
      <c r="PMG97" s="44"/>
      <c r="PMH97" s="44"/>
      <c r="PMI97" s="44"/>
      <c r="PMJ97" s="44"/>
      <c r="PMK97" s="44"/>
      <c r="PML97" s="44"/>
      <c r="PMM97" s="44"/>
      <c r="PMN97" s="44"/>
      <c r="PMO97" s="44"/>
      <c r="PMP97" s="44"/>
      <c r="PMQ97" s="44"/>
      <c r="PMR97" s="44"/>
      <c r="PMS97" s="44"/>
      <c r="PMT97" s="44"/>
      <c r="PMU97" s="44"/>
      <c r="PMV97" s="44"/>
      <c r="PMW97" s="44"/>
      <c r="PMX97" s="44"/>
      <c r="PMY97" s="44"/>
      <c r="PMZ97" s="44"/>
      <c r="PNA97" s="44"/>
      <c r="PNB97" s="44"/>
      <c r="PNC97" s="44"/>
      <c r="PND97" s="44"/>
      <c r="PNE97" s="44"/>
      <c r="PNF97" s="44"/>
      <c r="PNG97" s="44"/>
      <c r="PNH97" s="44"/>
      <c r="PNI97" s="44"/>
      <c r="PNJ97" s="44"/>
      <c r="PNK97" s="44"/>
      <c r="PNL97" s="44"/>
      <c r="PNM97" s="44"/>
      <c r="PNN97" s="44"/>
      <c r="PNO97" s="44"/>
      <c r="PNP97" s="44"/>
      <c r="PNQ97" s="44"/>
      <c r="PNR97" s="44"/>
      <c r="PNS97" s="44"/>
      <c r="PNT97" s="44"/>
      <c r="PNU97" s="44"/>
      <c r="PNV97" s="44"/>
      <c r="PNW97" s="44"/>
      <c r="PNX97" s="44"/>
      <c r="PNY97" s="44"/>
      <c r="PNZ97" s="44"/>
      <c r="POA97" s="44"/>
      <c r="POB97" s="44"/>
      <c r="POC97" s="44"/>
      <c r="POD97" s="44"/>
      <c r="POE97" s="44"/>
      <c r="POF97" s="44"/>
      <c r="POG97" s="44"/>
      <c r="POH97" s="44"/>
      <c r="POI97" s="44"/>
      <c r="POJ97" s="44"/>
      <c r="POK97" s="44"/>
      <c r="POL97" s="44"/>
      <c r="POM97" s="44"/>
      <c r="PON97" s="44"/>
      <c r="POO97" s="44"/>
      <c r="POP97" s="44"/>
      <c r="POQ97" s="44"/>
      <c r="POR97" s="44"/>
      <c r="POS97" s="44"/>
      <c r="POT97" s="44"/>
      <c r="POU97" s="44"/>
      <c r="POV97" s="44"/>
      <c r="POW97" s="44"/>
      <c r="POX97" s="44"/>
      <c r="POY97" s="44"/>
      <c r="POZ97" s="44"/>
      <c r="PPA97" s="44"/>
      <c r="PPB97" s="44"/>
      <c r="PPC97" s="44"/>
      <c r="PPD97" s="44"/>
      <c r="PPE97" s="44"/>
      <c r="PPF97" s="44"/>
      <c r="PPG97" s="44"/>
      <c r="PPH97" s="44"/>
      <c r="PPI97" s="44"/>
      <c r="PPJ97" s="44"/>
      <c r="PPK97" s="44"/>
      <c r="PPL97" s="44"/>
      <c r="PPM97" s="44"/>
      <c r="PPN97" s="44"/>
      <c r="PPO97" s="44"/>
      <c r="PPP97" s="44"/>
      <c r="PPQ97" s="44"/>
      <c r="PPR97" s="44"/>
      <c r="PPS97" s="44"/>
      <c r="PPT97" s="44"/>
      <c r="PPU97" s="44"/>
      <c r="PPV97" s="44"/>
      <c r="PPW97" s="44"/>
      <c r="PPX97" s="44"/>
      <c r="PPY97" s="44"/>
      <c r="PPZ97" s="44"/>
      <c r="PQA97" s="44"/>
      <c r="PQB97" s="44"/>
      <c r="PQC97" s="44"/>
      <c r="PQD97" s="44"/>
      <c r="PQE97" s="44"/>
      <c r="PQF97" s="44"/>
      <c r="PQG97" s="44"/>
      <c r="PQH97" s="44"/>
      <c r="PQI97" s="44"/>
      <c r="PQJ97" s="44"/>
      <c r="PQK97" s="44"/>
      <c r="PQL97" s="44"/>
      <c r="PQM97" s="44"/>
      <c r="PQN97" s="44"/>
      <c r="PQO97" s="44"/>
      <c r="PQP97" s="44"/>
      <c r="PQQ97" s="44"/>
      <c r="PQR97" s="44"/>
      <c r="PQS97" s="44"/>
      <c r="PQT97" s="44"/>
      <c r="PQU97" s="44"/>
      <c r="PQV97" s="44"/>
      <c r="PQW97" s="44"/>
      <c r="PQX97" s="44"/>
      <c r="PQY97" s="44"/>
      <c r="PQZ97" s="44"/>
      <c r="PRA97" s="44"/>
      <c r="PRB97" s="44"/>
      <c r="PRC97" s="44"/>
      <c r="PRD97" s="44"/>
      <c r="PRE97" s="44"/>
      <c r="PRF97" s="44"/>
      <c r="PRG97" s="44"/>
      <c r="PRH97" s="44"/>
      <c r="PRI97" s="44"/>
      <c r="PRJ97" s="44"/>
      <c r="PRK97" s="44"/>
      <c r="PRL97" s="44"/>
      <c r="PRM97" s="44"/>
      <c r="PRN97" s="44"/>
      <c r="PRO97" s="44"/>
      <c r="PRP97" s="44"/>
      <c r="PRQ97" s="44"/>
      <c r="PRR97" s="44"/>
      <c r="PRS97" s="44"/>
      <c r="PRT97" s="44"/>
      <c r="PRU97" s="44"/>
      <c r="PRV97" s="44"/>
      <c r="PRW97" s="44"/>
      <c r="PRX97" s="44"/>
      <c r="PRY97" s="44"/>
      <c r="PRZ97" s="44"/>
      <c r="PSA97" s="44"/>
      <c r="PSB97" s="44"/>
      <c r="PSC97" s="44"/>
      <c r="PSD97" s="44"/>
      <c r="PSE97" s="44"/>
      <c r="PSF97" s="44"/>
      <c r="PSG97" s="44"/>
      <c r="PSH97" s="44"/>
      <c r="PSI97" s="44"/>
      <c r="PSJ97" s="44"/>
      <c r="PSK97" s="44"/>
      <c r="PSL97" s="44"/>
      <c r="PSM97" s="44"/>
      <c r="PSN97" s="44"/>
      <c r="PSO97" s="44"/>
      <c r="PSP97" s="44"/>
      <c r="PSQ97" s="44"/>
      <c r="PSR97" s="44"/>
      <c r="PSS97" s="44"/>
      <c r="PST97" s="44"/>
      <c r="PSU97" s="44"/>
      <c r="PSV97" s="44"/>
      <c r="PSW97" s="44"/>
      <c r="PSX97" s="44"/>
      <c r="PSY97" s="44"/>
      <c r="PSZ97" s="44"/>
      <c r="PTA97" s="44"/>
      <c r="PTB97" s="44"/>
      <c r="PTC97" s="44"/>
      <c r="PTD97" s="44"/>
      <c r="PTE97" s="44"/>
      <c r="PTF97" s="44"/>
      <c r="PTG97" s="44"/>
      <c r="PTH97" s="44"/>
      <c r="PTI97" s="44"/>
      <c r="PTJ97" s="44"/>
      <c r="PTK97" s="44"/>
      <c r="PTL97" s="44"/>
      <c r="PTM97" s="44"/>
      <c r="PTN97" s="44"/>
      <c r="PTO97" s="44"/>
      <c r="PTP97" s="44"/>
      <c r="PTQ97" s="44"/>
      <c r="PTR97" s="44"/>
      <c r="PTS97" s="44"/>
      <c r="PTT97" s="44"/>
      <c r="PTU97" s="44"/>
      <c r="PTV97" s="44"/>
      <c r="PTW97" s="44"/>
      <c r="PTX97" s="44"/>
      <c r="PTY97" s="44"/>
      <c r="PTZ97" s="44"/>
      <c r="PUA97" s="44"/>
      <c r="PUB97" s="44"/>
      <c r="PUC97" s="44"/>
      <c r="PUD97" s="44"/>
      <c r="PUE97" s="44"/>
      <c r="PUF97" s="44"/>
      <c r="PUG97" s="44"/>
      <c r="PUH97" s="44"/>
      <c r="PUI97" s="44"/>
      <c r="PUJ97" s="44"/>
      <c r="PUK97" s="44"/>
      <c r="PUL97" s="44"/>
      <c r="PUM97" s="44"/>
      <c r="PUN97" s="44"/>
      <c r="PUO97" s="44"/>
      <c r="PUP97" s="44"/>
      <c r="PUQ97" s="44"/>
      <c r="PUR97" s="44"/>
      <c r="PUS97" s="44"/>
      <c r="PUT97" s="44"/>
      <c r="PUU97" s="44"/>
      <c r="PUV97" s="44"/>
      <c r="PUW97" s="44"/>
      <c r="PUX97" s="44"/>
      <c r="PUY97" s="44"/>
      <c r="PUZ97" s="44"/>
      <c r="PVA97" s="44"/>
      <c r="PVB97" s="44"/>
      <c r="PVC97" s="44"/>
      <c r="PVD97" s="44"/>
      <c r="PVE97" s="44"/>
      <c r="PVF97" s="44"/>
      <c r="PVG97" s="44"/>
      <c r="PVH97" s="44"/>
      <c r="PVI97" s="44"/>
      <c r="PVJ97" s="44"/>
      <c r="PVK97" s="44"/>
      <c r="PVL97" s="44"/>
      <c r="PVM97" s="44"/>
      <c r="PVN97" s="44"/>
      <c r="PVO97" s="44"/>
      <c r="PVP97" s="44"/>
      <c r="PVQ97" s="44"/>
      <c r="PVR97" s="44"/>
      <c r="PVS97" s="44"/>
      <c r="PVT97" s="44"/>
      <c r="PVU97" s="44"/>
      <c r="PVV97" s="44"/>
      <c r="PVW97" s="44"/>
      <c r="PVX97" s="44"/>
      <c r="PVY97" s="44"/>
      <c r="PVZ97" s="44"/>
      <c r="PWA97" s="44"/>
      <c r="PWB97" s="44"/>
      <c r="PWC97" s="44"/>
      <c r="PWD97" s="44"/>
      <c r="PWE97" s="44"/>
      <c r="PWF97" s="44"/>
      <c r="PWG97" s="44"/>
      <c r="PWH97" s="44"/>
      <c r="PWI97" s="44"/>
      <c r="PWJ97" s="44"/>
      <c r="PWK97" s="44"/>
      <c r="PWL97" s="44"/>
      <c r="PWM97" s="44"/>
      <c r="PWN97" s="44"/>
      <c r="PWO97" s="44"/>
      <c r="PWP97" s="44"/>
      <c r="PWQ97" s="44"/>
      <c r="PWR97" s="44"/>
      <c r="PWS97" s="44"/>
      <c r="PWT97" s="44"/>
      <c r="PWU97" s="44"/>
      <c r="PWV97" s="44"/>
      <c r="PWW97" s="44"/>
      <c r="PWX97" s="44"/>
      <c r="PWY97" s="44"/>
      <c r="PWZ97" s="44"/>
      <c r="PXA97" s="44"/>
      <c r="PXB97" s="44"/>
      <c r="PXC97" s="44"/>
      <c r="PXD97" s="44"/>
      <c r="PXE97" s="44"/>
      <c r="PXF97" s="44"/>
      <c r="PXG97" s="44"/>
      <c r="PXH97" s="44"/>
      <c r="PXI97" s="44"/>
      <c r="PXJ97" s="44"/>
      <c r="PXK97" s="44"/>
      <c r="PXL97" s="44"/>
      <c r="PXM97" s="44"/>
      <c r="PXN97" s="44"/>
      <c r="PXO97" s="44"/>
      <c r="PXP97" s="44"/>
      <c r="PXQ97" s="44"/>
      <c r="PXR97" s="44"/>
      <c r="PXS97" s="44"/>
      <c r="PXT97" s="44"/>
      <c r="PXU97" s="44"/>
      <c r="PXV97" s="44"/>
      <c r="PXW97" s="44"/>
      <c r="PXX97" s="44"/>
      <c r="PXY97" s="44"/>
      <c r="PXZ97" s="44"/>
      <c r="PYA97" s="44"/>
      <c r="PYB97" s="44"/>
      <c r="PYC97" s="44"/>
      <c r="PYD97" s="44"/>
      <c r="PYE97" s="44"/>
      <c r="PYF97" s="44"/>
      <c r="PYG97" s="44"/>
      <c r="PYH97" s="44"/>
      <c r="PYI97" s="44"/>
      <c r="PYJ97" s="44"/>
      <c r="PYK97" s="44"/>
      <c r="PYL97" s="44"/>
      <c r="PYM97" s="44"/>
      <c r="PYN97" s="44"/>
      <c r="PYO97" s="44"/>
      <c r="PYP97" s="44"/>
      <c r="PYQ97" s="44"/>
      <c r="PYR97" s="44"/>
      <c r="PYS97" s="44"/>
      <c r="PYT97" s="44"/>
      <c r="PYU97" s="44"/>
      <c r="PYV97" s="44"/>
      <c r="PYW97" s="44"/>
      <c r="PYX97" s="44"/>
      <c r="PYY97" s="44"/>
      <c r="PYZ97" s="44"/>
      <c r="PZA97" s="44"/>
      <c r="PZB97" s="44"/>
      <c r="PZC97" s="44"/>
      <c r="PZD97" s="44"/>
      <c r="PZE97" s="44"/>
      <c r="PZF97" s="44"/>
      <c r="PZG97" s="44"/>
      <c r="PZH97" s="44"/>
      <c r="PZI97" s="44"/>
      <c r="PZJ97" s="44"/>
      <c r="PZK97" s="44"/>
      <c r="PZL97" s="44"/>
      <c r="PZM97" s="44"/>
      <c r="PZN97" s="44"/>
      <c r="PZO97" s="44"/>
      <c r="PZP97" s="44"/>
      <c r="PZQ97" s="44"/>
      <c r="PZR97" s="44"/>
      <c r="PZS97" s="44"/>
      <c r="PZT97" s="44"/>
      <c r="PZU97" s="44"/>
      <c r="PZV97" s="44"/>
      <c r="PZW97" s="44"/>
      <c r="PZX97" s="44"/>
      <c r="PZY97" s="44"/>
      <c r="PZZ97" s="44"/>
      <c r="QAA97" s="44"/>
      <c r="QAB97" s="44"/>
      <c r="QAC97" s="44"/>
      <c r="QAD97" s="44"/>
      <c r="QAE97" s="44"/>
      <c r="QAF97" s="44"/>
      <c r="QAG97" s="44"/>
      <c r="QAH97" s="44"/>
      <c r="QAI97" s="44"/>
      <c r="QAJ97" s="44"/>
      <c r="QAK97" s="44"/>
      <c r="QAL97" s="44"/>
      <c r="QAM97" s="44"/>
      <c r="QAN97" s="44"/>
      <c r="QAO97" s="44"/>
      <c r="QAP97" s="44"/>
      <c r="QAQ97" s="44"/>
      <c r="QAR97" s="44"/>
      <c r="QAS97" s="44"/>
      <c r="QAT97" s="44"/>
      <c r="QAU97" s="44"/>
      <c r="QAV97" s="44"/>
      <c r="QAW97" s="44"/>
      <c r="QAX97" s="44"/>
      <c r="QAY97" s="44"/>
      <c r="QAZ97" s="44"/>
      <c r="QBA97" s="44"/>
      <c r="QBB97" s="44"/>
      <c r="QBC97" s="44"/>
      <c r="QBD97" s="44"/>
      <c r="QBE97" s="44"/>
      <c r="QBF97" s="44"/>
      <c r="QBG97" s="44"/>
      <c r="QBH97" s="44"/>
      <c r="QBI97" s="44"/>
      <c r="QBJ97" s="44"/>
      <c r="QBK97" s="44"/>
      <c r="QBL97" s="44"/>
      <c r="QBM97" s="44"/>
      <c r="QBN97" s="44"/>
      <c r="QBO97" s="44"/>
      <c r="QBP97" s="44"/>
      <c r="QBQ97" s="44"/>
      <c r="QBR97" s="44"/>
      <c r="QBS97" s="44"/>
      <c r="QBT97" s="44"/>
      <c r="QBU97" s="44"/>
      <c r="QBV97" s="44"/>
      <c r="QBW97" s="44"/>
      <c r="QBX97" s="44"/>
      <c r="QBY97" s="44"/>
      <c r="QBZ97" s="44"/>
      <c r="QCA97" s="44"/>
      <c r="QCB97" s="44"/>
      <c r="QCC97" s="44"/>
      <c r="QCD97" s="44"/>
      <c r="QCE97" s="44"/>
      <c r="QCF97" s="44"/>
      <c r="QCG97" s="44"/>
      <c r="QCH97" s="44"/>
      <c r="QCI97" s="44"/>
      <c r="QCJ97" s="44"/>
      <c r="QCK97" s="44"/>
      <c r="QCL97" s="44"/>
      <c r="QCM97" s="44"/>
      <c r="QCN97" s="44"/>
      <c r="QCO97" s="44"/>
      <c r="QCP97" s="44"/>
      <c r="QCQ97" s="44"/>
      <c r="QCR97" s="44"/>
      <c r="QCS97" s="44"/>
      <c r="QCT97" s="44"/>
      <c r="QCU97" s="44"/>
      <c r="QCV97" s="44"/>
      <c r="QCW97" s="44"/>
      <c r="QCX97" s="44"/>
      <c r="QCY97" s="44"/>
      <c r="QCZ97" s="44"/>
      <c r="QDA97" s="44"/>
      <c r="QDB97" s="44"/>
      <c r="QDC97" s="44"/>
      <c r="QDD97" s="44"/>
      <c r="QDE97" s="44"/>
      <c r="QDF97" s="44"/>
      <c r="QDG97" s="44"/>
      <c r="QDH97" s="44"/>
      <c r="QDI97" s="44"/>
      <c r="QDJ97" s="44"/>
      <c r="QDK97" s="44"/>
      <c r="QDL97" s="44"/>
      <c r="QDM97" s="44"/>
      <c r="QDN97" s="44"/>
      <c r="QDO97" s="44"/>
      <c r="QDP97" s="44"/>
      <c r="QDQ97" s="44"/>
      <c r="QDR97" s="44"/>
      <c r="QDS97" s="44"/>
      <c r="QDT97" s="44"/>
      <c r="QDU97" s="44"/>
      <c r="QDV97" s="44"/>
      <c r="QDW97" s="44"/>
      <c r="QDX97" s="44"/>
      <c r="QDY97" s="44"/>
      <c r="QDZ97" s="44"/>
      <c r="QEA97" s="44"/>
      <c r="QEB97" s="44"/>
      <c r="QEC97" s="44"/>
      <c r="QED97" s="44"/>
      <c r="QEE97" s="44"/>
      <c r="QEF97" s="44"/>
      <c r="QEG97" s="44"/>
      <c r="QEH97" s="44"/>
      <c r="QEI97" s="44"/>
      <c r="QEJ97" s="44"/>
      <c r="QEK97" s="44"/>
      <c r="QEL97" s="44"/>
      <c r="QEM97" s="44"/>
      <c r="QEN97" s="44"/>
      <c r="QEO97" s="44"/>
      <c r="QEP97" s="44"/>
      <c r="QEQ97" s="44"/>
      <c r="QER97" s="44"/>
      <c r="QES97" s="44"/>
      <c r="QET97" s="44"/>
      <c r="QEU97" s="44"/>
      <c r="QEV97" s="44"/>
      <c r="QEW97" s="44"/>
      <c r="QEX97" s="44"/>
      <c r="QEY97" s="44"/>
      <c r="QEZ97" s="44"/>
      <c r="QFA97" s="44"/>
      <c r="QFB97" s="44"/>
      <c r="QFC97" s="44"/>
      <c r="QFD97" s="44"/>
      <c r="QFE97" s="44"/>
      <c r="QFF97" s="44"/>
      <c r="QFG97" s="44"/>
      <c r="QFH97" s="44"/>
      <c r="QFI97" s="44"/>
      <c r="QFJ97" s="44"/>
      <c r="QFK97" s="44"/>
      <c r="QFL97" s="44"/>
      <c r="QFM97" s="44"/>
      <c r="QFN97" s="44"/>
      <c r="QFO97" s="44"/>
      <c r="QFP97" s="44"/>
      <c r="QFQ97" s="44"/>
      <c r="QFR97" s="44"/>
      <c r="QFS97" s="44"/>
      <c r="QFT97" s="44"/>
      <c r="QFU97" s="44"/>
      <c r="QFV97" s="44"/>
      <c r="QFW97" s="44"/>
      <c r="QFX97" s="44"/>
      <c r="QFY97" s="44"/>
      <c r="QFZ97" s="44"/>
      <c r="QGA97" s="44"/>
      <c r="QGB97" s="44"/>
      <c r="QGC97" s="44"/>
      <c r="QGD97" s="44"/>
      <c r="QGE97" s="44"/>
      <c r="QGF97" s="44"/>
      <c r="QGG97" s="44"/>
      <c r="QGH97" s="44"/>
      <c r="QGI97" s="44"/>
      <c r="QGJ97" s="44"/>
      <c r="QGK97" s="44"/>
      <c r="QGL97" s="44"/>
      <c r="QGM97" s="44"/>
      <c r="QGN97" s="44"/>
      <c r="QGO97" s="44"/>
      <c r="QGP97" s="44"/>
      <c r="QGQ97" s="44"/>
      <c r="QGR97" s="44"/>
      <c r="QGS97" s="44"/>
      <c r="QGT97" s="44"/>
      <c r="QGU97" s="44"/>
      <c r="QGV97" s="44"/>
      <c r="QGW97" s="44"/>
      <c r="QGX97" s="44"/>
      <c r="QGY97" s="44"/>
      <c r="QGZ97" s="44"/>
      <c r="QHA97" s="44"/>
      <c r="QHB97" s="44"/>
      <c r="QHC97" s="44"/>
      <c r="QHD97" s="44"/>
      <c r="QHE97" s="44"/>
      <c r="QHF97" s="44"/>
      <c r="QHG97" s="44"/>
      <c r="QHH97" s="44"/>
      <c r="QHI97" s="44"/>
      <c r="QHJ97" s="44"/>
      <c r="QHK97" s="44"/>
      <c r="QHL97" s="44"/>
      <c r="QHM97" s="44"/>
      <c r="QHN97" s="44"/>
      <c r="QHO97" s="44"/>
      <c r="QHP97" s="44"/>
      <c r="QHQ97" s="44"/>
      <c r="QHR97" s="44"/>
      <c r="QHS97" s="44"/>
      <c r="QHT97" s="44"/>
      <c r="QHU97" s="44"/>
      <c r="QHV97" s="44"/>
      <c r="QHW97" s="44"/>
      <c r="QHX97" s="44"/>
      <c r="QHY97" s="44"/>
      <c r="QHZ97" s="44"/>
      <c r="QIA97" s="44"/>
      <c r="QIB97" s="44"/>
      <c r="QIC97" s="44"/>
      <c r="QID97" s="44"/>
      <c r="QIE97" s="44"/>
      <c r="QIF97" s="44"/>
      <c r="QIG97" s="44"/>
      <c r="QIH97" s="44"/>
      <c r="QII97" s="44"/>
      <c r="QIJ97" s="44"/>
      <c r="QIK97" s="44"/>
      <c r="QIL97" s="44"/>
      <c r="QIM97" s="44"/>
      <c r="QIN97" s="44"/>
      <c r="QIO97" s="44"/>
      <c r="QIP97" s="44"/>
      <c r="QIQ97" s="44"/>
      <c r="QIR97" s="44"/>
      <c r="QIS97" s="44"/>
      <c r="QIT97" s="44"/>
      <c r="QIU97" s="44"/>
      <c r="QIV97" s="44"/>
      <c r="QIW97" s="44"/>
      <c r="QIX97" s="44"/>
      <c r="QIY97" s="44"/>
      <c r="QIZ97" s="44"/>
      <c r="QJA97" s="44"/>
      <c r="QJB97" s="44"/>
      <c r="QJC97" s="44"/>
      <c r="QJD97" s="44"/>
      <c r="QJE97" s="44"/>
      <c r="QJF97" s="44"/>
      <c r="QJG97" s="44"/>
      <c r="QJH97" s="44"/>
      <c r="QJI97" s="44"/>
      <c r="QJJ97" s="44"/>
      <c r="QJK97" s="44"/>
      <c r="QJL97" s="44"/>
      <c r="QJM97" s="44"/>
      <c r="QJN97" s="44"/>
      <c r="QJO97" s="44"/>
      <c r="QJP97" s="44"/>
      <c r="QJQ97" s="44"/>
      <c r="QJR97" s="44"/>
      <c r="QJS97" s="44"/>
      <c r="QJT97" s="44"/>
      <c r="QJU97" s="44"/>
      <c r="QJV97" s="44"/>
      <c r="QJW97" s="44"/>
      <c r="QJX97" s="44"/>
      <c r="QJY97" s="44"/>
      <c r="QJZ97" s="44"/>
      <c r="QKA97" s="44"/>
      <c r="QKB97" s="44"/>
      <c r="QKC97" s="44"/>
      <c r="QKD97" s="44"/>
      <c r="QKE97" s="44"/>
      <c r="QKF97" s="44"/>
      <c r="QKG97" s="44"/>
      <c r="QKH97" s="44"/>
      <c r="QKI97" s="44"/>
      <c r="QKJ97" s="44"/>
      <c r="QKK97" s="44"/>
      <c r="QKL97" s="44"/>
      <c r="QKM97" s="44"/>
      <c r="QKN97" s="44"/>
      <c r="QKO97" s="44"/>
      <c r="QKP97" s="44"/>
      <c r="QKQ97" s="44"/>
      <c r="QKR97" s="44"/>
      <c r="QKS97" s="44"/>
      <c r="QKT97" s="44"/>
      <c r="QKU97" s="44"/>
      <c r="QKV97" s="44"/>
      <c r="QKW97" s="44"/>
      <c r="QKX97" s="44"/>
      <c r="QKY97" s="44"/>
      <c r="QKZ97" s="44"/>
      <c r="QLA97" s="44"/>
      <c r="QLB97" s="44"/>
      <c r="QLC97" s="44"/>
      <c r="QLD97" s="44"/>
      <c r="QLE97" s="44"/>
      <c r="QLF97" s="44"/>
      <c r="QLG97" s="44"/>
      <c r="QLH97" s="44"/>
      <c r="QLI97" s="44"/>
      <c r="QLJ97" s="44"/>
      <c r="QLK97" s="44"/>
      <c r="QLL97" s="44"/>
      <c r="QLM97" s="44"/>
      <c r="QLN97" s="44"/>
      <c r="QLO97" s="44"/>
      <c r="QLP97" s="44"/>
      <c r="QLQ97" s="44"/>
      <c r="QLR97" s="44"/>
      <c r="QLS97" s="44"/>
      <c r="QLT97" s="44"/>
      <c r="QLU97" s="44"/>
      <c r="QLV97" s="44"/>
      <c r="QLW97" s="44"/>
      <c r="QLX97" s="44"/>
      <c r="QLY97" s="44"/>
      <c r="QLZ97" s="44"/>
      <c r="QMA97" s="44"/>
      <c r="QMB97" s="44"/>
      <c r="QMC97" s="44"/>
      <c r="QMD97" s="44"/>
      <c r="QME97" s="44"/>
      <c r="QMF97" s="44"/>
      <c r="QMG97" s="44"/>
      <c r="QMH97" s="44"/>
      <c r="QMI97" s="44"/>
      <c r="QMJ97" s="44"/>
      <c r="QMK97" s="44"/>
      <c r="QML97" s="44"/>
      <c r="QMM97" s="44"/>
      <c r="QMN97" s="44"/>
      <c r="QMO97" s="44"/>
      <c r="QMP97" s="44"/>
      <c r="QMQ97" s="44"/>
      <c r="QMR97" s="44"/>
      <c r="QMS97" s="44"/>
      <c r="QMT97" s="44"/>
      <c r="QMU97" s="44"/>
      <c r="QMV97" s="44"/>
      <c r="QMW97" s="44"/>
      <c r="QMX97" s="44"/>
      <c r="QMY97" s="44"/>
      <c r="QMZ97" s="44"/>
      <c r="QNA97" s="44"/>
      <c r="QNB97" s="44"/>
      <c r="QNC97" s="44"/>
      <c r="QND97" s="44"/>
      <c r="QNE97" s="44"/>
      <c r="QNF97" s="44"/>
      <c r="QNG97" s="44"/>
      <c r="QNH97" s="44"/>
      <c r="QNI97" s="44"/>
      <c r="QNJ97" s="44"/>
      <c r="QNK97" s="44"/>
      <c r="QNL97" s="44"/>
      <c r="QNM97" s="44"/>
      <c r="QNN97" s="44"/>
      <c r="QNO97" s="44"/>
      <c r="QNP97" s="44"/>
      <c r="QNQ97" s="44"/>
      <c r="QNR97" s="44"/>
      <c r="QNS97" s="44"/>
      <c r="QNT97" s="44"/>
      <c r="QNU97" s="44"/>
      <c r="QNV97" s="44"/>
      <c r="QNW97" s="44"/>
      <c r="QNX97" s="44"/>
      <c r="QNY97" s="44"/>
      <c r="QNZ97" s="44"/>
      <c r="QOA97" s="44"/>
      <c r="QOB97" s="44"/>
      <c r="QOC97" s="44"/>
      <c r="QOD97" s="44"/>
      <c r="QOE97" s="44"/>
      <c r="QOF97" s="44"/>
      <c r="QOG97" s="44"/>
      <c r="QOH97" s="44"/>
      <c r="QOI97" s="44"/>
      <c r="QOJ97" s="44"/>
      <c r="QOK97" s="44"/>
      <c r="QOL97" s="44"/>
      <c r="QOM97" s="44"/>
      <c r="QON97" s="44"/>
      <c r="QOO97" s="44"/>
      <c r="QOP97" s="44"/>
      <c r="QOQ97" s="44"/>
      <c r="QOR97" s="44"/>
      <c r="QOS97" s="44"/>
      <c r="QOT97" s="44"/>
      <c r="QOU97" s="44"/>
      <c r="QOV97" s="44"/>
      <c r="QOW97" s="44"/>
      <c r="QOX97" s="44"/>
      <c r="QOY97" s="44"/>
      <c r="QOZ97" s="44"/>
      <c r="QPA97" s="44"/>
      <c r="QPB97" s="44"/>
      <c r="QPC97" s="44"/>
      <c r="QPD97" s="44"/>
      <c r="QPE97" s="44"/>
      <c r="QPF97" s="44"/>
      <c r="QPG97" s="44"/>
      <c r="QPH97" s="44"/>
      <c r="QPI97" s="44"/>
      <c r="QPJ97" s="44"/>
      <c r="QPK97" s="44"/>
      <c r="QPL97" s="44"/>
      <c r="QPM97" s="44"/>
      <c r="QPN97" s="44"/>
      <c r="QPO97" s="44"/>
      <c r="QPP97" s="44"/>
      <c r="QPQ97" s="44"/>
      <c r="QPR97" s="44"/>
      <c r="QPS97" s="44"/>
      <c r="QPT97" s="44"/>
      <c r="QPU97" s="44"/>
      <c r="QPV97" s="44"/>
      <c r="QPW97" s="44"/>
      <c r="QPX97" s="44"/>
      <c r="QPY97" s="44"/>
      <c r="QPZ97" s="44"/>
      <c r="QQA97" s="44"/>
      <c r="QQB97" s="44"/>
      <c r="QQC97" s="44"/>
      <c r="QQD97" s="44"/>
      <c r="QQE97" s="44"/>
      <c r="QQF97" s="44"/>
      <c r="QQG97" s="44"/>
      <c r="QQH97" s="44"/>
      <c r="QQI97" s="44"/>
      <c r="QQJ97" s="44"/>
      <c r="QQK97" s="44"/>
      <c r="QQL97" s="44"/>
      <c r="QQM97" s="44"/>
      <c r="QQN97" s="44"/>
      <c r="QQO97" s="44"/>
      <c r="QQP97" s="44"/>
      <c r="QQQ97" s="44"/>
      <c r="QQR97" s="44"/>
      <c r="QQS97" s="44"/>
      <c r="QQT97" s="44"/>
      <c r="QQU97" s="44"/>
      <c r="QQV97" s="44"/>
      <c r="QQW97" s="44"/>
      <c r="QQX97" s="44"/>
      <c r="QQY97" s="44"/>
      <c r="QQZ97" s="44"/>
      <c r="QRA97" s="44"/>
      <c r="QRB97" s="44"/>
      <c r="QRC97" s="44"/>
      <c r="QRD97" s="44"/>
      <c r="QRE97" s="44"/>
      <c r="QRF97" s="44"/>
      <c r="QRG97" s="44"/>
      <c r="QRH97" s="44"/>
      <c r="QRI97" s="44"/>
      <c r="QRJ97" s="44"/>
      <c r="QRK97" s="44"/>
      <c r="QRL97" s="44"/>
      <c r="QRM97" s="44"/>
      <c r="QRN97" s="44"/>
      <c r="QRO97" s="44"/>
      <c r="QRP97" s="44"/>
      <c r="QRQ97" s="44"/>
      <c r="QRR97" s="44"/>
      <c r="QRS97" s="44"/>
      <c r="QRT97" s="44"/>
      <c r="QRU97" s="44"/>
      <c r="QRV97" s="44"/>
      <c r="QRW97" s="44"/>
      <c r="QRX97" s="44"/>
      <c r="QRY97" s="44"/>
      <c r="QRZ97" s="44"/>
      <c r="QSA97" s="44"/>
      <c r="QSB97" s="44"/>
      <c r="QSC97" s="44"/>
      <c r="QSD97" s="44"/>
      <c r="QSE97" s="44"/>
      <c r="QSF97" s="44"/>
      <c r="QSG97" s="44"/>
      <c r="QSH97" s="44"/>
      <c r="QSI97" s="44"/>
      <c r="QSJ97" s="44"/>
      <c r="QSK97" s="44"/>
      <c r="QSL97" s="44"/>
      <c r="QSM97" s="44"/>
      <c r="QSN97" s="44"/>
      <c r="QSO97" s="44"/>
      <c r="QSP97" s="44"/>
      <c r="QSQ97" s="44"/>
      <c r="QSR97" s="44"/>
      <c r="QSS97" s="44"/>
      <c r="QST97" s="44"/>
      <c r="QSU97" s="44"/>
      <c r="QSV97" s="44"/>
      <c r="QSW97" s="44"/>
      <c r="QSX97" s="44"/>
      <c r="QSY97" s="44"/>
      <c r="QSZ97" s="44"/>
      <c r="QTA97" s="44"/>
      <c r="QTB97" s="44"/>
      <c r="QTC97" s="44"/>
      <c r="QTD97" s="44"/>
      <c r="QTE97" s="44"/>
      <c r="QTF97" s="44"/>
      <c r="QTG97" s="44"/>
      <c r="QTH97" s="44"/>
      <c r="QTI97" s="44"/>
      <c r="QTJ97" s="44"/>
      <c r="QTK97" s="44"/>
      <c r="QTL97" s="44"/>
      <c r="QTM97" s="44"/>
      <c r="QTN97" s="44"/>
      <c r="QTO97" s="44"/>
      <c r="QTP97" s="44"/>
      <c r="QTQ97" s="44"/>
      <c r="QTR97" s="44"/>
      <c r="QTS97" s="44"/>
      <c r="QTT97" s="44"/>
      <c r="QTU97" s="44"/>
      <c r="QTV97" s="44"/>
      <c r="QTW97" s="44"/>
      <c r="QTX97" s="44"/>
      <c r="QTY97" s="44"/>
      <c r="QTZ97" s="44"/>
      <c r="QUA97" s="44"/>
      <c r="QUB97" s="44"/>
      <c r="QUC97" s="44"/>
      <c r="QUD97" s="44"/>
      <c r="QUE97" s="44"/>
      <c r="QUF97" s="44"/>
      <c r="QUG97" s="44"/>
      <c r="QUH97" s="44"/>
      <c r="QUI97" s="44"/>
      <c r="QUJ97" s="44"/>
      <c r="QUK97" s="44"/>
      <c r="QUL97" s="44"/>
      <c r="QUM97" s="44"/>
      <c r="QUN97" s="44"/>
      <c r="QUO97" s="44"/>
      <c r="QUP97" s="44"/>
      <c r="QUQ97" s="44"/>
      <c r="QUR97" s="44"/>
      <c r="QUS97" s="44"/>
      <c r="QUT97" s="44"/>
      <c r="QUU97" s="44"/>
      <c r="QUV97" s="44"/>
      <c r="QUW97" s="44"/>
      <c r="QUX97" s="44"/>
      <c r="QUY97" s="44"/>
      <c r="QUZ97" s="44"/>
      <c r="QVA97" s="44"/>
      <c r="QVB97" s="44"/>
      <c r="QVC97" s="44"/>
      <c r="QVD97" s="44"/>
      <c r="QVE97" s="44"/>
      <c r="QVF97" s="44"/>
      <c r="QVG97" s="44"/>
      <c r="QVH97" s="44"/>
      <c r="QVI97" s="44"/>
      <c r="QVJ97" s="44"/>
      <c r="QVK97" s="44"/>
      <c r="QVL97" s="44"/>
      <c r="QVM97" s="44"/>
      <c r="QVN97" s="44"/>
      <c r="QVO97" s="44"/>
      <c r="QVP97" s="44"/>
      <c r="QVQ97" s="44"/>
      <c r="QVR97" s="44"/>
      <c r="QVS97" s="44"/>
      <c r="QVT97" s="44"/>
      <c r="QVU97" s="44"/>
      <c r="QVV97" s="44"/>
      <c r="QVW97" s="44"/>
      <c r="QVX97" s="44"/>
      <c r="QVY97" s="44"/>
      <c r="QVZ97" s="44"/>
      <c r="QWA97" s="44"/>
      <c r="QWB97" s="44"/>
      <c r="QWC97" s="44"/>
      <c r="QWD97" s="44"/>
      <c r="QWE97" s="44"/>
      <c r="QWF97" s="44"/>
      <c r="QWG97" s="44"/>
      <c r="QWH97" s="44"/>
      <c r="QWI97" s="44"/>
      <c r="QWJ97" s="44"/>
      <c r="QWK97" s="44"/>
      <c r="QWL97" s="44"/>
      <c r="QWM97" s="44"/>
      <c r="QWN97" s="44"/>
      <c r="QWO97" s="44"/>
      <c r="QWP97" s="44"/>
      <c r="QWQ97" s="44"/>
      <c r="QWR97" s="44"/>
      <c r="QWS97" s="44"/>
      <c r="QWT97" s="44"/>
      <c r="QWU97" s="44"/>
      <c r="QWV97" s="44"/>
      <c r="QWW97" s="44"/>
      <c r="QWX97" s="44"/>
      <c r="QWY97" s="44"/>
      <c r="QWZ97" s="44"/>
      <c r="QXA97" s="44"/>
      <c r="QXB97" s="44"/>
      <c r="QXC97" s="44"/>
      <c r="QXD97" s="44"/>
      <c r="QXE97" s="44"/>
      <c r="QXF97" s="44"/>
      <c r="QXG97" s="44"/>
      <c r="QXH97" s="44"/>
      <c r="QXI97" s="44"/>
      <c r="QXJ97" s="44"/>
      <c r="QXK97" s="44"/>
      <c r="QXL97" s="44"/>
      <c r="QXM97" s="44"/>
      <c r="QXN97" s="44"/>
      <c r="QXO97" s="44"/>
      <c r="QXP97" s="44"/>
      <c r="QXQ97" s="44"/>
      <c r="QXR97" s="44"/>
      <c r="QXS97" s="44"/>
      <c r="QXT97" s="44"/>
      <c r="QXU97" s="44"/>
      <c r="QXV97" s="44"/>
      <c r="QXW97" s="44"/>
      <c r="QXX97" s="44"/>
      <c r="QXY97" s="44"/>
      <c r="QXZ97" s="44"/>
      <c r="QYA97" s="44"/>
      <c r="QYB97" s="44"/>
      <c r="QYC97" s="44"/>
      <c r="QYD97" s="44"/>
      <c r="QYE97" s="44"/>
      <c r="QYF97" s="44"/>
      <c r="QYG97" s="44"/>
      <c r="QYH97" s="44"/>
      <c r="QYI97" s="44"/>
      <c r="QYJ97" s="44"/>
      <c r="QYK97" s="44"/>
      <c r="QYL97" s="44"/>
      <c r="QYM97" s="44"/>
      <c r="QYN97" s="44"/>
      <c r="QYO97" s="44"/>
      <c r="QYP97" s="44"/>
      <c r="QYQ97" s="44"/>
      <c r="QYR97" s="44"/>
      <c r="QYS97" s="44"/>
      <c r="QYT97" s="44"/>
      <c r="QYU97" s="44"/>
      <c r="QYV97" s="44"/>
      <c r="QYW97" s="44"/>
      <c r="QYX97" s="44"/>
      <c r="QYY97" s="44"/>
      <c r="QYZ97" s="44"/>
      <c r="QZA97" s="44"/>
      <c r="QZB97" s="44"/>
      <c r="QZC97" s="44"/>
      <c r="QZD97" s="44"/>
      <c r="QZE97" s="44"/>
      <c r="QZF97" s="44"/>
      <c r="QZG97" s="44"/>
      <c r="QZH97" s="44"/>
      <c r="QZI97" s="44"/>
      <c r="QZJ97" s="44"/>
      <c r="QZK97" s="44"/>
      <c r="QZL97" s="44"/>
      <c r="QZM97" s="44"/>
      <c r="QZN97" s="44"/>
      <c r="QZO97" s="44"/>
      <c r="QZP97" s="44"/>
      <c r="QZQ97" s="44"/>
      <c r="QZR97" s="44"/>
      <c r="QZS97" s="44"/>
      <c r="QZT97" s="44"/>
      <c r="QZU97" s="44"/>
      <c r="QZV97" s="44"/>
      <c r="QZW97" s="44"/>
      <c r="QZX97" s="44"/>
      <c r="QZY97" s="44"/>
      <c r="QZZ97" s="44"/>
      <c r="RAA97" s="44"/>
      <c r="RAB97" s="44"/>
      <c r="RAC97" s="44"/>
      <c r="RAD97" s="44"/>
      <c r="RAE97" s="44"/>
      <c r="RAF97" s="44"/>
      <c r="RAG97" s="44"/>
      <c r="RAH97" s="44"/>
      <c r="RAI97" s="44"/>
      <c r="RAJ97" s="44"/>
      <c r="RAK97" s="44"/>
      <c r="RAL97" s="44"/>
      <c r="RAM97" s="44"/>
      <c r="RAN97" s="44"/>
      <c r="RAO97" s="44"/>
      <c r="RAP97" s="44"/>
      <c r="RAQ97" s="44"/>
      <c r="RAR97" s="44"/>
      <c r="RAS97" s="44"/>
      <c r="RAT97" s="44"/>
      <c r="RAU97" s="44"/>
      <c r="RAV97" s="44"/>
      <c r="RAW97" s="44"/>
      <c r="RAX97" s="44"/>
      <c r="RAY97" s="44"/>
      <c r="RAZ97" s="44"/>
      <c r="RBA97" s="44"/>
      <c r="RBB97" s="44"/>
      <c r="RBC97" s="44"/>
      <c r="RBD97" s="44"/>
      <c r="RBE97" s="44"/>
      <c r="RBF97" s="44"/>
      <c r="RBG97" s="44"/>
      <c r="RBH97" s="44"/>
      <c r="RBI97" s="44"/>
      <c r="RBJ97" s="44"/>
      <c r="RBK97" s="44"/>
      <c r="RBL97" s="44"/>
      <c r="RBM97" s="44"/>
      <c r="RBN97" s="44"/>
      <c r="RBO97" s="44"/>
      <c r="RBP97" s="44"/>
      <c r="RBQ97" s="44"/>
      <c r="RBR97" s="44"/>
      <c r="RBS97" s="44"/>
      <c r="RBT97" s="44"/>
      <c r="RBU97" s="44"/>
      <c r="RBV97" s="44"/>
      <c r="RBW97" s="44"/>
      <c r="RBX97" s="44"/>
      <c r="RBY97" s="44"/>
      <c r="RBZ97" s="44"/>
      <c r="RCA97" s="44"/>
      <c r="RCB97" s="44"/>
      <c r="RCC97" s="44"/>
      <c r="RCD97" s="44"/>
      <c r="RCE97" s="44"/>
      <c r="RCF97" s="44"/>
      <c r="RCG97" s="44"/>
      <c r="RCH97" s="44"/>
      <c r="RCI97" s="44"/>
      <c r="RCJ97" s="44"/>
      <c r="RCK97" s="44"/>
      <c r="RCL97" s="44"/>
      <c r="RCM97" s="44"/>
      <c r="RCN97" s="44"/>
      <c r="RCO97" s="44"/>
      <c r="RCP97" s="44"/>
      <c r="RCQ97" s="44"/>
      <c r="RCR97" s="44"/>
      <c r="RCS97" s="44"/>
      <c r="RCT97" s="44"/>
      <c r="RCU97" s="44"/>
      <c r="RCV97" s="44"/>
      <c r="RCW97" s="44"/>
      <c r="RCX97" s="44"/>
      <c r="RCY97" s="44"/>
      <c r="RCZ97" s="44"/>
      <c r="RDA97" s="44"/>
      <c r="RDB97" s="44"/>
      <c r="RDC97" s="44"/>
      <c r="RDD97" s="44"/>
      <c r="RDE97" s="44"/>
      <c r="RDF97" s="44"/>
      <c r="RDG97" s="44"/>
      <c r="RDH97" s="44"/>
      <c r="RDI97" s="44"/>
      <c r="RDJ97" s="44"/>
      <c r="RDK97" s="44"/>
      <c r="RDL97" s="44"/>
      <c r="RDM97" s="44"/>
      <c r="RDN97" s="44"/>
      <c r="RDO97" s="44"/>
      <c r="RDP97" s="44"/>
      <c r="RDQ97" s="44"/>
      <c r="RDR97" s="44"/>
      <c r="RDS97" s="44"/>
      <c r="RDT97" s="44"/>
      <c r="RDU97" s="44"/>
      <c r="RDV97" s="44"/>
      <c r="RDW97" s="44"/>
      <c r="RDX97" s="44"/>
      <c r="RDY97" s="44"/>
      <c r="RDZ97" s="44"/>
      <c r="REA97" s="44"/>
      <c r="REB97" s="44"/>
      <c r="REC97" s="44"/>
      <c r="RED97" s="44"/>
      <c r="REE97" s="44"/>
      <c r="REF97" s="44"/>
      <c r="REG97" s="44"/>
      <c r="REH97" s="44"/>
      <c r="REI97" s="44"/>
      <c r="REJ97" s="44"/>
      <c r="REK97" s="44"/>
      <c r="REL97" s="44"/>
      <c r="REM97" s="44"/>
      <c r="REN97" s="44"/>
      <c r="REO97" s="44"/>
      <c r="REP97" s="44"/>
      <c r="REQ97" s="44"/>
      <c r="RER97" s="44"/>
      <c r="RES97" s="44"/>
      <c r="RET97" s="44"/>
      <c r="REU97" s="44"/>
      <c r="REV97" s="44"/>
      <c r="REW97" s="44"/>
      <c r="REX97" s="44"/>
      <c r="REY97" s="44"/>
      <c r="REZ97" s="44"/>
      <c r="RFA97" s="44"/>
      <c r="RFB97" s="44"/>
      <c r="RFC97" s="44"/>
      <c r="RFD97" s="44"/>
      <c r="RFE97" s="44"/>
      <c r="RFF97" s="44"/>
      <c r="RFG97" s="44"/>
      <c r="RFH97" s="44"/>
      <c r="RFI97" s="44"/>
      <c r="RFJ97" s="44"/>
      <c r="RFK97" s="44"/>
      <c r="RFL97" s="44"/>
      <c r="RFM97" s="44"/>
      <c r="RFN97" s="44"/>
      <c r="RFO97" s="44"/>
      <c r="RFP97" s="44"/>
      <c r="RFQ97" s="44"/>
      <c r="RFR97" s="44"/>
      <c r="RFS97" s="44"/>
      <c r="RFT97" s="44"/>
      <c r="RFU97" s="44"/>
      <c r="RFV97" s="44"/>
      <c r="RFW97" s="44"/>
      <c r="RFX97" s="44"/>
      <c r="RFY97" s="44"/>
      <c r="RFZ97" s="44"/>
      <c r="RGA97" s="44"/>
      <c r="RGB97" s="44"/>
      <c r="RGC97" s="44"/>
      <c r="RGD97" s="44"/>
      <c r="RGE97" s="44"/>
      <c r="RGF97" s="44"/>
      <c r="RGG97" s="44"/>
      <c r="RGH97" s="44"/>
      <c r="RGI97" s="44"/>
      <c r="RGJ97" s="44"/>
      <c r="RGK97" s="44"/>
      <c r="RGL97" s="44"/>
      <c r="RGM97" s="44"/>
      <c r="RGN97" s="44"/>
      <c r="RGO97" s="44"/>
      <c r="RGP97" s="44"/>
      <c r="RGQ97" s="44"/>
      <c r="RGR97" s="44"/>
      <c r="RGS97" s="44"/>
      <c r="RGT97" s="44"/>
      <c r="RGU97" s="44"/>
      <c r="RGV97" s="44"/>
      <c r="RGW97" s="44"/>
      <c r="RGX97" s="44"/>
      <c r="RGY97" s="44"/>
      <c r="RGZ97" s="44"/>
      <c r="RHA97" s="44"/>
      <c r="RHB97" s="44"/>
      <c r="RHC97" s="44"/>
      <c r="RHD97" s="44"/>
      <c r="RHE97" s="44"/>
      <c r="RHF97" s="44"/>
      <c r="RHG97" s="44"/>
      <c r="RHH97" s="44"/>
      <c r="RHI97" s="44"/>
      <c r="RHJ97" s="44"/>
      <c r="RHK97" s="44"/>
      <c r="RHL97" s="44"/>
      <c r="RHM97" s="44"/>
      <c r="RHN97" s="44"/>
      <c r="RHO97" s="44"/>
      <c r="RHP97" s="44"/>
      <c r="RHQ97" s="44"/>
      <c r="RHR97" s="44"/>
      <c r="RHS97" s="44"/>
      <c r="RHT97" s="44"/>
      <c r="RHU97" s="44"/>
      <c r="RHV97" s="44"/>
      <c r="RHW97" s="44"/>
      <c r="RHX97" s="44"/>
      <c r="RHY97" s="44"/>
      <c r="RHZ97" s="44"/>
      <c r="RIA97" s="44"/>
      <c r="RIB97" s="44"/>
      <c r="RIC97" s="44"/>
      <c r="RID97" s="44"/>
      <c r="RIE97" s="44"/>
      <c r="RIF97" s="44"/>
      <c r="RIG97" s="44"/>
      <c r="RIH97" s="44"/>
      <c r="RII97" s="44"/>
      <c r="RIJ97" s="44"/>
      <c r="RIK97" s="44"/>
      <c r="RIL97" s="44"/>
      <c r="RIM97" s="44"/>
      <c r="RIN97" s="44"/>
      <c r="RIO97" s="44"/>
      <c r="RIP97" s="44"/>
      <c r="RIQ97" s="44"/>
      <c r="RIR97" s="44"/>
      <c r="RIS97" s="44"/>
      <c r="RIT97" s="44"/>
      <c r="RIU97" s="44"/>
      <c r="RIV97" s="44"/>
      <c r="RIW97" s="44"/>
      <c r="RIX97" s="44"/>
      <c r="RIY97" s="44"/>
      <c r="RIZ97" s="44"/>
      <c r="RJA97" s="44"/>
      <c r="RJB97" s="44"/>
      <c r="RJC97" s="44"/>
      <c r="RJD97" s="44"/>
      <c r="RJE97" s="44"/>
      <c r="RJF97" s="44"/>
      <c r="RJG97" s="44"/>
      <c r="RJH97" s="44"/>
      <c r="RJI97" s="44"/>
      <c r="RJJ97" s="44"/>
      <c r="RJK97" s="44"/>
      <c r="RJL97" s="44"/>
      <c r="RJM97" s="44"/>
      <c r="RJN97" s="44"/>
      <c r="RJO97" s="44"/>
      <c r="RJP97" s="44"/>
      <c r="RJQ97" s="44"/>
      <c r="RJR97" s="44"/>
      <c r="RJS97" s="44"/>
      <c r="RJT97" s="44"/>
      <c r="RJU97" s="44"/>
      <c r="RJV97" s="44"/>
      <c r="RJW97" s="44"/>
      <c r="RJX97" s="44"/>
      <c r="RJY97" s="44"/>
      <c r="RJZ97" s="44"/>
      <c r="RKA97" s="44"/>
      <c r="RKB97" s="44"/>
      <c r="RKC97" s="44"/>
      <c r="RKD97" s="44"/>
      <c r="RKE97" s="44"/>
      <c r="RKF97" s="44"/>
      <c r="RKG97" s="44"/>
      <c r="RKH97" s="44"/>
      <c r="RKI97" s="44"/>
      <c r="RKJ97" s="44"/>
      <c r="RKK97" s="44"/>
      <c r="RKL97" s="44"/>
      <c r="RKM97" s="44"/>
      <c r="RKN97" s="44"/>
      <c r="RKO97" s="44"/>
      <c r="RKP97" s="44"/>
      <c r="RKQ97" s="44"/>
      <c r="RKR97" s="44"/>
      <c r="RKS97" s="44"/>
      <c r="RKT97" s="44"/>
      <c r="RKU97" s="44"/>
      <c r="RKV97" s="44"/>
      <c r="RKW97" s="44"/>
      <c r="RKX97" s="44"/>
      <c r="RKY97" s="44"/>
      <c r="RKZ97" s="44"/>
      <c r="RLA97" s="44"/>
      <c r="RLB97" s="44"/>
      <c r="RLC97" s="44"/>
      <c r="RLD97" s="44"/>
      <c r="RLE97" s="44"/>
      <c r="RLF97" s="44"/>
      <c r="RLG97" s="44"/>
      <c r="RLH97" s="44"/>
      <c r="RLI97" s="44"/>
      <c r="RLJ97" s="44"/>
      <c r="RLK97" s="44"/>
      <c r="RLL97" s="44"/>
      <c r="RLM97" s="44"/>
      <c r="RLN97" s="44"/>
      <c r="RLO97" s="44"/>
      <c r="RLP97" s="44"/>
      <c r="RLQ97" s="44"/>
      <c r="RLR97" s="44"/>
      <c r="RLS97" s="44"/>
      <c r="RLT97" s="44"/>
      <c r="RLU97" s="44"/>
      <c r="RLV97" s="44"/>
      <c r="RLW97" s="44"/>
      <c r="RLX97" s="44"/>
      <c r="RLY97" s="44"/>
      <c r="RLZ97" s="44"/>
      <c r="RMA97" s="44"/>
      <c r="RMB97" s="44"/>
      <c r="RMC97" s="44"/>
      <c r="RMD97" s="44"/>
      <c r="RME97" s="44"/>
      <c r="RMF97" s="44"/>
      <c r="RMG97" s="44"/>
      <c r="RMH97" s="44"/>
      <c r="RMI97" s="44"/>
      <c r="RMJ97" s="44"/>
      <c r="RMK97" s="44"/>
      <c r="RML97" s="44"/>
      <c r="RMM97" s="44"/>
      <c r="RMN97" s="44"/>
      <c r="RMO97" s="44"/>
      <c r="RMP97" s="44"/>
      <c r="RMQ97" s="44"/>
      <c r="RMR97" s="44"/>
      <c r="RMS97" s="44"/>
      <c r="RMT97" s="44"/>
      <c r="RMU97" s="44"/>
      <c r="RMV97" s="44"/>
      <c r="RMW97" s="44"/>
      <c r="RMX97" s="44"/>
      <c r="RMY97" s="44"/>
      <c r="RMZ97" s="44"/>
      <c r="RNA97" s="44"/>
      <c r="RNB97" s="44"/>
      <c r="RNC97" s="44"/>
      <c r="RND97" s="44"/>
      <c r="RNE97" s="44"/>
      <c r="RNF97" s="44"/>
      <c r="RNG97" s="44"/>
      <c r="RNH97" s="44"/>
      <c r="RNI97" s="44"/>
      <c r="RNJ97" s="44"/>
      <c r="RNK97" s="44"/>
      <c r="RNL97" s="44"/>
      <c r="RNM97" s="44"/>
      <c r="RNN97" s="44"/>
      <c r="RNO97" s="44"/>
      <c r="RNP97" s="44"/>
      <c r="RNQ97" s="44"/>
      <c r="RNR97" s="44"/>
      <c r="RNS97" s="44"/>
      <c r="RNT97" s="44"/>
      <c r="RNU97" s="44"/>
      <c r="RNV97" s="44"/>
      <c r="RNW97" s="44"/>
      <c r="RNX97" s="44"/>
      <c r="RNY97" s="44"/>
      <c r="RNZ97" s="44"/>
      <c r="ROA97" s="44"/>
      <c r="ROB97" s="44"/>
      <c r="ROC97" s="44"/>
      <c r="ROD97" s="44"/>
      <c r="ROE97" s="44"/>
      <c r="ROF97" s="44"/>
      <c r="ROG97" s="44"/>
      <c r="ROH97" s="44"/>
      <c r="ROI97" s="44"/>
      <c r="ROJ97" s="44"/>
      <c r="ROK97" s="44"/>
      <c r="ROL97" s="44"/>
      <c r="ROM97" s="44"/>
      <c r="RON97" s="44"/>
      <c r="ROO97" s="44"/>
      <c r="ROP97" s="44"/>
      <c r="ROQ97" s="44"/>
      <c r="ROR97" s="44"/>
      <c r="ROS97" s="44"/>
      <c r="ROT97" s="44"/>
      <c r="ROU97" s="44"/>
      <c r="ROV97" s="44"/>
      <c r="ROW97" s="44"/>
      <c r="ROX97" s="44"/>
      <c r="ROY97" s="44"/>
      <c r="ROZ97" s="44"/>
      <c r="RPA97" s="44"/>
      <c r="RPB97" s="44"/>
      <c r="RPC97" s="44"/>
      <c r="RPD97" s="44"/>
      <c r="RPE97" s="44"/>
      <c r="RPF97" s="44"/>
      <c r="RPG97" s="44"/>
      <c r="RPH97" s="44"/>
      <c r="RPI97" s="44"/>
      <c r="RPJ97" s="44"/>
      <c r="RPK97" s="44"/>
      <c r="RPL97" s="44"/>
      <c r="RPM97" s="44"/>
      <c r="RPN97" s="44"/>
      <c r="RPO97" s="44"/>
      <c r="RPP97" s="44"/>
      <c r="RPQ97" s="44"/>
      <c r="RPR97" s="44"/>
      <c r="RPS97" s="44"/>
      <c r="RPT97" s="44"/>
      <c r="RPU97" s="44"/>
      <c r="RPV97" s="44"/>
      <c r="RPW97" s="44"/>
      <c r="RPX97" s="44"/>
      <c r="RPY97" s="44"/>
      <c r="RPZ97" s="44"/>
      <c r="RQA97" s="44"/>
      <c r="RQB97" s="44"/>
      <c r="RQC97" s="44"/>
      <c r="RQD97" s="44"/>
      <c r="RQE97" s="44"/>
      <c r="RQF97" s="44"/>
      <c r="RQG97" s="44"/>
      <c r="RQH97" s="44"/>
      <c r="RQI97" s="44"/>
      <c r="RQJ97" s="44"/>
      <c r="RQK97" s="44"/>
      <c r="RQL97" s="44"/>
      <c r="RQM97" s="44"/>
      <c r="RQN97" s="44"/>
      <c r="RQO97" s="44"/>
      <c r="RQP97" s="44"/>
      <c r="RQQ97" s="44"/>
      <c r="RQR97" s="44"/>
      <c r="RQS97" s="44"/>
      <c r="RQT97" s="44"/>
      <c r="RQU97" s="44"/>
      <c r="RQV97" s="44"/>
      <c r="RQW97" s="44"/>
      <c r="RQX97" s="44"/>
      <c r="RQY97" s="44"/>
      <c r="RQZ97" s="44"/>
      <c r="RRA97" s="44"/>
      <c r="RRB97" s="44"/>
      <c r="RRC97" s="44"/>
      <c r="RRD97" s="44"/>
      <c r="RRE97" s="44"/>
      <c r="RRF97" s="44"/>
      <c r="RRG97" s="44"/>
      <c r="RRH97" s="44"/>
      <c r="RRI97" s="44"/>
      <c r="RRJ97" s="44"/>
      <c r="RRK97" s="44"/>
      <c r="RRL97" s="44"/>
      <c r="RRM97" s="44"/>
      <c r="RRN97" s="44"/>
      <c r="RRO97" s="44"/>
      <c r="RRP97" s="44"/>
      <c r="RRQ97" s="44"/>
      <c r="RRR97" s="44"/>
      <c r="RRS97" s="44"/>
      <c r="RRT97" s="44"/>
      <c r="RRU97" s="44"/>
      <c r="RRV97" s="44"/>
      <c r="RRW97" s="44"/>
      <c r="RRX97" s="44"/>
      <c r="RRY97" s="44"/>
      <c r="RRZ97" s="44"/>
      <c r="RSA97" s="44"/>
      <c r="RSB97" s="44"/>
      <c r="RSC97" s="44"/>
      <c r="RSD97" s="44"/>
      <c r="RSE97" s="44"/>
      <c r="RSF97" s="44"/>
      <c r="RSG97" s="44"/>
      <c r="RSH97" s="44"/>
      <c r="RSI97" s="44"/>
      <c r="RSJ97" s="44"/>
      <c r="RSK97" s="44"/>
      <c r="RSL97" s="44"/>
      <c r="RSM97" s="44"/>
      <c r="RSN97" s="44"/>
      <c r="RSO97" s="44"/>
      <c r="RSP97" s="44"/>
      <c r="RSQ97" s="44"/>
      <c r="RSR97" s="44"/>
      <c r="RSS97" s="44"/>
      <c r="RST97" s="44"/>
      <c r="RSU97" s="44"/>
      <c r="RSV97" s="44"/>
      <c r="RSW97" s="44"/>
      <c r="RSX97" s="44"/>
      <c r="RSY97" s="44"/>
      <c r="RSZ97" s="44"/>
      <c r="RTA97" s="44"/>
      <c r="RTB97" s="44"/>
      <c r="RTC97" s="44"/>
      <c r="RTD97" s="44"/>
      <c r="RTE97" s="44"/>
      <c r="RTF97" s="44"/>
      <c r="RTG97" s="44"/>
      <c r="RTH97" s="44"/>
      <c r="RTI97" s="44"/>
      <c r="RTJ97" s="44"/>
      <c r="RTK97" s="44"/>
      <c r="RTL97" s="44"/>
      <c r="RTM97" s="44"/>
      <c r="RTN97" s="44"/>
      <c r="RTO97" s="44"/>
      <c r="RTP97" s="44"/>
      <c r="RTQ97" s="44"/>
      <c r="RTR97" s="44"/>
      <c r="RTS97" s="44"/>
      <c r="RTT97" s="44"/>
      <c r="RTU97" s="44"/>
      <c r="RTV97" s="44"/>
      <c r="RTW97" s="44"/>
      <c r="RTX97" s="44"/>
      <c r="RTY97" s="44"/>
      <c r="RTZ97" s="44"/>
      <c r="RUA97" s="44"/>
      <c r="RUB97" s="44"/>
      <c r="RUC97" s="44"/>
      <c r="RUD97" s="44"/>
      <c r="RUE97" s="44"/>
      <c r="RUF97" s="44"/>
      <c r="RUG97" s="44"/>
      <c r="RUH97" s="44"/>
      <c r="RUI97" s="44"/>
      <c r="RUJ97" s="44"/>
      <c r="RUK97" s="44"/>
      <c r="RUL97" s="44"/>
      <c r="RUM97" s="44"/>
      <c r="RUN97" s="44"/>
      <c r="RUO97" s="44"/>
      <c r="RUP97" s="44"/>
      <c r="RUQ97" s="44"/>
      <c r="RUR97" s="44"/>
      <c r="RUS97" s="44"/>
      <c r="RUT97" s="44"/>
      <c r="RUU97" s="44"/>
      <c r="RUV97" s="44"/>
      <c r="RUW97" s="44"/>
      <c r="RUX97" s="44"/>
      <c r="RUY97" s="44"/>
      <c r="RUZ97" s="44"/>
      <c r="RVA97" s="44"/>
      <c r="RVB97" s="44"/>
      <c r="RVC97" s="44"/>
      <c r="RVD97" s="44"/>
      <c r="RVE97" s="44"/>
      <c r="RVF97" s="44"/>
      <c r="RVG97" s="44"/>
      <c r="RVH97" s="44"/>
      <c r="RVI97" s="44"/>
      <c r="RVJ97" s="44"/>
      <c r="RVK97" s="44"/>
      <c r="RVL97" s="44"/>
      <c r="RVM97" s="44"/>
      <c r="RVN97" s="44"/>
      <c r="RVO97" s="44"/>
      <c r="RVP97" s="44"/>
      <c r="RVQ97" s="44"/>
      <c r="RVR97" s="44"/>
      <c r="RVS97" s="44"/>
      <c r="RVT97" s="44"/>
      <c r="RVU97" s="44"/>
      <c r="RVV97" s="44"/>
      <c r="RVW97" s="44"/>
      <c r="RVX97" s="44"/>
      <c r="RVY97" s="44"/>
      <c r="RVZ97" s="44"/>
      <c r="RWA97" s="44"/>
      <c r="RWB97" s="44"/>
      <c r="RWC97" s="44"/>
      <c r="RWD97" s="44"/>
      <c r="RWE97" s="44"/>
      <c r="RWF97" s="44"/>
      <c r="RWG97" s="44"/>
      <c r="RWH97" s="44"/>
      <c r="RWI97" s="44"/>
      <c r="RWJ97" s="44"/>
      <c r="RWK97" s="44"/>
      <c r="RWL97" s="44"/>
      <c r="RWM97" s="44"/>
      <c r="RWN97" s="44"/>
      <c r="RWO97" s="44"/>
      <c r="RWP97" s="44"/>
      <c r="RWQ97" s="44"/>
      <c r="RWR97" s="44"/>
      <c r="RWS97" s="44"/>
      <c r="RWT97" s="44"/>
      <c r="RWU97" s="44"/>
      <c r="RWV97" s="44"/>
      <c r="RWW97" s="44"/>
      <c r="RWX97" s="44"/>
      <c r="RWY97" s="44"/>
      <c r="RWZ97" s="44"/>
      <c r="RXA97" s="44"/>
      <c r="RXB97" s="44"/>
      <c r="RXC97" s="44"/>
      <c r="RXD97" s="44"/>
      <c r="RXE97" s="44"/>
      <c r="RXF97" s="44"/>
      <c r="RXG97" s="44"/>
      <c r="RXH97" s="44"/>
      <c r="RXI97" s="44"/>
      <c r="RXJ97" s="44"/>
      <c r="RXK97" s="44"/>
      <c r="RXL97" s="44"/>
      <c r="RXM97" s="44"/>
      <c r="RXN97" s="44"/>
      <c r="RXO97" s="44"/>
      <c r="RXP97" s="44"/>
      <c r="RXQ97" s="44"/>
      <c r="RXR97" s="44"/>
      <c r="RXS97" s="44"/>
      <c r="RXT97" s="44"/>
      <c r="RXU97" s="44"/>
      <c r="RXV97" s="44"/>
      <c r="RXW97" s="44"/>
      <c r="RXX97" s="44"/>
      <c r="RXY97" s="44"/>
      <c r="RXZ97" s="44"/>
      <c r="RYA97" s="44"/>
      <c r="RYB97" s="44"/>
      <c r="RYC97" s="44"/>
      <c r="RYD97" s="44"/>
      <c r="RYE97" s="44"/>
      <c r="RYF97" s="44"/>
      <c r="RYG97" s="44"/>
      <c r="RYH97" s="44"/>
      <c r="RYI97" s="44"/>
      <c r="RYJ97" s="44"/>
      <c r="RYK97" s="44"/>
      <c r="RYL97" s="44"/>
      <c r="RYM97" s="44"/>
      <c r="RYN97" s="44"/>
      <c r="RYO97" s="44"/>
      <c r="RYP97" s="44"/>
      <c r="RYQ97" s="44"/>
      <c r="RYR97" s="44"/>
      <c r="RYS97" s="44"/>
      <c r="RYT97" s="44"/>
      <c r="RYU97" s="44"/>
      <c r="RYV97" s="44"/>
      <c r="RYW97" s="44"/>
      <c r="RYX97" s="44"/>
      <c r="RYY97" s="44"/>
      <c r="RYZ97" s="44"/>
      <c r="RZA97" s="44"/>
      <c r="RZB97" s="44"/>
      <c r="RZC97" s="44"/>
      <c r="RZD97" s="44"/>
      <c r="RZE97" s="44"/>
      <c r="RZF97" s="44"/>
      <c r="RZG97" s="44"/>
      <c r="RZH97" s="44"/>
      <c r="RZI97" s="44"/>
      <c r="RZJ97" s="44"/>
      <c r="RZK97" s="44"/>
      <c r="RZL97" s="44"/>
      <c r="RZM97" s="44"/>
      <c r="RZN97" s="44"/>
      <c r="RZO97" s="44"/>
      <c r="RZP97" s="44"/>
      <c r="RZQ97" s="44"/>
      <c r="RZR97" s="44"/>
      <c r="RZS97" s="44"/>
      <c r="RZT97" s="44"/>
      <c r="RZU97" s="44"/>
      <c r="RZV97" s="44"/>
      <c r="RZW97" s="44"/>
      <c r="RZX97" s="44"/>
      <c r="RZY97" s="44"/>
      <c r="RZZ97" s="44"/>
      <c r="SAA97" s="44"/>
      <c r="SAB97" s="44"/>
      <c r="SAC97" s="44"/>
      <c r="SAD97" s="44"/>
      <c r="SAE97" s="44"/>
      <c r="SAF97" s="44"/>
      <c r="SAG97" s="44"/>
      <c r="SAH97" s="44"/>
      <c r="SAI97" s="44"/>
      <c r="SAJ97" s="44"/>
      <c r="SAK97" s="44"/>
      <c r="SAL97" s="44"/>
      <c r="SAM97" s="44"/>
      <c r="SAN97" s="44"/>
      <c r="SAO97" s="44"/>
      <c r="SAP97" s="44"/>
      <c r="SAQ97" s="44"/>
      <c r="SAR97" s="44"/>
      <c r="SAS97" s="44"/>
      <c r="SAT97" s="44"/>
      <c r="SAU97" s="44"/>
      <c r="SAV97" s="44"/>
      <c r="SAW97" s="44"/>
      <c r="SAX97" s="44"/>
      <c r="SAY97" s="44"/>
      <c r="SAZ97" s="44"/>
      <c r="SBA97" s="44"/>
      <c r="SBB97" s="44"/>
      <c r="SBC97" s="44"/>
      <c r="SBD97" s="44"/>
      <c r="SBE97" s="44"/>
      <c r="SBF97" s="44"/>
      <c r="SBG97" s="44"/>
      <c r="SBH97" s="44"/>
      <c r="SBI97" s="44"/>
      <c r="SBJ97" s="44"/>
      <c r="SBK97" s="44"/>
      <c r="SBL97" s="44"/>
      <c r="SBM97" s="44"/>
      <c r="SBN97" s="44"/>
      <c r="SBO97" s="44"/>
      <c r="SBP97" s="44"/>
      <c r="SBQ97" s="44"/>
      <c r="SBR97" s="44"/>
      <c r="SBS97" s="44"/>
      <c r="SBT97" s="44"/>
      <c r="SBU97" s="44"/>
      <c r="SBV97" s="44"/>
      <c r="SBW97" s="44"/>
      <c r="SBX97" s="44"/>
      <c r="SBY97" s="44"/>
      <c r="SBZ97" s="44"/>
      <c r="SCA97" s="44"/>
      <c r="SCB97" s="44"/>
      <c r="SCC97" s="44"/>
      <c r="SCD97" s="44"/>
      <c r="SCE97" s="44"/>
      <c r="SCF97" s="44"/>
      <c r="SCG97" s="44"/>
      <c r="SCH97" s="44"/>
      <c r="SCI97" s="44"/>
      <c r="SCJ97" s="44"/>
      <c r="SCK97" s="44"/>
      <c r="SCL97" s="44"/>
      <c r="SCM97" s="44"/>
      <c r="SCN97" s="44"/>
      <c r="SCO97" s="44"/>
      <c r="SCP97" s="44"/>
      <c r="SCQ97" s="44"/>
      <c r="SCR97" s="44"/>
      <c r="SCS97" s="44"/>
      <c r="SCT97" s="44"/>
      <c r="SCU97" s="44"/>
      <c r="SCV97" s="44"/>
      <c r="SCW97" s="44"/>
      <c r="SCX97" s="44"/>
      <c r="SCY97" s="44"/>
      <c r="SCZ97" s="44"/>
      <c r="SDA97" s="44"/>
      <c r="SDB97" s="44"/>
      <c r="SDC97" s="44"/>
      <c r="SDD97" s="44"/>
      <c r="SDE97" s="44"/>
      <c r="SDF97" s="44"/>
      <c r="SDG97" s="44"/>
      <c r="SDH97" s="44"/>
      <c r="SDI97" s="44"/>
      <c r="SDJ97" s="44"/>
      <c r="SDK97" s="44"/>
      <c r="SDL97" s="44"/>
      <c r="SDM97" s="44"/>
      <c r="SDN97" s="44"/>
      <c r="SDO97" s="44"/>
      <c r="SDP97" s="44"/>
      <c r="SDQ97" s="44"/>
      <c r="SDR97" s="44"/>
      <c r="SDS97" s="44"/>
      <c r="SDT97" s="44"/>
      <c r="SDU97" s="44"/>
      <c r="SDV97" s="44"/>
      <c r="SDW97" s="44"/>
      <c r="SDX97" s="44"/>
      <c r="SDY97" s="44"/>
      <c r="SDZ97" s="44"/>
      <c r="SEA97" s="44"/>
      <c r="SEB97" s="44"/>
      <c r="SEC97" s="44"/>
      <c r="SED97" s="44"/>
      <c r="SEE97" s="44"/>
      <c r="SEF97" s="44"/>
      <c r="SEG97" s="44"/>
      <c r="SEH97" s="44"/>
      <c r="SEI97" s="44"/>
      <c r="SEJ97" s="44"/>
      <c r="SEK97" s="44"/>
      <c r="SEL97" s="44"/>
      <c r="SEM97" s="44"/>
      <c r="SEN97" s="44"/>
      <c r="SEO97" s="44"/>
      <c r="SEP97" s="44"/>
      <c r="SEQ97" s="44"/>
      <c r="SER97" s="44"/>
      <c r="SES97" s="44"/>
      <c r="SET97" s="44"/>
      <c r="SEU97" s="44"/>
      <c r="SEV97" s="44"/>
      <c r="SEW97" s="44"/>
      <c r="SEX97" s="44"/>
      <c r="SEY97" s="44"/>
      <c r="SEZ97" s="44"/>
      <c r="SFA97" s="44"/>
      <c r="SFB97" s="44"/>
      <c r="SFC97" s="44"/>
      <c r="SFD97" s="44"/>
      <c r="SFE97" s="44"/>
      <c r="SFF97" s="44"/>
      <c r="SFG97" s="44"/>
      <c r="SFH97" s="44"/>
      <c r="SFI97" s="44"/>
      <c r="SFJ97" s="44"/>
      <c r="SFK97" s="44"/>
      <c r="SFL97" s="44"/>
      <c r="SFM97" s="44"/>
      <c r="SFN97" s="44"/>
      <c r="SFO97" s="44"/>
      <c r="SFP97" s="44"/>
      <c r="SFQ97" s="44"/>
      <c r="SFR97" s="44"/>
      <c r="SFS97" s="44"/>
      <c r="SFT97" s="44"/>
      <c r="SFU97" s="44"/>
      <c r="SFV97" s="44"/>
      <c r="SFW97" s="44"/>
      <c r="SFX97" s="44"/>
      <c r="SFY97" s="44"/>
      <c r="SFZ97" s="44"/>
      <c r="SGA97" s="44"/>
      <c r="SGB97" s="44"/>
      <c r="SGC97" s="44"/>
      <c r="SGD97" s="44"/>
      <c r="SGE97" s="44"/>
      <c r="SGF97" s="44"/>
      <c r="SGG97" s="44"/>
      <c r="SGH97" s="44"/>
      <c r="SGI97" s="44"/>
      <c r="SGJ97" s="44"/>
      <c r="SGK97" s="44"/>
      <c r="SGL97" s="44"/>
      <c r="SGM97" s="44"/>
      <c r="SGN97" s="44"/>
      <c r="SGO97" s="44"/>
      <c r="SGP97" s="44"/>
      <c r="SGQ97" s="44"/>
      <c r="SGR97" s="44"/>
      <c r="SGS97" s="44"/>
      <c r="SGT97" s="44"/>
      <c r="SGU97" s="44"/>
      <c r="SGV97" s="44"/>
      <c r="SGW97" s="44"/>
      <c r="SGX97" s="44"/>
      <c r="SGY97" s="44"/>
      <c r="SGZ97" s="44"/>
      <c r="SHA97" s="44"/>
      <c r="SHB97" s="44"/>
      <c r="SHC97" s="44"/>
      <c r="SHD97" s="44"/>
      <c r="SHE97" s="44"/>
      <c r="SHF97" s="44"/>
      <c r="SHG97" s="44"/>
      <c r="SHH97" s="44"/>
      <c r="SHI97" s="44"/>
      <c r="SHJ97" s="44"/>
      <c r="SHK97" s="44"/>
      <c r="SHL97" s="44"/>
      <c r="SHM97" s="44"/>
      <c r="SHN97" s="44"/>
      <c r="SHO97" s="44"/>
      <c r="SHP97" s="44"/>
      <c r="SHQ97" s="44"/>
      <c r="SHR97" s="44"/>
      <c r="SHS97" s="44"/>
      <c r="SHT97" s="44"/>
      <c r="SHU97" s="44"/>
      <c r="SHV97" s="44"/>
      <c r="SHW97" s="44"/>
      <c r="SHX97" s="44"/>
      <c r="SHY97" s="44"/>
      <c r="SHZ97" s="44"/>
      <c r="SIA97" s="44"/>
      <c r="SIB97" s="44"/>
      <c r="SIC97" s="44"/>
      <c r="SID97" s="44"/>
      <c r="SIE97" s="44"/>
      <c r="SIF97" s="44"/>
      <c r="SIG97" s="44"/>
      <c r="SIH97" s="44"/>
      <c r="SII97" s="44"/>
      <c r="SIJ97" s="44"/>
      <c r="SIK97" s="44"/>
      <c r="SIL97" s="44"/>
      <c r="SIM97" s="44"/>
      <c r="SIN97" s="44"/>
      <c r="SIO97" s="44"/>
      <c r="SIP97" s="44"/>
      <c r="SIQ97" s="44"/>
      <c r="SIR97" s="44"/>
      <c r="SIS97" s="44"/>
      <c r="SIT97" s="44"/>
      <c r="SIU97" s="44"/>
      <c r="SIV97" s="44"/>
      <c r="SIW97" s="44"/>
      <c r="SIX97" s="44"/>
      <c r="SIY97" s="44"/>
      <c r="SIZ97" s="44"/>
      <c r="SJA97" s="44"/>
      <c r="SJB97" s="44"/>
      <c r="SJC97" s="44"/>
      <c r="SJD97" s="44"/>
      <c r="SJE97" s="44"/>
      <c r="SJF97" s="44"/>
      <c r="SJG97" s="44"/>
      <c r="SJH97" s="44"/>
      <c r="SJI97" s="44"/>
      <c r="SJJ97" s="44"/>
      <c r="SJK97" s="44"/>
      <c r="SJL97" s="44"/>
      <c r="SJM97" s="44"/>
      <c r="SJN97" s="44"/>
      <c r="SJO97" s="44"/>
      <c r="SJP97" s="44"/>
      <c r="SJQ97" s="44"/>
      <c r="SJR97" s="44"/>
      <c r="SJS97" s="44"/>
      <c r="SJT97" s="44"/>
      <c r="SJU97" s="44"/>
      <c r="SJV97" s="44"/>
      <c r="SJW97" s="44"/>
      <c r="SJX97" s="44"/>
      <c r="SJY97" s="44"/>
      <c r="SJZ97" s="44"/>
      <c r="SKA97" s="44"/>
      <c r="SKB97" s="44"/>
      <c r="SKC97" s="44"/>
      <c r="SKD97" s="44"/>
      <c r="SKE97" s="44"/>
      <c r="SKF97" s="44"/>
      <c r="SKG97" s="44"/>
      <c r="SKH97" s="44"/>
      <c r="SKI97" s="44"/>
      <c r="SKJ97" s="44"/>
      <c r="SKK97" s="44"/>
      <c r="SKL97" s="44"/>
      <c r="SKM97" s="44"/>
      <c r="SKN97" s="44"/>
      <c r="SKO97" s="44"/>
      <c r="SKP97" s="44"/>
      <c r="SKQ97" s="44"/>
      <c r="SKR97" s="44"/>
      <c r="SKS97" s="44"/>
      <c r="SKT97" s="44"/>
      <c r="SKU97" s="44"/>
      <c r="SKV97" s="44"/>
      <c r="SKW97" s="44"/>
      <c r="SKX97" s="44"/>
      <c r="SKY97" s="44"/>
      <c r="SKZ97" s="44"/>
      <c r="SLA97" s="44"/>
      <c r="SLB97" s="44"/>
      <c r="SLC97" s="44"/>
      <c r="SLD97" s="44"/>
      <c r="SLE97" s="44"/>
      <c r="SLF97" s="44"/>
      <c r="SLG97" s="44"/>
      <c r="SLH97" s="44"/>
      <c r="SLI97" s="44"/>
      <c r="SLJ97" s="44"/>
      <c r="SLK97" s="44"/>
      <c r="SLL97" s="44"/>
      <c r="SLM97" s="44"/>
      <c r="SLN97" s="44"/>
      <c r="SLO97" s="44"/>
      <c r="SLP97" s="44"/>
      <c r="SLQ97" s="44"/>
      <c r="SLR97" s="44"/>
      <c r="SLS97" s="44"/>
      <c r="SLT97" s="44"/>
      <c r="SLU97" s="44"/>
      <c r="SLV97" s="44"/>
      <c r="SLW97" s="44"/>
      <c r="SLX97" s="44"/>
      <c r="SLY97" s="44"/>
      <c r="SLZ97" s="44"/>
      <c r="SMA97" s="44"/>
      <c r="SMB97" s="44"/>
      <c r="SMC97" s="44"/>
      <c r="SMD97" s="44"/>
      <c r="SME97" s="44"/>
      <c r="SMF97" s="44"/>
      <c r="SMG97" s="44"/>
      <c r="SMH97" s="44"/>
      <c r="SMI97" s="44"/>
      <c r="SMJ97" s="44"/>
      <c r="SMK97" s="44"/>
      <c r="SML97" s="44"/>
      <c r="SMM97" s="44"/>
      <c r="SMN97" s="44"/>
      <c r="SMO97" s="44"/>
      <c r="SMP97" s="44"/>
      <c r="SMQ97" s="44"/>
      <c r="SMR97" s="44"/>
      <c r="SMS97" s="44"/>
      <c r="SMT97" s="44"/>
      <c r="SMU97" s="44"/>
      <c r="SMV97" s="44"/>
      <c r="SMW97" s="44"/>
      <c r="SMX97" s="44"/>
      <c r="SMY97" s="44"/>
      <c r="SMZ97" s="44"/>
      <c r="SNA97" s="44"/>
      <c r="SNB97" s="44"/>
      <c r="SNC97" s="44"/>
      <c r="SND97" s="44"/>
      <c r="SNE97" s="44"/>
      <c r="SNF97" s="44"/>
      <c r="SNG97" s="44"/>
      <c r="SNH97" s="44"/>
      <c r="SNI97" s="44"/>
      <c r="SNJ97" s="44"/>
      <c r="SNK97" s="44"/>
      <c r="SNL97" s="44"/>
      <c r="SNM97" s="44"/>
      <c r="SNN97" s="44"/>
      <c r="SNO97" s="44"/>
      <c r="SNP97" s="44"/>
      <c r="SNQ97" s="44"/>
      <c r="SNR97" s="44"/>
      <c r="SNS97" s="44"/>
      <c r="SNT97" s="44"/>
      <c r="SNU97" s="44"/>
      <c r="SNV97" s="44"/>
      <c r="SNW97" s="44"/>
      <c r="SNX97" s="44"/>
      <c r="SNY97" s="44"/>
      <c r="SNZ97" s="44"/>
      <c r="SOA97" s="44"/>
      <c r="SOB97" s="44"/>
      <c r="SOC97" s="44"/>
      <c r="SOD97" s="44"/>
      <c r="SOE97" s="44"/>
      <c r="SOF97" s="44"/>
      <c r="SOG97" s="44"/>
      <c r="SOH97" s="44"/>
      <c r="SOI97" s="44"/>
      <c r="SOJ97" s="44"/>
      <c r="SOK97" s="44"/>
      <c r="SOL97" s="44"/>
      <c r="SOM97" s="44"/>
      <c r="SON97" s="44"/>
      <c r="SOO97" s="44"/>
      <c r="SOP97" s="44"/>
      <c r="SOQ97" s="44"/>
      <c r="SOR97" s="44"/>
      <c r="SOS97" s="44"/>
      <c r="SOT97" s="44"/>
      <c r="SOU97" s="44"/>
      <c r="SOV97" s="44"/>
      <c r="SOW97" s="44"/>
      <c r="SOX97" s="44"/>
      <c r="SOY97" s="44"/>
      <c r="SOZ97" s="44"/>
      <c r="SPA97" s="44"/>
      <c r="SPB97" s="44"/>
      <c r="SPC97" s="44"/>
      <c r="SPD97" s="44"/>
      <c r="SPE97" s="44"/>
      <c r="SPF97" s="44"/>
      <c r="SPG97" s="44"/>
      <c r="SPH97" s="44"/>
      <c r="SPI97" s="44"/>
      <c r="SPJ97" s="44"/>
      <c r="SPK97" s="44"/>
      <c r="SPL97" s="44"/>
      <c r="SPM97" s="44"/>
      <c r="SPN97" s="44"/>
      <c r="SPO97" s="44"/>
      <c r="SPP97" s="44"/>
      <c r="SPQ97" s="44"/>
      <c r="SPR97" s="44"/>
      <c r="SPS97" s="44"/>
      <c r="SPT97" s="44"/>
      <c r="SPU97" s="44"/>
      <c r="SPV97" s="44"/>
      <c r="SPW97" s="44"/>
      <c r="SPX97" s="44"/>
      <c r="SPY97" s="44"/>
      <c r="SPZ97" s="44"/>
      <c r="SQA97" s="44"/>
      <c r="SQB97" s="44"/>
      <c r="SQC97" s="44"/>
      <c r="SQD97" s="44"/>
      <c r="SQE97" s="44"/>
      <c r="SQF97" s="44"/>
      <c r="SQG97" s="44"/>
      <c r="SQH97" s="44"/>
      <c r="SQI97" s="44"/>
      <c r="SQJ97" s="44"/>
      <c r="SQK97" s="44"/>
      <c r="SQL97" s="44"/>
      <c r="SQM97" s="44"/>
      <c r="SQN97" s="44"/>
      <c r="SQO97" s="44"/>
      <c r="SQP97" s="44"/>
      <c r="SQQ97" s="44"/>
      <c r="SQR97" s="44"/>
      <c r="SQS97" s="44"/>
      <c r="SQT97" s="44"/>
      <c r="SQU97" s="44"/>
      <c r="SQV97" s="44"/>
      <c r="SQW97" s="44"/>
      <c r="SQX97" s="44"/>
      <c r="SQY97" s="44"/>
      <c r="SQZ97" s="44"/>
      <c r="SRA97" s="44"/>
      <c r="SRB97" s="44"/>
      <c r="SRC97" s="44"/>
      <c r="SRD97" s="44"/>
      <c r="SRE97" s="44"/>
      <c r="SRF97" s="44"/>
      <c r="SRG97" s="44"/>
      <c r="SRH97" s="44"/>
      <c r="SRI97" s="44"/>
      <c r="SRJ97" s="44"/>
      <c r="SRK97" s="44"/>
      <c r="SRL97" s="44"/>
      <c r="SRM97" s="44"/>
      <c r="SRN97" s="44"/>
      <c r="SRO97" s="44"/>
      <c r="SRP97" s="44"/>
      <c r="SRQ97" s="44"/>
      <c r="SRR97" s="44"/>
      <c r="SRS97" s="44"/>
      <c r="SRT97" s="44"/>
      <c r="SRU97" s="44"/>
      <c r="SRV97" s="44"/>
      <c r="SRW97" s="44"/>
      <c r="SRX97" s="44"/>
      <c r="SRY97" s="44"/>
      <c r="SRZ97" s="44"/>
      <c r="SSA97" s="44"/>
      <c r="SSB97" s="44"/>
      <c r="SSC97" s="44"/>
      <c r="SSD97" s="44"/>
      <c r="SSE97" s="44"/>
      <c r="SSF97" s="44"/>
      <c r="SSG97" s="44"/>
      <c r="SSH97" s="44"/>
      <c r="SSI97" s="44"/>
      <c r="SSJ97" s="44"/>
      <c r="SSK97" s="44"/>
      <c r="SSL97" s="44"/>
      <c r="SSM97" s="44"/>
      <c r="SSN97" s="44"/>
      <c r="SSO97" s="44"/>
      <c r="SSP97" s="44"/>
      <c r="SSQ97" s="44"/>
      <c r="SSR97" s="44"/>
      <c r="SSS97" s="44"/>
      <c r="SST97" s="44"/>
      <c r="SSU97" s="44"/>
      <c r="SSV97" s="44"/>
      <c r="SSW97" s="44"/>
      <c r="SSX97" s="44"/>
      <c r="SSY97" s="44"/>
      <c r="SSZ97" s="44"/>
      <c r="STA97" s="44"/>
      <c r="STB97" s="44"/>
      <c r="STC97" s="44"/>
      <c r="STD97" s="44"/>
      <c r="STE97" s="44"/>
      <c r="STF97" s="44"/>
      <c r="STG97" s="44"/>
      <c r="STH97" s="44"/>
      <c r="STI97" s="44"/>
      <c r="STJ97" s="44"/>
      <c r="STK97" s="44"/>
      <c r="STL97" s="44"/>
      <c r="STM97" s="44"/>
      <c r="STN97" s="44"/>
      <c r="STO97" s="44"/>
      <c r="STP97" s="44"/>
      <c r="STQ97" s="44"/>
      <c r="STR97" s="44"/>
      <c r="STS97" s="44"/>
      <c r="STT97" s="44"/>
      <c r="STU97" s="44"/>
      <c r="STV97" s="44"/>
      <c r="STW97" s="44"/>
      <c r="STX97" s="44"/>
      <c r="STY97" s="44"/>
      <c r="STZ97" s="44"/>
      <c r="SUA97" s="44"/>
      <c r="SUB97" s="44"/>
      <c r="SUC97" s="44"/>
      <c r="SUD97" s="44"/>
      <c r="SUE97" s="44"/>
      <c r="SUF97" s="44"/>
      <c r="SUG97" s="44"/>
      <c r="SUH97" s="44"/>
      <c r="SUI97" s="44"/>
      <c r="SUJ97" s="44"/>
      <c r="SUK97" s="44"/>
      <c r="SUL97" s="44"/>
      <c r="SUM97" s="44"/>
      <c r="SUN97" s="44"/>
      <c r="SUO97" s="44"/>
      <c r="SUP97" s="44"/>
      <c r="SUQ97" s="44"/>
      <c r="SUR97" s="44"/>
      <c r="SUS97" s="44"/>
      <c r="SUT97" s="44"/>
      <c r="SUU97" s="44"/>
      <c r="SUV97" s="44"/>
      <c r="SUW97" s="44"/>
      <c r="SUX97" s="44"/>
      <c r="SUY97" s="44"/>
      <c r="SUZ97" s="44"/>
      <c r="SVA97" s="44"/>
      <c r="SVB97" s="44"/>
      <c r="SVC97" s="44"/>
      <c r="SVD97" s="44"/>
      <c r="SVE97" s="44"/>
      <c r="SVF97" s="44"/>
      <c r="SVG97" s="44"/>
      <c r="SVH97" s="44"/>
      <c r="SVI97" s="44"/>
      <c r="SVJ97" s="44"/>
      <c r="SVK97" s="44"/>
      <c r="SVL97" s="44"/>
      <c r="SVM97" s="44"/>
      <c r="SVN97" s="44"/>
      <c r="SVO97" s="44"/>
      <c r="SVP97" s="44"/>
      <c r="SVQ97" s="44"/>
      <c r="SVR97" s="44"/>
      <c r="SVS97" s="44"/>
      <c r="SVT97" s="44"/>
      <c r="SVU97" s="44"/>
      <c r="SVV97" s="44"/>
      <c r="SVW97" s="44"/>
      <c r="SVX97" s="44"/>
      <c r="SVY97" s="44"/>
      <c r="SVZ97" s="44"/>
      <c r="SWA97" s="44"/>
      <c r="SWB97" s="44"/>
      <c r="SWC97" s="44"/>
      <c r="SWD97" s="44"/>
      <c r="SWE97" s="44"/>
      <c r="SWF97" s="44"/>
      <c r="SWG97" s="44"/>
      <c r="SWH97" s="44"/>
      <c r="SWI97" s="44"/>
      <c r="SWJ97" s="44"/>
      <c r="SWK97" s="44"/>
      <c r="SWL97" s="44"/>
      <c r="SWM97" s="44"/>
      <c r="SWN97" s="44"/>
      <c r="SWO97" s="44"/>
      <c r="SWP97" s="44"/>
      <c r="SWQ97" s="44"/>
      <c r="SWR97" s="44"/>
      <c r="SWS97" s="44"/>
      <c r="SWT97" s="44"/>
      <c r="SWU97" s="44"/>
      <c r="SWV97" s="44"/>
      <c r="SWW97" s="44"/>
      <c r="SWX97" s="44"/>
      <c r="SWY97" s="44"/>
      <c r="SWZ97" s="44"/>
      <c r="SXA97" s="44"/>
      <c r="SXB97" s="44"/>
      <c r="SXC97" s="44"/>
      <c r="SXD97" s="44"/>
      <c r="SXE97" s="44"/>
      <c r="SXF97" s="44"/>
      <c r="SXG97" s="44"/>
      <c r="SXH97" s="44"/>
      <c r="SXI97" s="44"/>
      <c r="SXJ97" s="44"/>
      <c r="SXK97" s="44"/>
      <c r="SXL97" s="44"/>
      <c r="SXM97" s="44"/>
      <c r="SXN97" s="44"/>
      <c r="SXO97" s="44"/>
      <c r="SXP97" s="44"/>
      <c r="SXQ97" s="44"/>
      <c r="SXR97" s="44"/>
      <c r="SXS97" s="44"/>
      <c r="SXT97" s="44"/>
      <c r="SXU97" s="44"/>
      <c r="SXV97" s="44"/>
      <c r="SXW97" s="44"/>
      <c r="SXX97" s="44"/>
      <c r="SXY97" s="44"/>
      <c r="SXZ97" s="44"/>
      <c r="SYA97" s="44"/>
      <c r="SYB97" s="44"/>
      <c r="SYC97" s="44"/>
      <c r="SYD97" s="44"/>
      <c r="SYE97" s="44"/>
      <c r="SYF97" s="44"/>
      <c r="SYG97" s="44"/>
      <c r="SYH97" s="44"/>
      <c r="SYI97" s="44"/>
      <c r="SYJ97" s="44"/>
      <c r="SYK97" s="44"/>
      <c r="SYL97" s="44"/>
      <c r="SYM97" s="44"/>
      <c r="SYN97" s="44"/>
      <c r="SYO97" s="44"/>
      <c r="SYP97" s="44"/>
      <c r="SYQ97" s="44"/>
      <c r="SYR97" s="44"/>
      <c r="SYS97" s="44"/>
      <c r="SYT97" s="44"/>
      <c r="SYU97" s="44"/>
      <c r="SYV97" s="44"/>
      <c r="SYW97" s="44"/>
      <c r="SYX97" s="44"/>
      <c r="SYY97" s="44"/>
      <c r="SYZ97" s="44"/>
      <c r="SZA97" s="44"/>
      <c r="SZB97" s="44"/>
      <c r="SZC97" s="44"/>
      <c r="SZD97" s="44"/>
      <c r="SZE97" s="44"/>
      <c r="SZF97" s="44"/>
      <c r="SZG97" s="44"/>
      <c r="SZH97" s="44"/>
      <c r="SZI97" s="44"/>
      <c r="SZJ97" s="44"/>
      <c r="SZK97" s="44"/>
      <c r="SZL97" s="44"/>
      <c r="SZM97" s="44"/>
      <c r="SZN97" s="44"/>
      <c r="SZO97" s="44"/>
      <c r="SZP97" s="44"/>
      <c r="SZQ97" s="44"/>
      <c r="SZR97" s="44"/>
      <c r="SZS97" s="44"/>
      <c r="SZT97" s="44"/>
      <c r="SZU97" s="44"/>
      <c r="SZV97" s="44"/>
      <c r="SZW97" s="44"/>
      <c r="SZX97" s="44"/>
      <c r="SZY97" s="44"/>
      <c r="SZZ97" s="44"/>
      <c r="TAA97" s="44"/>
      <c r="TAB97" s="44"/>
      <c r="TAC97" s="44"/>
      <c r="TAD97" s="44"/>
      <c r="TAE97" s="44"/>
      <c r="TAF97" s="44"/>
      <c r="TAG97" s="44"/>
      <c r="TAH97" s="44"/>
      <c r="TAI97" s="44"/>
      <c r="TAJ97" s="44"/>
      <c r="TAK97" s="44"/>
      <c r="TAL97" s="44"/>
      <c r="TAM97" s="44"/>
      <c r="TAN97" s="44"/>
      <c r="TAO97" s="44"/>
      <c r="TAP97" s="44"/>
      <c r="TAQ97" s="44"/>
      <c r="TAR97" s="44"/>
      <c r="TAS97" s="44"/>
      <c r="TAT97" s="44"/>
      <c r="TAU97" s="44"/>
      <c r="TAV97" s="44"/>
      <c r="TAW97" s="44"/>
      <c r="TAX97" s="44"/>
      <c r="TAY97" s="44"/>
      <c r="TAZ97" s="44"/>
      <c r="TBA97" s="44"/>
      <c r="TBB97" s="44"/>
      <c r="TBC97" s="44"/>
      <c r="TBD97" s="44"/>
      <c r="TBE97" s="44"/>
      <c r="TBF97" s="44"/>
      <c r="TBG97" s="44"/>
      <c r="TBH97" s="44"/>
      <c r="TBI97" s="44"/>
      <c r="TBJ97" s="44"/>
      <c r="TBK97" s="44"/>
      <c r="TBL97" s="44"/>
      <c r="TBM97" s="44"/>
      <c r="TBN97" s="44"/>
      <c r="TBO97" s="44"/>
      <c r="TBP97" s="44"/>
      <c r="TBQ97" s="44"/>
      <c r="TBR97" s="44"/>
      <c r="TBS97" s="44"/>
      <c r="TBT97" s="44"/>
      <c r="TBU97" s="44"/>
      <c r="TBV97" s="44"/>
      <c r="TBW97" s="44"/>
      <c r="TBX97" s="44"/>
      <c r="TBY97" s="44"/>
      <c r="TBZ97" s="44"/>
      <c r="TCA97" s="44"/>
      <c r="TCB97" s="44"/>
      <c r="TCC97" s="44"/>
      <c r="TCD97" s="44"/>
      <c r="TCE97" s="44"/>
      <c r="TCF97" s="44"/>
      <c r="TCG97" s="44"/>
      <c r="TCH97" s="44"/>
      <c r="TCI97" s="44"/>
      <c r="TCJ97" s="44"/>
      <c r="TCK97" s="44"/>
      <c r="TCL97" s="44"/>
      <c r="TCM97" s="44"/>
      <c r="TCN97" s="44"/>
      <c r="TCO97" s="44"/>
      <c r="TCP97" s="44"/>
      <c r="TCQ97" s="44"/>
      <c r="TCR97" s="44"/>
      <c r="TCS97" s="44"/>
      <c r="TCT97" s="44"/>
      <c r="TCU97" s="44"/>
      <c r="TCV97" s="44"/>
      <c r="TCW97" s="44"/>
      <c r="TCX97" s="44"/>
      <c r="TCY97" s="44"/>
      <c r="TCZ97" s="44"/>
      <c r="TDA97" s="44"/>
      <c r="TDB97" s="44"/>
      <c r="TDC97" s="44"/>
      <c r="TDD97" s="44"/>
      <c r="TDE97" s="44"/>
      <c r="TDF97" s="44"/>
      <c r="TDG97" s="44"/>
      <c r="TDH97" s="44"/>
      <c r="TDI97" s="44"/>
      <c r="TDJ97" s="44"/>
      <c r="TDK97" s="44"/>
      <c r="TDL97" s="44"/>
      <c r="TDM97" s="44"/>
      <c r="TDN97" s="44"/>
      <c r="TDO97" s="44"/>
      <c r="TDP97" s="44"/>
      <c r="TDQ97" s="44"/>
      <c r="TDR97" s="44"/>
      <c r="TDS97" s="44"/>
      <c r="TDT97" s="44"/>
      <c r="TDU97" s="44"/>
      <c r="TDV97" s="44"/>
      <c r="TDW97" s="44"/>
      <c r="TDX97" s="44"/>
      <c r="TDY97" s="44"/>
      <c r="TDZ97" s="44"/>
      <c r="TEA97" s="44"/>
      <c r="TEB97" s="44"/>
      <c r="TEC97" s="44"/>
      <c r="TED97" s="44"/>
      <c r="TEE97" s="44"/>
      <c r="TEF97" s="44"/>
      <c r="TEG97" s="44"/>
      <c r="TEH97" s="44"/>
      <c r="TEI97" s="44"/>
      <c r="TEJ97" s="44"/>
      <c r="TEK97" s="44"/>
      <c r="TEL97" s="44"/>
      <c r="TEM97" s="44"/>
      <c r="TEN97" s="44"/>
      <c r="TEO97" s="44"/>
      <c r="TEP97" s="44"/>
      <c r="TEQ97" s="44"/>
      <c r="TER97" s="44"/>
      <c r="TES97" s="44"/>
      <c r="TET97" s="44"/>
      <c r="TEU97" s="44"/>
      <c r="TEV97" s="44"/>
      <c r="TEW97" s="44"/>
      <c r="TEX97" s="44"/>
      <c r="TEY97" s="44"/>
      <c r="TEZ97" s="44"/>
      <c r="TFA97" s="44"/>
      <c r="TFB97" s="44"/>
      <c r="TFC97" s="44"/>
      <c r="TFD97" s="44"/>
      <c r="TFE97" s="44"/>
      <c r="TFF97" s="44"/>
      <c r="TFG97" s="44"/>
      <c r="TFH97" s="44"/>
      <c r="TFI97" s="44"/>
      <c r="TFJ97" s="44"/>
      <c r="TFK97" s="44"/>
      <c r="TFL97" s="44"/>
      <c r="TFM97" s="44"/>
      <c r="TFN97" s="44"/>
      <c r="TFO97" s="44"/>
      <c r="TFP97" s="44"/>
      <c r="TFQ97" s="44"/>
      <c r="TFR97" s="44"/>
      <c r="TFS97" s="44"/>
      <c r="TFT97" s="44"/>
      <c r="TFU97" s="44"/>
      <c r="TFV97" s="44"/>
      <c r="TFW97" s="44"/>
      <c r="TFX97" s="44"/>
      <c r="TFY97" s="44"/>
      <c r="TFZ97" s="44"/>
      <c r="TGA97" s="44"/>
      <c r="TGB97" s="44"/>
      <c r="TGC97" s="44"/>
      <c r="TGD97" s="44"/>
      <c r="TGE97" s="44"/>
      <c r="TGF97" s="44"/>
      <c r="TGG97" s="44"/>
      <c r="TGH97" s="44"/>
      <c r="TGI97" s="44"/>
      <c r="TGJ97" s="44"/>
      <c r="TGK97" s="44"/>
      <c r="TGL97" s="44"/>
      <c r="TGM97" s="44"/>
      <c r="TGN97" s="44"/>
      <c r="TGO97" s="44"/>
      <c r="TGP97" s="44"/>
      <c r="TGQ97" s="44"/>
      <c r="TGR97" s="44"/>
      <c r="TGS97" s="44"/>
      <c r="TGT97" s="44"/>
      <c r="TGU97" s="44"/>
      <c r="TGV97" s="44"/>
      <c r="TGW97" s="44"/>
      <c r="TGX97" s="44"/>
      <c r="TGY97" s="44"/>
      <c r="TGZ97" s="44"/>
      <c r="THA97" s="44"/>
      <c r="THB97" s="44"/>
      <c r="THC97" s="44"/>
      <c r="THD97" s="44"/>
      <c r="THE97" s="44"/>
      <c r="THF97" s="44"/>
      <c r="THG97" s="44"/>
      <c r="THH97" s="44"/>
      <c r="THI97" s="44"/>
      <c r="THJ97" s="44"/>
      <c r="THK97" s="44"/>
      <c r="THL97" s="44"/>
      <c r="THM97" s="44"/>
      <c r="THN97" s="44"/>
      <c r="THO97" s="44"/>
      <c r="THP97" s="44"/>
      <c r="THQ97" s="44"/>
      <c r="THR97" s="44"/>
      <c r="THS97" s="44"/>
      <c r="THT97" s="44"/>
      <c r="THU97" s="44"/>
      <c r="THV97" s="44"/>
      <c r="THW97" s="44"/>
      <c r="THX97" s="44"/>
      <c r="THY97" s="44"/>
      <c r="THZ97" s="44"/>
      <c r="TIA97" s="44"/>
      <c r="TIB97" s="44"/>
      <c r="TIC97" s="44"/>
      <c r="TID97" s="44"/>
      <c r="TIE97" s="44"/>
      <c r="TIF97" s="44"/>
      <c r="TIG97" s="44"/>
      <c r="TIH97" s="44"/>
      <c r="TII97" s="44"/>
      <c r="TIJ97" s="44"/>
      <c r="TIK97" s="44"/>
      <c r="TIL97" s="44"/>
      <c r="TIM97" s="44"/>
      <c r="TIN97" s="44"/>
      <c r="TIO97" s="44"/>
      <c r="TIP97" s="44"/>
      <c r="TIQ97" s="44"/>
      <c r="TIR97" s="44"/>
      <c r="TIS97" s="44"/>
      <c r="TIT97" s="44"/>
      <c r="TIU97" s="44"/>
      <c r="TIV97" s="44"/>
      <c r="TIW97" s="44"/>
      <c r="TIX97" s="44"/>
      <c r="TIY97" s="44"/>
      <c r="TIZ97" s="44"/>
      <c r="TJA97" s="44"/>
      <c r="TJB97" s="44"/>
      <c r="TJC97" s="44"/>
      <c r="TJD97" s="44"/>
      <c r="TJE97" s="44"/>
      <c r="TJF97" s="44"/>
      <c r="TJG97" s="44"/>
      <c r="TJH97" s="44"/>
      <c r="TJI97" s="44"/>
      <c r="TJJ97" s="44"/>
      <c r="TJK97" s="44"/>
      <c r="TJL97" s="44"/>
      <c r="TJM97" s="44"/>
      <c r="TJN97" s="44"/>
      <c r="TJO97" s="44"/>
      <c r="TJP97" s="44"/>
      <c r="TJQ97" s="44"/>
      <c r="TJR97" s="44"/>
      <c r="TJS97" s="44"/>
      <c r="TJT97" s="44"/>
      <c r="TJU97" s="44"/>
      <c r="TJV97" s="44"/>
      <c r="TJW97" s="44"/>
      <c r="TJX97" s="44"/>
      <c r="TJY97" s="44"/>
      <c r="TJZ97" s="44"/>
      <c r="TKA97" s="44"/>
      <c r="TKB97" s="44"/>
      <c r="TKC97" s="44"/>
      <c r="TKD97" s="44"/>
      <c r="TKE97" s="44"/>
      <c r="TKF97" s="44"/>
      <c r="TKG97" s="44"/>
      <c r="TKH97" s="44"/>
      <c r="TKI97" s="44"/>
      <c r="TKJ97" s="44"/>
      <c r="TKK97" s="44"/>
      <c r="TKL97" s="44"/>
      <c r="TKM97" s="44"/>
      <c r="TKN97" s="44"/>
      <c r="TKO97" s="44"/>
      <c r="TKP97" s="44"/>
      <c r="TKQ97" s="44"/>
      <c r="TKR97" s="44"/>
      <c r="TKS97" s="44"/>
      <c r="TKT97" s="44"/>
      <c r="TKU97" s="44"/>
      <c r="TKV97" s="44"/>
      <c r="TKW97" s="44"/>
      <c r="TKX97" s="44"/>
      <c r="TKY97" s="44"/>
      <c r="TKZ97" s="44"/>
      <c r="TLA97" s="44"/>
      <c r="TLB97" s="44"/>
      <c r="TLC97" s="44"/>
      <c r="TLD97" s="44"/>
      <c r="TLE97" s="44"/>
      <c r="TLF97" s="44"/>
      <c r="TLG97" s="44"/>
      <c r="TLH97" s="44"/>
      <c r="TLI97" s="44"/>
      <c r="TLJ97" s="44"/>
      <c r="TLK97" s="44"/>
      <c r="TLL97" s="44"/>
      <c r="TLM97" s="44"/>
      <c r="TLN97" s="44"/>
      <c r="TLO97" s="44"/>
      <c r="TLP97" s="44"/>
      <c r="TLQ97" s="44"/>
      <c r="TLR97" s="44"/>
      <c r="TLS97" s="44"/>
      <c r="TLT97" s="44"/>
      <c r="TLU97" s="44"/>
      <c r="TLV97" s="44"/>
      <c r="TLW97" s="44"/>
      <c r="TLX97" s="44"/>
      <c r="TLY97" s="44"/>
      <c r="TLZ97" s="44"/>
      <c r="TMA97" s="44"/>
      <c r="TMB97" s="44"/>
      <c r="TMC97" s="44"/>
      <c r="TMD97" s="44"/>
      <c r="TME97" s="44"/>
      <c r="TMF97" s="44"/>
      <c r="TMG97" s="44"/>
      <c r="TMH97" s="44"/>
      <c r="TMI97" s="44"/>
      <c r="TMJ97" s="44"/>
      <c r="TMK97" s="44"/>
      <c r="TML97" s="44"/>
      <c r="TMM97" s="44"/>
      <c r="TMN97" s="44"/>
      <c r="TMO97" s="44"/>
      <c r="TMP97" s="44"/>
      <c r="TMQ97" s="44"/>
      <c r="TMR97" s="44"/>
      <c r="TMS97" s="44"/>
      <c r="TMT97" s="44"/>
      <c r="TMU97" s="44"/>
      <c r="TMV97" s="44"/>
      <c r="TMW97" s="44"/>
      <c r="TMX97" s="44"/>
      <c r="TMY97" s="44"/>
      <c r="TMZ97" s="44"/>
      <c r="TNA97" s="44"/>
      <c r="TNB97" s="44"/>
      <c r="TNC97" s="44"/>
      <c r="TND97" s="44"/>
      <c r="TNE97" s="44"/>
      <c r="TNF97" s="44"/>
      <c r="TNG97" s="44"/>
      <c r="TNH97" s="44"/>
      <c r="TNI97" s="44"/>
      <c r="TNJ97" s="44"/>
      <c r="TNK97" s="44"/>
      <c r="TNL97" s="44"/>
      <c r="TNM97" s="44"/>
      <c r="TNN97" s="44"/>
      <c r="TNO97" s="44"/>
      <c r="TNP97" s="44"/>
      <c r="TNQ97" s="44"/>
      <c r="TNR97" s="44"/>
      <c r="TNS97" s="44"/>
      <c r="TNT97" s="44"/>
      <c r="TNU97" s="44"/>
      <c r="TNV97" s="44"/>
      <c r="TNW97" s="44"/>
      <c r="TNX97" s="44"/>
      <c r="TNY97" s="44"/>
      <c r="TNZ97" s="44"/>
      <c r="TOA97" s="44"/>
      <c r="TOB97" s="44"/>
      <c r="TOC97" s="44"/>
      <c r="TOD97" s="44"/>
      <c r="TOE97" s="44"/>
      <c r="TOF97" s="44"/>
      <c r="TOG97" s="44"/>
      <c r="TOH97" s="44"/>
      <c r="TOI97" s="44"/>
      <c r="TOJ97" s="44"/>
      <c r="TOK97" s="44"/>
      <c r="TOL97" s="44"/>
      <c r="TOM97" s="44"/>
      <c r="TON97" s="44"/>
      <c r="TOO97" s="44"/>
      <c r="TOP97" s="44"/>
      <c r="TOQ97" s="44"/>
      <c r="TOR97" s="44"/>
      <c r="TOS97" s="44"/>
      <c r="TOT97" s="44"/>
      <c r="TOU97" s="44"/>
      <c r="TOV97" s="44"/>
      <c r="TOW97" s="44"/>
      <c r="TOX97" s="44"/>
      <c r="TOY97" s="44"/>
      <c r="TOZ97" s="44"/>
      <c r="TPA97" s="44"/>
      <c r="TPB97" s="44"/>
      <c r="TPC97" s="44"/>
      <c r="TPD97" s="44"/>
      <c r="TPE97" s="44"/>
      <c r="TPF97" s="44"/>
      <c r="TPG97" s="44"/>
      <c r="TPH97" s="44"/>
      <c r="TPI97" s="44"/>
      <c r="TPJ97" s="44"/>
      <c r="TPK97" s="44"/>
      <c r="TPL97" s="44"/>
      <c r="TPM97" s="44"/>
      <c r="TPN97" s="44"/>
      <c r="TPO97" s="44"/>
      <c r="TPP97" s="44"/>
      <c r="TPQ97" s="44"/>
      <c r="TPR97" s="44"/>
      <c r="TPS97" s="44"/>
      <c r="TPT97" s="44"/>
      <c r="TPU97" s="44"/>
      <c r="TPV97" s="44"/>
      <c r="TPW97" s="44"/>
      <c r="TPX97" s="44"/>
      <c r="TPY97" s="44"/>
      <c r="TPZ97" s="44"/>
      <c r="TQA97" s="44"/>
      <c r="TQB97" s="44"/>
      <c r="TQC97" s="44"/>
      <c r="TQD97" s="44"/>
      <c r="TQE97" s="44"/>
      <c r="TQF97" s="44"/>
      <c r="TQG97" s="44"/>
      <c r="TQH97" s="44"/>
      <c r="TQI97" s="44"/>
      <c r="TQJ97" s="44"/>
      <c r="TQK97" s="44"/>
      <c r="TQL97" s="44"/>
      <c r="TQM97" s="44"/>
      <c r="TQN97" s="44"/>
      <c r="TQO97" s="44"/>
      <c r="TQP97" s="44"/>
      <c r="TQQ97" s="44"/>
      <c r="TQR97" s="44"/>
      <c r="TQS97" s="44"/>
      <c r="TQT97" s="44"/>
      <c r="TQU97" s="44"/>
      <c r="TQV97" s="44"/>
      <c r="TQW97" s="44"/>
      <c r="TQX97" s="44"/>
      <c r="TQY97" s="44"/>
      <c r="TQZ97" s="44"/>
      <c r="TRA97" s="44"/>
      <c r="TRB97" s="44"/>
      <c r="TRC97" s="44"/>
      <c r="TRD97" s="44"/>
      <c r="TRE97" s="44"/>
      <c r="TRF97" s="44"/>
      <c r="TRG97" s="44"/>
      <c r="TRH97" s="44"/>
      <c r="TRI97" s="44"/>
      <c r="TRJ97" s="44"/>
      <c r="TRK97" s="44"/>
      <c r="TRL97" s="44"/>
      <c r="TRM97" s="44"/>
      <c r="TRN97" s="44"/>
      <c r="TRO97" s="44"/>
      <c r="TRP97" s="44"/>
      <c r="TRQ97" s="44"/>
      <c r="TRR97" s="44"/>
      <c r="TRS97" s="44"/>
      <c r="TRT97" s="44"/>
      <c r="TRU97" s="44"/>
      <c r="TRV97" s="44"/>
      <c r="TRW97" s="44"/>
      <c r="TRX97" s="44"/>
      <c r="TRY97" s="44"/>
      <c r="TRZ97" s="44"/>
      <c r="TSA97" s="44"/>
      <c r="TSB97" s="44"/>
      <c r="TSC97" s="44"/>
      <c r="TSD97" s="44"/>
      <c r="TSE97" s="44"/>
      <c r="TSF97" s="44"/>
      <c r="TSG97" s="44"/>
      <c r="TSH97" s="44"/>
      <c r="TSI97" s="44"/>
      <c r="TSJ97" s="44"/>
      <c r="TSK97" s="44"/>
      <c r="TSL97" s="44"/>
      <c r="TSM97" s="44"/>
      <c r="TSN97" s="44"/>
      <c r="TSO97" s="44"/>
      <c r="TSP97" s="44"/>
      <c r="TSQ97" s="44"/>
      <c r="TSR97" s="44"/>
      <c r="TSS97" s="44"/>
      <c r="TST97" s="44"/>
      <c r="TSU97" s="44"/>
      <c r="TSV97" s="44"/>
      <c r="TSW97" s="44"/>
      <c r="TSX97" s="44"/>
      <c r="TSY97" s="44"/>
      <c r="TSZ97" s="44"/>
      <c r="TTA97" s="44"/>
      <c r="TTB97" s="44"/>
      <c r="TTC97" s="44"/>
      <c r="TTD97" s="44"/>
      <c r="TTE97" s="44"/>
      <c r="TTF97" s="44"/>
      <c r="TTG97" s="44"/>
      <c r="TTH97" s="44"/>
      <c r="TTI97" s="44"/>
      <c r="TTJ97" s="44"/>
      <c r="TTK97" s="44"/>
      <c r="TTL97" s="44"/>
      <c r="TTM97" s="44"/>
      <c r="TTN97" s="44"/>
      <c r="TTO97" s="44"/>
      <c r="TTP97" s="44"/>
      <c r="TTQ97" s="44"/>
      <c r="TTR97" s="44"/>
      <c r="TTS97" s="44"/>
      <c r="TTT97" s="44"/>
      <c r="TTU97" s="44"/>
      <c r="TTV97" s="44"/>
      <c r="TTW97" s="44"/>
      <c r="TTX97" s="44"/>
      <c r="TTY97" s="44"/>
      <c r="TTZ97" s="44"/>
      <c r="TUA97" s="44"/>
      <c r="TUB97" s="44"/>
      <c r="TUC97" s="44"/>
      <c r="TUD97" s="44"/>
      <c r="TUE97" s="44"/>
      <c r="TUF97" s="44"/>
      <c r="TUG97" s="44"/>
      <c r="TUH97" s="44"/>
      <c r="TUI97" s="44"/>
      <c r="TUJ97" s="44"/>
      <c r="TUK97" s="44"/>
      <c r="TUL97" s="44"/>
      <c r="TUM97" s="44"/>
      <c r="TUN97" s="44"/>
      <c r="TUO97" s="44"/>
      <c r="TUP97" s="44"/>
      <c r="TUQ97" s="44"/>
      <c r="TUR97" s="44"/>
      <c r="TUS97" s="44"/>
      <c r="TUT97" s="44"/>
      <c r="TUU97" s="44"/>
      <c r="TUV97" s="44"/>
      <c r="TUW97" s="44"/>
      <c r="TUX97" s="44"/>
      <c r="TUY97" s="44"/>
      <c r="TUZ97" s="44"/>
      <c r="TVA97" s="44"/>
      <c r="TVB97" s="44"/>
      <c r="TVC97" s="44"/>
      <c r="TVD97" s="44"/>
      <c r="TVE97" s="44"/>
      <c r="TVF97" s="44"/>
      <c r="TVG97" s="44"/>
      <c r="TVH97" s="44"/>
      <c r="TVI97" s="44"/>
      <c r="TVJ97" s="44"/>
      <c r="TVK97" s="44"/>
      <c r="TVL97" s="44"/>
      <c r="TVM97" s="44"/>
      <c r="TVN97" s="44"/>
      <c r="TVO97" s="44"/>
      <c r="TVP97" s="44"/>
      <c r="TVQ97" s="44"/>
      <c r="TVR97" s="44"/>
      <c r="TVS97" s="44"/>
      <c r="TVT97" s="44"/>
      <c r="TVU97" s="44"/>
      <c r="TVV97" s="44"/>
      <c r="TVW97" s="44"/>
      <c r="TVX97" s="44"/>
      <c r="TVY97" s="44"/>
      <c r="TVZ97" s="44"/>
      <c r="TWA97" s="44"/>
      <c r="TWB97" s="44"/>
      <c r="TWC97" s="44"/>
      <c r="TWD97" s="44"/>
      <c r="TWE97" s="44"/>
      <c r="TWF97" s="44"/>
      <c r="TWG97" s="44"/>
      <c r="TWH97" s="44"/>
      <c r="TWI97" s="44"/>
      <c r="TWJ97" s="44"/>
      <c r="TWK97" s="44"/>
      <c r="TWL97" s="44"/>
      <c r="TWM97" s="44"/>
      <c r="TWN97" s="44"/>
      <c r="TWO97" s="44"/>
      <c r="TWP97" s="44"/>
      <c r="TWQ97" s="44"/>
      <c r="TWR97" s="44"/>
      <c r="TWS97" s="44"/>
      <c r="TWT97" s="44"/>
      <c r="TWU97" s="44"/>
      <c r="TWV97" s="44"/>
      <c r="TWW97" s="44"/>
      <c r="TWX97" s="44"/>
      <c r="TWY97" s="44"/>
      <c r="TWZ97" s="44"/>
      <c r="TXA97" s="44"/>
      <c r="TXB97" s="44"/>
      <c r="TXC97" s="44"/>
      <c r="TXD97" s="44"/>
      <c r="TXE97" s="44"/>
      <c r="TXF97" s="44"/>
      <c r="TXG97" s="44"/>
      <c r="TXH97" s="44"/>
      <c r="TXI97" s="44"/>
      <c r="TXJ97" s="44"/>
      <c r="TXK97" s="44"/>
      <c r="TXL97" s="44"/>
      <c r="TXM97" s="44"/>
      <c r="TXN97" s="44"/>
      <c r="TXO97" s="44"/>
      <c r="TXP97" s="44"/>
      <c r="TXQ97" s="44"/>
      <c r="TXR97" s="44"/>
      <c r="TXS97" s="44"/>
      <c r="TXT97" s="44"/>
      <c r="TXU97" s="44"/>
      <c r="TXV97" s="44"/>
      <c r="TXW97" s="44"/>
      <c r="TXX97" s="44"/>
      <c r="TXY97" s="44"/>
      <c r="TXZ97" s="44"/>
      <c r="TYA97" s="44"/>
      <c r="TYB97" s="44"/>
      <c r="TYC97" s="44"/>
      <c r="TYD97" s="44"/>
      <c r="TYE97" s="44"/>
      <c r="TYF97" s="44"/>
      <c r="TYG97" s="44"/>
      <c r="TYH97" s="44"/>
      <c r="TYI97" s="44"/>
      <c r="TYJ97" s="44"/>
      <c r="TYK97" s="44"/>
      <c r="TYL97" s="44"/>
      <c r="TYM97" s="44"/>
      <c r="TYN97" s="44"/>
      <c r="TYO97" s="44"/>
      <c r="TYP97" s="44"/>
      <c r="TYQ97" s="44"/>
      <c r="TYR97" s="44"/>
      <c r="TYS97" s="44"/>
      <c r="TYT97" s="44"/>
      <c r="TYU97" s="44"/>
      <c r="TYV97" s="44"/>
      <c r="TYW97" s="44"/>
      <c r="TYX97" s="44"/>
      <c r="TYY97" s="44"/>
      <c r="TYZ97" s="44"/>
      <c r="TZA97" s="44"/>
      <c r="TZB97" s="44"/>
      <c r="TZC97" s="44"/>
      <c r="TZD97" s="44"/>
      <c r="TZE97" s="44"/>
      <c r="TZF97" s="44"/>
      <c r="TZG97" s="44"/>
      <c r="TZH97" s="44"/>
      <c r="TZI97" s="44"/>
      <c r="TZJ97" s="44"/>
      <c r="TZK97" s="44"/>
      <c r="TZL97" s="44"/>
      <c r="TZM97" s="44"/>
      <c r="TZN97" s="44"/>
      <c r="TZO97" s="44"/>
      <c r="TZP97" s="44"/>
      <c r="TZQ97" s="44"/>
      <c r="TZR97" s="44"/>
      <c r="TZS97" s="44"/>
      <c r="TZT97" s="44"/>
      <c r="TZU97" s="44"/>
      <c r="TZV97" s="44"/>
      <c r="TZW97" s="44"/>
      <c r="TZX97" s="44"/>
      <c r="TZY97" s="44"/>
      <c r="TZZ97" s="44"/>
      <c r="UAA97" s="44"/>
      <c r="UAB97" s="44"/>
      <c r="UAC97" s="44"/>
      <c r="UAD97" s="44"/>
      <c r="UAE97" s="44"/>
      <c r="UAF97" s="44"/>
      <c r="UAG97" s="44"/>
      <c r="UAH97" s="44"/>
      <c r="UAI97" s="44"/>
      <c r="UAJ97" s="44"/>
      <c r="UAK97" s="44"/>
      <c r="UAL97" s="44"/>
      <c r="UAM97" s="44"/>
      <c r="UAN97" s="44"/>
      <c r="UAO97" s="44"/>
      <c r="UAP97" s="44"/>
      <c r="UAQ97" s="44"/>
      <c r="UAR97" s="44"/>
      <c r="UAS97" s="44"/>
      <c r="UAT97" s="44"/>
      <c r="UAU97" s="44"/>
      <c r="UAV97" s="44"/>
      <c r="UAW97" s="44"/>
      <c r="UAX97" s="44"/>
      <c r="UAY97" s="44"/>
      <c r="UAZ97" s="44"/>
      <c r="UBA97" s="44"/>
      <c r="UBB97" s="44"/>
      <c r="UBC97" s="44"/>
      <c r="UBD97" s="44"/>
      <c r="UBE97" s="44"/>
      <c r="UBF97" s="44"/>
      <c r="UBG97" s="44"/>
      <c r="UBH97" s="44"/>
      <c r="UBI97" s="44"/>
      <c r="UBJ97" s="44"/>
      <c r="UBK97" s="44"/>
      <c r="UBL97" s="44"/>
      <c r="UBM97" s="44"/>
      <c r="UBN97" s="44"/>
      <c r="UBO97" s="44"/>
      <c r="UBP97" s="44"/>
      <c r="UBQ97" s="44"/>
      <c r="UBR97" s="44"/>
      <c r="UBS97" s="44"/>
      <c r="UBT97" s="44"/>
      <c r="UBU97" s="44"/>
      <c r="UBV97" s="44"/>
      <c r="UBW97" s="44"/>
      <c r="UBX97" s="44"/>
      <c r="UBY97" s="44"/>
      <c r="UBZ97" s="44"/>
      <c r="UCA97" s="44"/>
      <c r="UCB97" s="44"/>
      <c r="UCC97" s="44"/>
      <c r="UCD97" s="44"/>
      <c r="UCE97" s="44"/>
      <c r="UCF97" s="44"/>
      <c r="UCG97" s="44"/>
      <c r="UCH97" s="44"/>
      <c r="UCI97" s="44"/>
      <c r="UCJ97" s="44"/>
      <c r="UCK97" s="44"/>
      <c r="UCL97" s="44"/>
      <c r="UCM97" s="44"/>
      <c r="UCN97" s="44"/>
      <c r="UCO97" s="44"/>
      <c r="UCP97" s="44"/>
      <c r="UCQ97" s="44"/>
      <c r="UCR97" s="44"/>
      <c r="UCS97" s="44"/>
      <c r="UCT97" s="44"/>
      <c r="UCU97" s="44"/>
      <c r="UCV97" s="44"/>
      <c r="UCW97" s="44"/>
      <c r="UCX97" s="44"/>
      <c r="UCY97" s="44"/>
      <c r="UCZ97" s="44"/>
      <c r="UDA97" s="44"/>
      <c r="UDB97" s="44"/>
      <c r="UDC97" s="44"/>
      <c r="UDD97" s="44"/>
      <c r="UDE97" s="44"/>
      <c r="UDF97" s="44"/>
      <c r="UDG97" s="44"/>
      <c r="UDH97" s="44"/>
      <c r="UDI97" s="44"/>
      <c r="UDJ97" s="44"/>
      <c r="UDK97" s="44"/>
      <c r="UDL97" s="44"/>
      <c r="UDM97" s="44"/>
      <c r="UDN97" s="44"/>
      <c r="UDO97" s="44"/>
      <c r="UDP97" s="44"/>
      <c r="UDQ97" s="44"/>
      <c r="UDR97" s="44"/>
      <c r="UDS97" s="44"/>
      <c r="UDT97" s="44"/>
      <c r="UDU97" s="44"/>
      <c r="UDV97" s="44"/>
      <c r="UDW97" s="44"/>
      <c r="UDX97" s="44"/>
      <c r="UDY97" s="44"/>
      <c r="UDZ97" s="44"/>
      <c r="UEA97" s="44"/>
      <c r="UEB97" s="44"/>
      <c r="UEC97" s="44"/>
      <c r="UED97" s="44"/>
      <c r="UEE97" s="44"/>
      <c r="UEF97" s="44"/>
      <c r="UEG97" s="44"/>
      <c r="UEH97" s="44"/>
      <c r="UEI97" s="44"/>
      <c r="UEJ97" s="44"/>
      <c r="UEK97" s="44"/>
      <c r="UEL97" s="44"/>
      <c r="UEM97" s="44"/>
      <c r="UEN97" s="44"/>
      <c r="UEO97" s="44"/>
      <c r="UEP97" s="44"/>
      <c r="UEQ97" s="44"/>
      <c r="UER97" s="44"/>
      <c r="UES97" s="44"/>
      <c r="UET97" s="44"/>
      <c r="UEU97" s="44"/>
      <c r="UEV97" s="44"/>
      <c r="UEW97" s="44"/>
      <c r="UEX97" s="44"/>
      <c r="UEY97" s="44"/>
      <c r="UEZ97" s="44"/>
      <c r="UFA97" s="44"/>
      <c r="UFB97" s="44"/>
      <c r="UFC97" s="44"/>
      <c r="UFD97" s="44"/>
      <c r="UFE97" s="44"/>
      <c r="UFF97" s="44"/>
      <c r="UFG97" s="44"/>
      <c r="UFH97" s="44"/>
      <c r="UFI97" s="44"/>
      <c r="UFJ97" s="44"/>
      <c r="UFK97" s="44"/>
      <c r="UFL97" s="44"/>
      <c r="UFM97" s="44"/>
      <c r="UFN97" s="44"/>
      <c r="UFO97" s="44"/>
      <c r="UFP97" s="44"/>
      <c r="UFQ97" s="44"/>
      <c r="UFR97" s="44"/>
      <c r="UFS97" s="44"/>
      <c r="UFT97" s="44"/>
      <c r="UFU97" s="44"/>
      <c r="UFV97" s="44"/>
      <c r="UFW97" s="44"/>
      <c r="UFX97" s="44"/>
      <c r="UFY97" s="44"/>
      <c r="UFZ97" s="44"/>
      <c r="UGA97" s="44"/>
      <c r="UGB97" s="44"/>
      <c r="UGC97" s="44"/>
      <c r="UGD97" s="44"/>
      <c r="UGE97" s="44"/>
      <c r="UGF97" s="44"/>
      <c r="UGG97" s="44"/>
      <c r="UGH97" s="44"/>
      <c r="UGI97" s="44"/>
      <c r="UGJ97" s="44"/>
      <c r="UGK97" s="44"/>
      <c r="UGL97" s="44"/>
      <c r="UGM97" s="44"/>
      <c r="UGN97" s="44"/>
      <c r="UGO97" s="44"/>
      <c r="UGP97" s="44"/>
      <c r="UGQ97" s="44"/>
      <c r="UGR97" s="44"/>
      <c r="UGS97" s="44"/>
      <c r="UGT97" s="44"/>
      <c r="UGU97" s="44"/>
      <c r="UGV97" s="44"/>
      <c r="UGW97" s="44"/>
      <c r="UGX97" s="44"/>
      <c r="UGY97" s="44"/>
      <c r="UGZ97" s="44"/>
      <c r="UHA97" s="44"/>
      <c r="UHB97" s="44"/>
      <c r="UHC97" s="44"/>
      <c r="UHD97" s="44"/>
      <c r="UHE97" s="44"/>
      <c r="UHF97" s="44"/>
      <c r="UHG97" s="44"/>
      <c r="UHH97" s="44"/>
      <c r="UHI97" s="44"/>
      <c r="UHJ97" s="44"/>
      <c r="UHK97" s="44"/>
      <c r="UHL97" s="44"/>
      <c r="UHM97" s="44"/>
      <c r="UHN97" s="44"/>
      <c r="UHO97" s="44"/>
      <c r="UHP97" s="44"/>
      <c r="UHQ97" s="44"/>
      <c r="UHR97" s="44"/>
      <c r="UHS97" s="44"/>
      <c r="UHT97" s="44"/>
      <c r="UHU97" s="44"/>
      <c r="UHV97" s="44"/>
      <c r="UHW97" s="44"/>
      <c r="UHX97" s="44"/>
      <c r="UHY97" s="44"/>
      <c r="UHZ97" s="44"/>
      <c r="UIA97" s="44"/>
      <c r="UIB97" s="44"/>
      <c r="UIC97" s="44"/>
      <c r="UID97" s="44"/>
      <c r="UIE97" s="44"/>
      <c r="UIF97" s="44"/>
      <c r="UIG97" s="44"/>
      <c r="UIH97" s="44"/>
      <c r="UII97" s="44"/>
      <c r="UIJ97" s="44"/>
      <c r="UIK97" s="44"/>
      <c r="UIL97" s="44"/>
      <c r="UIM97" s="44"/>
      <c r="UIN97" s="44"/>
      <c r="UIO97" s="44"/>
      <c r="UIP97" s="44"/>
      <c r="UIQ97" s="44"/>
      <c r="UIR97" s="44"/>
      <c r="UIS97" s="44"/>
      <c r="UIT97" s="44"/>
      <c r="UIU97" s="44"/>
      <c r="UIV97" s="44"/>
      <c r="UIW97" s="44"/>
      <c r="UIX97" s="44"/>
      <c r="UIY97" s="44"/>
      <c r="UIZ97" s="44"/>
      <c r="UJA97" s="44"/>
      <c r="UJB97" s="44"/>
      <c r="UJC97" s="44"/>
      <c r="UJD97" s="44"/>
      <c r="UJE97" s="44"/>
      <c r="UJF97" s="44"/>
      <c r="UJG97" s="44"/>
      <c r="UJH97" s="44"/>
      <c r="UJI97" s="44"/>
      <c r="UJJ97" s="44"/>
      <c r="UJK97" s="44"/>
      <c r="UJL97" s="44"/>
      <c r="UJM97" s="44"/>
      <c r="UJN97" s="44"/>
      <c r="UJO97" s="44"/>
      <c r="UJP97" s="44"/>
      <c r="UJQ97" s="44"/>
      <c r="UJR97" s="44"/>
      <c r="UJS97" s="44"/>
      <c r="UJT97" s="44"/>
      <c r="UJU97" s="44"/>
      <c r="UJV97" s="44"/>
      <c r="UJW97" s="44"/>
      <c r="UJX97" s="44"/>
      <c r="UJY97" s="44"/>
      <c r="UJZ97" s="44"/>
      <c r="UKA97" s="44"/>
      <c r="UKB97" s="44"/>
      <c r="UKC97" s="44"/>
      <c r="UKD97" s="44"/>
      <c r="UKE97" s="44"/>
      <c r="UKF97" s="44"/>
      <c r="UKG97" s="44"/>
      <c r="UKH97" s="44"/>
      <c r="UKI97" s="44"/>
      <c r="UKJ97" s="44"/>
      <c r="UKK97" s="44"/>
      <c r="UKL97" s="44"/>
      <c r="UKM97" s="44"/>
      <c r="UKN97" s="44"/>
      <c r="UKO97" s="44"/>
      <c r="UKP97" s="44"/>
      <c r="UKQ97" s="44"/>
      <c r="UKR97" s="44"/>
      <c r="UKS97" s="44"/>
      <c r="UKT97" s="44"/>
      <c r="UKU97" s="44"/>
      <c r="UKV97" s="44"/>
      <c r="UKW97" s="44"/>
      <c r="UKX97" s="44"/>
      <c r="UKY97" s="44"/>
      <c r="UKZ97" s="44"/>
      <c r="ULA97" s="44"/>
      <c r="ULB97" s="44"/>
      <c r="ULC97" s="44"/>
      <c r="ULD97" s="44"/>
      <c r="ULE97" s="44"/>
      <c r="ULF97" s="44"/>
      <c r="ULG97" s="44"/>
      <c r="ULH97" s="44"/>
      <c r="ULI97" s="44"/>
      <c r="ULJ97" s="44"/>
      <c r="ULK97" s="44"/>
      <c r="ULL97" s="44"/>
      <c r="ULM97" s="44"/>
      <c r="ULN97" s="44"/>
      <c r="ULO97" s="44"/>
      <c r="ULP97" s="44"/>
      <c r="ULQ97" s="44"/>
      <c r="ULR97" s="44"/>
      <c r="ULS97" s="44"/>
      <c r="ULT97" s="44"/>
      <c r="ULU97" s="44"/>
      <c r="ULV97" s="44"/>
      <c r="ULW97" s="44"/>
      <c r="ULX97" s="44"/>
      <c r="ULY97" s="44"/>
      <c r="ULZ97" s="44"/>
      <c r="UMA97" s="44"/>
      <c r="UMB97" s="44"/>
      <c r="UMC97" s="44"/>
      <c r="UMD97" s="44"/>
      <c r="UME97" s="44"/>
      <c r="UMF97" s="44"/>
      <c r="UMG97" s="44"/>
      <c r="UMH97" s="44"/>
      <c r="UMI97" s="44"/>
      <c r="UMJ97" s="44"/>
      <c r="UMK97" s="44"/>
      <c r="UML97" s="44"/>
      <c r="UMM97" s="44"/>
      <c r="UMN97" s="44"/>
      <c r="UMO97" s="44"/>
      <c r="UMP97" s="44"/>
      <c r="UMQ97" s="44"/>
      <c r="UMR97" s="44"/>
      <c r="UMS97" s="44"/>
      <c r="UMT97" s="44"/>
      <c r="UMU97" s="44"/>
      <c r="UMV97" s="44"/>
      <c r="UMW97" s="44"/>
      <c r="UMX97" s="44"/>
      <c r="UMY97" s="44"/>
      <c r="UMZ97" s="44"/>
      <c r="UNA97" s="44"/>
      <c r="UNB97" s="44"/>
      <c r="UNC97" s="44"/>
      <c r="UND97" s="44"/>
      <c r="UNE97" s="44"/>
      <c r="UNF97" s="44"/>
      <c r="UNG97" s="44"/>
      <c r="UNH97" s="44"/>
      <c r="UNI97" s="44"/>
      <c r="UNJ97" s="44"/>
      <c r="UNK97" s="44"/>
      <c r="UNL97" s="44"/>
      <c r="UNM97" s="44"/>
      <c r="UNN97" s="44"/>
      <c r="UNO97" s="44"/>
      <c r="UNP97" s="44"/>
      <c r="UNQ97" s="44"/>
      <c r="UNR97" s="44"/>
      <c r="UNS97" s="44"/>
      <c r="UNT97" s="44"/>
      <c r="UNU97" s="44"/>
      <c r="UNV97" s="44"/>
      <c r="UNW97" s="44"/>
      <c r="UNX97" s="44"/>
      <c r="UNY97" s="44"/>
      <c r="UNZ97" s="44"/>
      <c r="UOA97" s="44"/>
      <c r="UOB97" s="44"/>
      <c r="UOC97" s="44"/>
      <c r="UOD97" s="44"/>
      <c r="UOE97" s="44"/>
      <c r="UOF97" s="44"/>
      <c r="UOG97" s="44"/>
      <c r="UOH97" s="44"/>
      <c r="UOI97" s="44"/>
      <c r="UOJ97" s="44"/>
      <c r="UOK97" s="44"/>
      <c r="UOL97" s="44"/>
      <c r="UOM97" s="44"/>
      <c r="UON97" s="44"/>
      <c r="UOO97" s="44"/>
      <c r="UOP97" s="44"/>
      <c r="UOQ97" s="44"/>
      <c r="UOR97" s="44"/>
      <c r="UOS97" s="44"/>
      <c r="UOT97" s="44"/>
      <c r="UOU97" s="44"/>
      <c r="UOV97" s="44"/>
      <c r="UOW97" s="44"/>
      <c r="UOX97" s="44"/>
      <c r="UOY97" s="44"/>
      <c r="UOZ97" s="44"/>
      <c r="UPA97" s="44"/>
      <c r="UPB97" s="44"/>
      <c r="UPC97" s="44"/>
      <c r="UPD97" s="44"/>
      <c r="UPE97" s="44"/>
      <c r="UPF97" s="44"/>
      <c r="UPG97" s="44"/>
      <c r="UPH97" s="44"/>
      <c r="UPI97" s="44"/>
      <c r="UPJ97" s="44"/>
      <c r="UPK97" s="44"/>
      <c r="UPL97" s="44"/>
      <c r="UPM97" s="44"/>
      <c r="UPN97" s="44"/>
      <c r="UPO97" s="44"/>
      <c r="UPP97" s="44"/>
      <c r="UPQ97" s="44"/>
      <c r="UPR97" s="44"/>
      <c r="UPS97" s="44"/>
      <c r="UPT97" s="44"/>
      <c r="UPU97" s="44"/>
      <c r="UPV97" s="44"/>
      <c r="UPW97" s="44"/>
      <c r="UPX97" s="44"/>
      <c r="UPY97" s="44"/>
      <c r="UPZ97" s="44"/>
      <c r="UQA97" s="44"/>
      <c r="UQB97" s="44"/>
      <c r="UQC97" s="44"/>
      <c r="UQD97" s="44"/>
      <c r="UQE97" s="44"/>
      <c r="UQF97" s="44"/>
      <c r="UQG97" s="44"/>
      <c r="UQH97" s="44"/>
      <c r="UQI97" s="44"/>
      <c r="UQJ97" s="44"/>
      <c r="UQK97" s="44"/>
      <c r="UQL97" s="44"/>
      <c r="UQM97" s="44"/>
      <c r="UQN97" s="44"/>
      <c r="UQO97" s="44"/>
      <c r="UQP97" s="44"/>
      <c r="UQQ97" s="44"/>
      <c r="UQR97" s="44"/>
      <c r="UQS97" s="44"/>
      <c r="UQT97" s="44"/>
      <c r="UQU97" s="44"/>
      <c r="UQV97" s="44"/>
      <c r="UQW97" s="44"/>
      <c r="UQX97" s="44"/>
      <c r="UQY97" s="44"/>
      <c r="UQZ97" s="44"/>
      <c r="URA97" s="44"/>
      <c r="URB97" s="44"/>
      <c r="URC97" s="44"/>
      <c r="URD97" s="44"/>
      <c r="URE97" s="44"/>
      <c r="URF97" s="44"/>
      <c r="URG97" s="44"/>
      <c r="URH97" s="44"/>
      <c r="URI97" s="44"/>
      <c r="URJ97" s="44"/>
      <c r="URK97" s="44"/>
      <c r="URL97" s="44"/>
      <c r="URM97" s="44"/>
      <c r="URN97" s="44"/>
      <c r="URO97" s="44"/>
      <c r="URP97" s="44"/>
      <c r="URQ97" s="44"/>
      <c r="URR97" s="44"/>
      <c r="URS97" s="44"/>
      <c r="URT97" s="44"/>
      <c r="URU97" s="44"/>
      <c r="URV97" s="44"/>
      <c r="URW97" s="44"/>
      <c r="URX97" s="44"/>
      <c r="URY97" s="44"/>
      <c r="URZ97" s="44"/>
      <c r="USA97" s="44"/>
      <c r="USB97" s="44"/>
      <c r="USC97" s="44"/>
      <c r="USD97" s="44"/>
      <c r="USE97" s="44"/>
      <c r="USF97" s="44"/>
      <c r="USG97" s="44"/>
      <c r="USH97" s="44"/>
      <c r="USI97" s="44"/>
      <c r="USJ97" s="44"/>
      <c r="USK97" s="44"/>
      <c r="USL97" s="44"/>
      <c r="USM97" s="44"/>
      <c r="USN97" s="44"/>
      <c r="USO97" s="44"/>
      <c r="USP97" s="44"/>
      <c r="USQ97" s="44"/>
      <c r="USR97" s="44"/>
      <c r="USS97" s="44"/>
      <c r="UST97" s="44"/>
      <c r="USU97" s="44"/>
      <c r="USV97" s="44"/>
      <c r="USW97" s="44"/>
      <c r="USX97" s="44"/>
      <c r="USY97" s="44"/>
      <c r="USZ97" s="44"/>
      <c r="UTA97" s="44"/>
      <c r="UTB97" s="44"/>
      <c r="UTC97" s="44"/>
      <c r="UTD97" s="44"/>
      <c r="UTE97" s="44"/>
      <c r="UTF97" s="44"/>
      <c r="UTG97" s="44"/>
      <c r="UTH97" s="44"/>
      <c r="UTI97" s="44"/>
      <c r="UTJ97" s="44"/>
      <c r="UTK97" s="44"/>
      <c r="UTL97" s="44"/>
      <c r="UTM97" s="44"/>
      <c r="UTN97" s="44"/>
      <c r="UTO97" s="44"/>
      <c r="UTP97" s="44"/>
      <c r="UTQ97" s="44"/>
      <c r="UTR97" s="44"/>
      <c r="UTS97" s="44"/>
      <c r="UTT97" s="44"/>
      <c r="UTU97" s="44"/>
      <c r="UTV97" s="44"/>
      <c r="UTW97" s="44"/>
      <c r="UTX97" s="44"/>
      <c r="UTY97" s="44"/>
      <c r="UTZ97" s="44"/>
      <c r="UUA97" s="44"/>
      <c r="UUB97" s="44"/>
      <c r="UUC97" s="44"/>
      <c r="UUD97" s="44"/>
      <c r="UUE97" s="44"/>
      <c r="UUF97" s="44"/>
      <c r="UUG97" s="44"/>
      <c r="UUH97" s="44"/>
      <c r="UUI97" s="44"/>
      <c r="UUJ97" s="44"/>
      <c r="UUK97" s="44"/>
      <c r="UUL97" s="44"/>
      <c r="UUM97" s="44"/>
      <c r="UUN97" s="44"/>
      <c r="UUO97" s="44"/>
      <c r="UUP97" s="44"/>
      <c r="UUQ97" s="44"/>
      <c r="UUR97" s="44"/>
      <c r="UUS97" s="44"/>
      <c r="UUT97" s="44"/>
      <c r="UUU97" s="44"/>
      <c r="UUV97" s="44"/>
      <c r="UUW97" s="44"/>
      <c r="UUX97" s="44"/>
      <c r="UUY97" s="44"/>
      <c r="UUZ97" s="44"/>
      <c r="UVA97" s="44"/>
      <c r="UVB97" s="44"/>
      <c r="UVC97" s="44"/>
      <c r="UVD97" s="44"/>
      <c r="UVE97" s="44"/>
      <c r="UVF97" s="44"/>
      <c r="UVG97" s="44"/>
      <c r="UVH97" s="44"/>
      <c r="UVI97" s="44"/>
      <c r="UVJ97" s="44"/>
      <c r="UVK97" s="44"/>
      <c r="UVL97" s="44"/>
      <c r="UVM97" s="44"/>
      <c r="UVN97" s="44"/>
      <c r="UVO97" s="44"/>
      <c r="UVP97" s="44"/>
      <c r="UVQ97" s="44"/>
      <c r="UVR97" s="44"/>
      <c r="UVS97" s="44"/>
      <c r="UVT97" s="44"/>
      <c r="UVU97" s="44"/>
      <c r="UVV97" s="44"/>
      <c r="UVW97" s="44"/>
      <c r="UVX97" s="44"/>
      <c r="UVY97" s="44"/>
      <c r="UVZ97" s="44"/>
      <c r="UWA97" s="44"/>
      <c r="UWB97" s="44"/>
      <c r="UWC97" s="44"/>
      <c r="UWD97" s="44"/>
      <c r="UWE97" s="44"/>
      <c r="UWF97" s="44"/>
      <c r="UWG97" s="44"/>
      <c r="UWH97" s="44"/>
      <c r="UWI97" s="44"/>
      <c r="UWJ97" s="44"/>
      <c r="UWK97" s="44"/>
      <c r="UWL97" s="44"/>
      <c r="UWM97" s="44"/>
      <c r="UWN97" s="44"/>
      <c r="UWO97" s="44"/>
      <c r="UWP97" s="44"/>
      <c r="UWQ97" s="44"/>
      <c r="UWR97" s="44"/>
      <c r="UWS97" s="44"/>
      <c r="UWT97" s="44"/>
      <c r="UWU97" s="44"/>
      <c r="UWV97" s="44"/>
      <c r="UWW97" s="44"/>
      <c r="UWX97" s="44"/>
      <c r="UWY97" s="44"/>
      <c r="UWZ97" s="44"/>
      <c r="UXA97" s="44"/>
      <c r="UXB97" s="44"/>
      <c r="UXC97" s="44"/>
      <c r="UXD97" s="44"/>
      <c r="UXE97" s="44"/>
      <c r="UXF97" s="44"/>
      <c r="UXG97" s="44"/>
      <c r="UXH97" s="44"/>
      <c r="UXI97" s="44"/>
      <c r="UXJ97" s="44"/>
      <c r="UXK97" s="44"/>
      <c r="UXL97" s="44"/>
      <c r="UXM97" s="44"/>
      <c r="UXN97" s="44"/>
      <c r="UXO97" s="44"/>
      <c r="UXP97" s="44"/>
      <c r="UXQ97" s="44"/>
      <c r="UXR97" s="44"/>
      <c r="UXS97" s="44"/>
      <c r="UXT97" s="44"/>
      <c r="UXU97" s="44"/>
      <c r="UXV97" s="44"/>
      <c r="UXW97" s="44"/>
      <c r="UXX97" s="44"/>
      <c r="UXY97" s="44"/>
      <c r="UXZ97" s="44"/>
      <c r="UYA97" s="44"/>
      <c r="UYB97" s="44"/>
      <c r="UYC97" s="44"/>
      <c r="UYD97" s="44"/>
      <c r="UYE97" s="44"/>
      <c r="UYF97" s="44"/>
      <c r="UYG97" s="44"/>
      <c r="UYH97" s="44"/>
      <c r="UYI97" s="44"/>
      <c r="UYJ97" s="44"/>
      <c r="UYK97" s="44"/>
      <c r="UYL97" s="44"/>
      <c r="UYM97" s="44"/>
      <c r="UYN97" s="44"/>
      <c r="UYO97" s="44"/>
      <c r="UYP97" s="44"/>
      <c r="UYQ97" s="44"/>
      <c r="UYR97" s="44"/>
      <c r="UYS97" s="44"/>
      <c r="UYT97" s="44"/>
      <c r="UYU97" s="44"/>
      <c r="UYV97" s="44"/>
      <c r="UYW97" s="44"/>
      <c r="UYX97" s="44"/>
      <c r="UYY97" s="44"/>
      <c r="UYZ97" s="44"/>
      <c r="UZA97" s="44"/>
      <c r="UZB97" s="44"/>
      <c r="UZC97" s="44"/>
      <c r="UZD97" s="44"/>
      <c r="UZE97" s="44"/>
      <c r="UZF97" s="44"/>
      <c r="UZG97" s="44"/>
      <c r="UZH97" s="44"/>
      <c r="UZI97" s="44"/>
      <c r="UZJ97" s="44"/>
      <c r="UZK97" s="44"/>
      <c r="UZL97" s="44"/>
      <c r="UZM97" s="44"/>
      <c r="UZN97" s="44"/>
      <c r="UZO97" s="44"/>
      <c r="UZP97" s="44"/>
      <c r="UZQ97" s="44"/>
      <c r="UZR97" s="44"/>
      <c r="UZS97" s="44"/>
      <c r="UZT97" s="44"/>
      <c r="UZU97" s="44"/>
      <c r="UZV97" s="44"/>
      <c r="UZW97" s="44"/>
      <c r="UZX97" s="44"/>
      <c r="UZY97" s="44"/>
      <c r="UZZ97" s="44"/>
      <c r="VAA97" s="44"/>
      <c r="VAB97" s="44"/>
      <c r="VAC97" s="44"/>
      <c r="VAD97" s="44"/>
      <c r="VAE97" s="44"/>
      <c r="VAF97" s="44"/>
      <c r="VAG97" s="44"/>
      <c r="VAH97" s="44"/>
      <c r="VAI97" s="44"/>
      <c r="VAJ97" s="44"/>
      <c r="VAK97" s="44"/>
      <c r="VAL97" s="44"/>
      <c r="VAM97" s="44"/>
      <c r="VAN97" s="44"/>
      <c r="VAO97" s="44"/>
      <c r="VAP97" s="44"/>
      <c r="VAQ97" s="44"/>
      <c r="VAR97" s="44"/>
      <c r="VAS97" s="44"/>
      <c r="VAT97" s="44"/>
      <c r="VAU97" s="44"/>
      <c r="VAV97" s="44"/>
      <c r="VAW97" s="44"/>
      <c r="VAX97" s="44"/>
      <c r="VAY97" s="44"/>
      <c r="VAZ97" s="44"/>
      <c r="VBA97" s="44"/>
      <c r="VBB97" s="44"/>
      <c r="VBC97" s="44"/>
      <c r="VBD97" s="44"/>
      <c r="VBE97" s="44"/>
      <c r="VBF97" s="44"/>
      <c r="VBG97" s="44"/>
      <c r="VBH97" s="44"/>
      <c r="VBI97" s="44"/>
      <c r="VBJ97" s="44"/>
      <c r="VBK97" s="44"/>
      <c r="VBL97" s="44"/>
      <c r="VBM97" s="44"/>
      <c r="VBN97" s="44"/>
      <c r="VBO97" s="44"/>
      <c r="VBP97" s="44"/>
      <c r="VBQ97" s="44"/>
      <c r="VBR97" s="44"/>
      <c r="VBS97" s="44"/>
      <c r="VBT97" s="44"/>
      <c r="VBU97" s="44"/>
      <c r="VBV97" s="44"/>
      <c r="VBW97" s="44"/>
      <c r="VBX97" s="44"/>
      <c r="VBY97" s="44"/>
      <c r="VBZ97" s="44"/>
      <c r="VCA97" s="44"/>
      <c r="VCB97" s="44"/>
      <c r="VCC97" s="44"/>
      <c r="VCD97" s="44"/>
      <c r="VCE97" s="44"/>
      <c r="VCF97" s="44"/>
      <c r="VCG97" s="44"/>
      <c r="VCH97" s="44"/>
      <c r="VCI97" s="44"/>
      <c r="VCJ97" s="44"/>
      <c r="VCK97" s="44"/>
      <c r="VCL97" s="44"/>
      <c r="VCM97" s="44"/>
      <c r="VCN97" s="44"/>
      <c r="VCO97" s="44"/>
      <c r="VCP97" s="44"/>
      <c r="VCQ97" s="44"/>
      <c r="VCR97" s="44"/>
      <c r="VCS97" s="44"/>
      <c r="VCT97" s="44"/>
      <c r="VCU97" s="44"/>
      <c r="VCV97" s="44"/>
      <c r="VCW97" s="44"/>
      <c r="VCX97" s="44"/>
      <c r="VCY97" s="44"/>
      <c r="VCZ97" s="44"/>
      <c r="VDA97" s="44"/>
      <c r="VDB97" s="44"/>
      <c r="VDC97" s="44"/>
      <c r="VDD97" s="44"/>
      <c r="VDE97" s="44"/>
      <c r="VDF97" s="44"/>
      <c r="VDG97" s="44"/>
      <c r="VDH97" s="44"/>
      <c r="VDI97" s="44"/>
      <c r="VDJ97" s="44"/>
      <c r="VDK97" s="44"/>
      <c r="VDL97" s="44"/>
      <c r="VDM97" s="44"/>
      <c r="VDN97" s="44"/>
      <c r="VDO97" s="44"/>
      <c r="VDP97" s="44"/>
      <c r="VDQ97" s="44"/>
      <c r="VDR97" s="44"/>
      <c r="VDS97" s="44"/>
      <c r="VDT97" s="44"/>
      <c r="VDU97" s="44"/>
      <c r="VDV97" s="44"/>
      <c r="VDW97" s="44"/>
      <c r="VDX97" s="44"/>
      <c r="VDY97" s="44"/>
      <c r="VDZ97" s="44"/>
      <c r="VEA97" s="44"/>
      <c r="VEB97" s="44"/>
      <c r="VEC97" s="44"/>
      <c r="VED97" s="44"/>
      <c r="VEE97" s="44"/>
      <c r="VEF97" s="44"/>
      <c r="VEG97" s="44"/>
      <c r="VEH97" s="44"/>
      <c r="VEI97" s="44"/>
      <c r="VEJ97" s="44"/>
      <c r="VEK97" s="44"/>
      <c r="VEL97" s="44"/>
      <c r="VEM97" s="44"/>
      <c r="VEN97" s="44"/>
      <c r="VEO97" s="44"/>
      <c r="VEP97" s="44"/>
      <c r="VEQ97" s="44"/>
      <c r="VER97" s="44"/>
      <c r="VES97" s="44"/>
      <c r="VET97" s="44"/>
      <c r="VEU97" s="44"/>
      <c r="VEV97" s="44"/>
      <c r="VEW97" s="44"/>
      <c r="VEX97" s="44"/>
      <c r="VEY97" s="44"/>
      <c r="VEZ97" s="44"/>
      <c r="VFA97" s="44"/>
      <c r="VFB97" s="44"/>
      <c r="VFC97" s="44"/>
      <c r="VFD97" s="44"/>
      <c r="VFE97" s="44"/>
      <c r="VFF97" s="44"/>
      <c r="VFG97" s="44"/>
      <c r="VFH97" s="44"/>
      <c r="VFI97" s="44"/>
      <c r="VFJ97" s="44"/>
      <c r="VFK97" s="44"/>
      <c r="VFL97" s="44"/>
      <c r="VFM97" s="44"/>
      <c r="VFN97" s="44"/>
      <c r="VFO97" s="44"/>
      <c r="VFP97" s="44"/>
      <c r="VFQ97" s="44"/>
      <c r="VFR97" s="44"/>
      <c r="VFS97" s="44"/>
      <c r="VFT97" s="44"/>
      <c r="VFU97" s="44"/>
      <c r="VFV97" s="44"/>
      <c r="VFW97" s="44"/>
      <c r="VFX97" s="44"/>
      <c r="VFY97" s="44"/>
      <c r="VFZ97" s="44"/>
      <c r="VGA97" s="44"/>
      <c r="VGB97" s="44"/>
      <c r="VGC97" s="44"/>
      <c r="VGD97" s="44"/>
      <c r="VGE97" s="44"/>
      <c r="VGF97" s="44"/>
      <c r="VGG97" s="44"/>
      <c r="VGH97" s="44"/>
      <c r="VGI97" s="44"/>
      <c r="VGJ97" s="44"/>
      <c r="VGK97" s="44"/>
      <c r="VGL97" s="44"/>
      <c r="VGM97" s="44"/>
      <c r="VGN97" s="44"/>
      <c r="VGO97" s="44"/>
      <c r="VGP97" s="44"/>
      <c r="VGQ97" s="44"/>
      <c r="VGR97" s="44"/>
      <c r="VGS97" s="44"/>
      <c r="VGT97" s="44"/>
      <c r="VGU97" s="44"/>
      <c r="VGV97" s="44"/>
      <c r="VGW97" s="44"/>
      <c r="VGX97" s="44"/>
      <c r="VGY97" s="44"/>
      <c r="VGZ97" s="44"/>
      <c r="VHA97" s="44"/>
      <c r="VHB97" s="44"/>
      <c r="VHC97" s="44"/>
      <c r="VHD97" s="44"/>
      <c r="VHE97" s="44"/>
      <c r="VHF97" s="44"/>
      <c r="VHG97" s="44"/>
      <c r="VHH97" s="44"/>
      <c r="VHI97" s="44"/>
      <c r="VHJ97" s="44"/>
      <c r="VHK97" s="44"/>
      <c r="VHL97" s="44"/>
      <c r="VHM97" s="44"/>
      <c r="VHN97" s="44"/>
      <c r="VHO97" s="44"/>
      <c r="VHP97" s="44"/>
      <c r="VHQ97" s="44"/>
      <c r="VHR97" s="44"/>
      <c r="VHS97" s="44"/>
      <c r="VHT97" s="44"/>
      <c r="VHU97" s="44"/>
      <c r="VHV97" s="44"/>
      <c r="VHW97" s="44"/>
      <c r="VHX97" s="44"/>
      <c r="VHY97" s="44"/>
      <c r="VHZ97" s="44"/>
      <c r="VIA97" s="44"/>
      <c r="VIB97" s="44"/>
      <c r="VIC97" s="44"/>
      <c r="VID97" s="44"/>
      <c r="VIE97" s="44"/>
      <c r="VIF97" s="44"/>
      <c r="VIG97" s="44"/>
      <c r="VIH97" s="44"/>
      <c r="VII97" s="44"/>
      <c r="VIJ97" s="44"/>
      <c r="VIK97" s="44"/>
      <c r="VIL97" s="44"/>
      <c r="VIM97" s="44"/>
      <c r="VIN97" s="44"/>
      <c r="VIO97" s="44"/>
      <c r="VIP97" s="44"/>
      <c r="VIQ97" s="44"/>
      <c r="VIR97" s="44"/>
      <c r="VIS97" s="44"/>
      <c r="VIT97" s="44"/>
      <c r="VIU97" s="44"/>
      <c r="VIV97" s="44"/>
      <c r="VIW97" s="44"/>
      <c r="VIX97" s="44"/>
      <c r="VIY97" s="44"/>
      <c r="VIZ97" s="44"/>
      <c r="VJA97" s="44"/>
      <c r="VJB97" s="44"/>
      <c r="VJC97" s="44"/>
      <c r="VJD97" s="44"/>
      <c r="VJE97" s="44"/>
      <c r="VJF97" s="44"/>
      <c r="VJG97" s="44"/>
      <c r="VJH97" s="44"/>
      <c r="VJI97" s="44"/>
      <c r="VJJ97" s="44"/>
      <c r="VJK97" s="44"/>
      <c r="VJL97" s="44"/>
      <c r="VJM97" s="44"/>
      <c r="VJN97" s="44"/>
      <c r="VJO97" s="44"/>
      <c r="VJP97" s="44"/>
      <c r="VJQ97" s="44"/>
      <c r="VJR97" s="44"/>
      <c r="VJS97" s="44"/>
      <c r="VJT97" s="44"/>
      <c r="VJU97" s="44"/>
      <c r="VJV97" s="44"/>
      <c r="VJW97" s="44"/>
      <c r="VJX97" s="44"/>
      <c r="VJY97" s="44"/>
      <c r="VJZ97" s="44"/>
      <c r="VKA97" s="44"/>
      <c r="VKB97" s="44"/>
      <c r="VKC97" s="44"/>
      <c r="VKD97" s="44"/>
      <c r="VKE97" s="44"/>
      <c r="VKF97" s="44"/>
      <c r="VKG97" s="44"/>
      <c r="VKH97" s="44"/>
      <c r="VKI97" s="44"/>
      <c r="VKJ97" s="44"/>
      <c r="VKK97" s="44"/>
      <c r="VKL97" s="44"/>
      <c r="VKM97" s="44"/>
      <c r="VKN97" s="44"/>
      <c r="VKO97" s="44"/>
      <c r="VKP97" s="44"/>
      <c r="VKQ97" s="44"/>
      <c r="VKR97" s="44"/>
      <c r="VKS97" s="44"/>
      <c r="VKT97" s="44"/>
      <c r="VKU97" s="44"/>
      <c r="VKV97" s="44"/>
      <c r="VKW97" s="44"/>
      <c r="VKX97" s="44"/>
      <c r="VKY97" s="44"/>
      <c r="VKZ97" s="44"/>
      <c r="VLA97" s="44"/>
      <c r="VLB97" s="44"/>
      <c r="VLC97" s="44"/>
      <c r="VLD97" s="44"/>
      <c r="VLE97" s="44"/>
      <c r="VLF97" s="44"/>
      <c r="VLG97" s="44"/>
      <c r="VLH97" s="44"/>
      <c r="VLI97" s="44"/>
      <c r="VLJ97" s="44"/>
      <c r="VLK97" s="44"/>
      <c r="VLL97" s="44"/>
      <c r="VLM97" s="44"/>
      <c r="VLN97" s="44"/>
      <c r="VLO97" s="44"/>
      <c r="VLP97" s="44"/>
      <c r="VLQ97" s="44"/>
      <c r="VLR97" s="44"/>
      <c r="VLS97" s="44"/>
      <c r="VLT97" s="44"/>
      <c r="VLU97" s="44"/>
      <c r="VLV97" s="44"/>
      <c r="VLW97" s="44"/>
      <c r="VLX97" s="44"/>
      <c r="VLY97" s="44"/>
      <c r="VLZ97" s="44"/>
      <c r="VMA97" s="44"/>
      <c r="VMB97" s="44"/>
      <c r="VMC97" s="44"/>
      <c r="VMD97" s="44"/>
      <c r="VME97" s="44"/>
      <c r="VMF97" s="44"/>
      <c r="VMG97" s="44"/>
      <c r="VMH97" s="44"/>
      <c r="VMI97" s="44"/>
      <c r="VMJ97" s="44"/>
      <c r="VMK97" s="44"/>
      <c r="VML97" s="44"/>
      <c r="VMM97" s="44"/>
      <c r="VMN97" s="44"/>
      <c r="VMO97" s="44"/>
      <c r="VMP97" s="44"/>
      <c r="VMQ97" s="44"/>
      <c r="VMR97" s="44"/>
      <c r="VMS97" s="44"/>
      <c r="VMT97" s="44"/>
      <c r="VMU97" s="44"/>
      <c r="VMV97" s="44"/>
      <c r="VMW97" s="44"/>
      <c r="VMX97" s="44"/>
      <c r="VMY97" s="44"/>
      <c r="VMZ97" s="44"/>
      <c r="VNA97" s="44"/>
      <c r="VNB97" s="44"/>
      <c r="VNC97" s="44"/>
      <c r="VND97" s="44"/>
      <c r="VNE97" s="44"/>
      <c r="VNF97" s="44"/>
      <c r="VNG97" s="44"/>
      <c r="VNH97" s="44"/>
      <c r="VNI97" s="44"/>
      <c r="VNJ97" s="44"/>
      <c r="VNK97" s="44"/>
      <c r="VNL97" s="44"/>
      <c r="VNM97" s="44"/>
      <c r="VNN97" s="44"/>
      <c r="VNO97" s="44"/>
      <c r="VNP97" s="44"/>
      <c r="VNQ97" s="44"/>
      <c r="VNR97" s="44"/>
      <c r="VNS97" s="44"/>
      <c r="VNT97" s="44"/>
      <c r="VNU97" s="44"/>
      <c r="VNV97" s="44"/>
      <c r="VNW97" s="44"/>
      <c r="VNX97" s="44"/>
      <c r="VNY97" s="44"/>
      <c r="VNZ97" s="44"/>
      <c r="VOA97" s="44"/>
      <c r="VOB97" s="44"/>
      <c r="VOC97" s="44"/>
      <c r="VOD97" s="44"/>
      <c r="VOE97" s="44"/>
      <c r="VOF97" s="44"/>
      <c r="VOG97" s="44"/>
      <c r="VOH97" s="44"/>
      <c r="VOI97" s="44"/>
      <c r="VOJ97" s="44"/>
      <c r="VOK97" s="44"/>
      <c r="VOL97" s="44"/>
      <c r="VOM97" s="44"/>
      <c r="VON97" s="44"/>
      <c r="VOO97" s="44"/>
      <c r="VOP97" s="44"/>
      <c r="VOQ97" s="44"/>
      <c r="VOR97" s="44"/>
      <c r="VOS97" s="44"/>
      <c r="VOT97" s="44"/>
      <c r="VOU97" s="44"/>
      <c r="VOV97" s="44"/>
      <c r="VOW97" s="44"/>
      <c r="VOX97" s="44"/>
      <c r="VOY97" s="44"/>
      <c r="VOZ97" s="44"/>
      <c r="VPA97" s="44"/>
      <c r="VPB97" s="44"/>
      <c r="VPC97" s="44"/>
      <c r="VPD97" s="44"/>
      <c r="VPE97" s="44"/>
      <c r="VPF97" s="44"/>
      <c r="VPG97" s="44"/>
      <c r="VPH97" s="44"/>
      <c r="VPI97" s="44"/>
      <c r="VPJ97" s="44"/>
      <c r="VPK97" s="44"/>
      <c r="VPL97" s="44"/>
      <c r="VPM97" s="44"/>
      <c r="VPN97" s="44"/>
      <c r="VPO97" s="44"/>
      <c r="VPP97" s="44"/>
      <c r="VPQ97" s="44"/>
      <c r="VPR97" s="44"/>
      <c r="VPS97" s="44"/>
      <c r="VPT97" s="44"/>
      <c r="VPU97" s="44"/>
      <c r="VPV97" s="44"/>
      <c r="VPW97" s="44"/>
      <c r="VPX97" s="44"/>
      <c r="VPY97" s="44"/>
      <c r="VPZ97" s="44"/>
      <c r="VQA97" s="44"/>
      <c r="VQB97" s="44"/>
      <c r="VQC97" s="44"/>
      <c r="VQD97" s="44"/>
      <c r="VQE97" s="44"/>
      <c r="VQF97" s="44"/>
      <c r="VQG97" s="44"/>
      <c r="VQH97" s="44"/>
      <c r="VQI97" s="44"/>
      <c r="VQJ97" s="44"/>
      <c r="VQK97" s="44"/>
      <c r="VQL97" s="44"/>
      <c r="VQM97" s="44"/>
      <c r="VQN97" s="44"/>
      <c r="VQO97" s="44"/>
      <c r="VQP97" s="44"/>
      <c r="VQQ97" s="44"/>
      <c r="VQR97" s="44"/>
      <c r="VQS97" s="44"/>
      <c r="VQT97" s="44"/>
      <c r="VQU97" s="44"/>
      <c r="VQV97" s="44"/>
      <c r="VQW97" s="44"/>
      <c r="VQX97" s="44"/>
      <c r="VQY97" s="44"/>
      <c r="VQZ97" s="44"/>
      <c r="VRA97" s="44"/>
      <c r="VRB97" s="44"/>
      <c r="VRC97" s="44"/>
      <c r="VRD97" s="44"/>
      <c r="VRE97" s="44"/>
      <c r="VRF97" s="44"/>
      <c r="VRG97" s="44"/>
      <c r="VRH97" s="44"/>
      <c r="VRI97" s="44"/>
      <c r="VRJ97" s="44"/>
      <c r="VRK97" s="44"/>
      <c r="VRL97" s="44"/>
      <c r="VRM97" s="44"/>
      <c r="VRN97" s="44"/>
      <c r="VRO97" s="44"/>
      <c r="VRP97" s="44"/>
      <c r="VRQ97" s="44"/>
      <c r="VRR97" s="44"/>
      <c r="VRS97" s="44"/>
      <c r="VRT97" s="44"/>
      <c r="VRU97" s="44"/>
      <c r="VRV97" s="44"/>
      <c r="VRW97" s="44"/>
      <c r="VRX97" s="44"/>
      <c r="VRY97" s="44"/>
      <c r="VRZ97" s="44"/>
      <c r="VSA97" s="44"/>
      <c r="VSB97" s="44"/>
      <c r="VSC97" s="44"/>
      <c r="VSD97" s="44"/>
      <c r="VSE97" s="44"/>
      <c r="VSF97" s="44"/>
      <c r="VSG97" s="44"/>
      <c r="VSH97" s="44"/>
      <c r="VSI97" s="44"/>
      <c r="VSJ97" s="44"/>
      <c r="VSK97" s="44"/>
      <c r="VSL97" s="44"/>
      <c r="VSM97" s="44"/>
      <c r="VSN97" s="44"/>
      <c r="VSO97" s="44"/>
      <c r="VSP97" s="44"/>
      <c r="VSQ97" s="44"/>
      <c r="VSR97" s="44"/>
      <c r="VSS97" s="44"/>
      <c r="VST97" s="44"/>
      <c r="VSU97" s="44"/>
      <c r="VSV97" s="44"/>
      <c r="VSW97" s="44"/>
      <c r="VSX97" s="44"/>
      <c r="VSY97" s="44"/>
      <c r="VSZ97" s="44"/>
      <c r="VTA97" s="44"/>
      <c r="VTB97" s="44"/>
      <c r="VTC97" s="44"/>
      <c r="VTD97" s="44"/>
      <c r="VTE97" s="44"/>
      <c r="VTF97" s="44"/>
      <c r="VTG97" s="44"/>
      <c r="VTH97" s="44"/>
      <c r="VTI97" s="44"/>
      <c r="VTJ97" s="44"/>
      <c r="VTK97" s="44"/>
      <c r="VTL97" s="44"/>
      <c r="VTM97" s="44"/>
      <c r="VTN97" s="44"/>
      <c r="VTO97" s="44"/>
      <c r="VTP97" s="44"/>
      <c r="VTQ97" s="44"/>
      <c r="VTR97" s="44"/>
      <c r="VTS97" s="44"/>
      <c r="VTT97" s="44"/>
      <c r="VTU97" s="44"/>
      <c r="VTV97" s="44"/>
      <c r="VTW97" s="44"/>
      <c r="VTX97" s="44"/>
      <c r="VTY97" s="44"/>
      <c r="VTZ97" s="44"/>
      <c r="VUA97" s="44"/>
      <c r="VUB97" s="44"/>
      <c r="VUC97" s="44"/>
      <c r="VUD97" s="44"/>
      <c r="VUE97" s="44"/>
      <c r="VUF97" s="44"/>
      <c r="VUG97" s="44"/>
      <c r="VUH97" s="44"/>
      <c r="VUI97" s="44"/>
      <c r="VUJ97" s="44"/>
      <c r="VUK97" s="44"/>
      <c r="VUL97" s="44"/>
      <c r="VUM97" s="44"/>
      <c r="VUN97" s="44"/>
      <c r="VUO97" s="44"/>
      <c r="VUP97" s="44"/>
      <c r="VUQ97" s="44"/>
      <c r="VUR97" s="44"/>
      <c r="VUS97" s="44"/>
      <c r="VUT97" s="44"/>
      <c r="VUU97" s="44"/>
      <c r="VUV97" s="44"/>
      <c r="VUW97" s="44"/>
      <c r="VUX97" s="44"/>
      <c r="VUY97" s="44"/>
      <c r="VUZ97" s="44"/>
      <c r="VVA97" s="44"/>
      <c r="VVB97" s="44"/>
      <c r="VVC97" s="44"/>
      <c r="VVD97" s="44"/>
      <c r="VVE97" s="44"/>
      <c r="VVF97" s="44"/>
      <c r="VVG97" s="44"/>
      <c r="VVH97" s="44"/>
      <c r="VVI97" s="44"/>
      <c r="VVJ97" s="44"/>
      <c r="VVK97" s="44"/>
      <c r="VVL97" s="44"/>
      <c r="VVM97" s="44"/>
      <c r="VVN97" s="44"/>
      <c r="VVO97" s="44"/>
      <c r="VVP97" s="44"/>
      <c r="VVQ97" s="44"/>
      <c r="VVR97" s="44"/>
      <c r="VVS97" s="44"/>
      <c r="VVT97" s="44"/>
      <c r="VVU97" s="44"/>
      <c r="VVV97" s="44"/>
      <c r="VVW97" s="44"/>
      <c r="VVX97" s="44"/>
      <c r="VVY97" s="44"/>
      <c r="VVZ97" s="44"/>
      <c r="VWA97" s="44"/>
      <c r="VWB97" s="44"/>
      <c r="VWC97" s="44"/>
      <c r="VWD97" s="44"/>
      <c r="VWE97" s="44"/>
      <c r="VWF97" s="44"/>
      <c r="VWG97" s="44"/>
      <c r="VWH97" s="44"/>
      <c r="VWI97" s="44"/>
      <c r="VWJ97" s="44"/>
      <c r="VWK97" s="44"/>
      <c r="VWL97" s="44"/>
      <c r="VWM97" s="44"/>
      <c r="VWN97" s="44"/>
      <c r="VWO97" s="44"/>
      <c r="VWP97" s="44"/>
      <c r="VWQ97" s="44"/>
      <c r="VWR97" s="44"/>
      <c r="VWS97" s="44"/>
      <c r="VWT97" s="44"/>
      <c r="VWU97" s="44"/>
      <c r="VWV97" s="44"/>
      <c r="VWW97" s="44"/>
      <c r="VWX97" s="44"/>
      <c r="VWY97" s="44"/>
      <c r="VWZ97" s="44"/>
      <c r="VXA97" s="44"/>
      <c r="VXB97" s="44"/>
      <c r="VXC97" s="44"/>
      <c r="VXD97" s="44"/>
      <c r="VXE97" s="44"/>
      <c r="VXF97" s="44"/>
      <c r="VXG97" s="44"/>
      <c r="VXH97" s="44"/>
      <c r="VXI97" s="44"/>
      <c r="VXJ97" s="44"/>
      <c r="VXK97" s="44"/>
      <c r="VXL97" s="44"/>
      <c r="VXM97" s="44"/>
      <c r="VXN97" s="44"/>
      <c r="VXO97" s="44"/>
      <c r="VXP97" s="44"/>
      <c r="VXQ97" s="44"/>
      <c r="VXR97" s="44"/>
      <c r="VXS97" s="44"/>
      <c r="VXT97" s="44"/>
      <c r="VXU97" s="44"/>
      <c r="VXV97" s="44"/>
      <c r="VXW97" s="44"/>
      <c r="VXX97" s="44"/>
      <c r="VXY97" s="44"/>
      <c r="VXZ97" s="44"/>
      <c r="VYA97" s="44"/>
      <c r="VYB97" s="44"/>
      <c r="VYC97" s="44"/>
      <c r="VYD97" s="44"/>
      <c r="VYE97" s="44"/>
      <c r="VYF97" s="44"/>
      <c r="VYG97" s="44"/>
      <c r="VYH97" s="44"/>
      <c r="VYI97" s="44"/>
      <c r="VYJ97" s="44"/>
      <c r="VYK97" s="44"/>
      <c r="VYL97" s="44"/>
      <c r="VYM97" s="44"/>
      <c r="VYN97" s="44"/>
      <c r="VYO97" s="44"/>
      <c r="VYP97" s="44"/>
      <c r="VYQ97" s="44"/>
      <c r="VYR97" s="44"/>
      <c r="VYS97" s="44"/>
      <c r="VYT97" s="44"/>
      <c r="VYU97" s="44"/>
      <c r="VYV97" s="44"/>
      <c r="VYW97" s="44"/>
      <c r="VYX97" s="44"/>
      <c r="VYY97" s="44"/>
      <c r="VYZ97" s="44"/>
      <c r="VZA97" s="44"/>
      <c r="VZB97" s="44"/>
      <c r="VZC97" s="44"/>
      <c r="VZD97" s="44"/>
      <c r="VZE97" s="44"/>
      <c r="VZF97" s="44"/>
      <c r="VZG97" s="44"/>
      <c r="VZH97" s="44"/>
      <c r="VZI97" s="44"/>
      <c r="VZJ97" s="44"/>
      <c r="VZK97" s="44"/>
      <c r="VZL97" s="44"/>
      <c r="VZM97" s="44"/>
      <c r="VZN97" s="44"/>
      <c r="VZO97" s="44"/>
      <c r="VZP97" s="44"/>
      <c r="VZQ97" s="44"/>
      <c r="VZR97" s="44"/>
      <c r="VZS97" s="44"/>
      <c r="VZT97" s="44"/>
      <c r="VZU97" s="44"/>
      <c r="VZV97" s="44"/>
      <c r="VZW97" s="44"/>
      <c r="VZX97" s="44"/>
      <c r="VZY97" s="44"/>
      <c r="VZZ97" s="44"/>
      <c r="WAA97" s="44"/>
      <c r="WAB97" s="44"/>
      <c r="WAC97" s="44"/>
      <c r="WAD97" s="44"/>
      <c r="WAE97" s="44"/>
      <c r="WAF97" s="44"/>
      <c r="WAG97" s="44"/>
      <c r="WAH97" s="44"/>
      <c r="WAI97" s="44"/>
      <c r="WAJ97" s="44"/>
      <c r="WAK97" s="44"/>
      <c r="WAL97" s="44"/>
      <c r="WAM97" s="44"/>
      <c r="WAN97" s="44"/>
      <c r="WAO97" s="44"/>
      <c r="WAP97" s="44"/>
      <c r="WAQ97" s="44"/>
      <c r="WAR97" s="44"/>
      <c r="WAS97" s="44"/>
      <c r="WAT97" s="44"/>
      <c r="WAU97" s="44"/>
      <c r="WAV97" s="44"/>
      <c r="WAW97" s="44"/>
      <c r="WAX97" s="44"/>
      <c r="WAY97" s="44"/>
      <c r="WAZ97" s="44"/>
      <c r="WBA97" s="44"/>
      <c r="WBB97" s="44"/>
      <c r="WBC97" s="44"/>
      <c r="WBD97" s="44"/>
      <c r="WBE97" s="44"/>
      <c r="WBF97" s="44"/>
      <c r="WBG97" s="44"/>
      <c r="WBH97" s="44"/>
      <c r="WBI97" s="44"/>
      <c r="WBJ97" s="44"/>
      <c r="WBK97" s="44"/>
      <c r="WBL97" s="44"/>
      <c r="WBM97" s="44"/>
      <c r="WBN97" s="44"/>
      <c r="WBO97" s="44"/>
      <c r="WBP97" s="44"/>
      <c r="WBQ97" s="44"/>
      <c r="WBR97" s="44"/>
      <c r="WBS97" s="44"/>
      <c r="WBT97" s="44"/>
      <c r="WBU97" s="44"/>
      <c r="WBV97" s="44"/>
      <c r="WBW97" s="44"/>
      <c r="WBX97" s="44"/>
      <c r="WBY97" s="44"/>
      <c r="WBZ97" s="44"/>
      <c r="WCA97" s="44"/>
      <c r="WCB97" s="44"/>
      <c r="WCC97" s="44"/>
      <c r="WCD97" s="44"/>
      <c r="WCE97" s="44"/>
      <c r="WCF97" s="44"/>
      <c r="WCG97" s="44"/>
      <c r="WCH97" s="44"/>
      <c r="WCI97" s="44"/>
      <c r="WCJ97" s="44"/>
      <c r="WCK97" s="44"/>
      <c r="WCL97" s="44"/>
      <c r="WCM97" s="44"/>
      <c r="WCN97" s="44"/>
      <c r="WCO97" s="44"/>
      <c r="WCP97" s="44"/>
      <c r="WCQ97" s="44"/>
      <c r="WCR97" s="44"/>
      <c r="WCS97" s="44"/>
      <c r="WCT97" s="44"/>
      <c r="WCU97" s="44"/>
      <c r="WCV97" s="44"/>
      <c r="WCW97" s="44"/>
      <c r="WCX97" s="44"/>
      <c r="WCY97" s="44"/>
      <c r="WCZ97" s="44"/>
      <c r="WDA97" s="44"/>
      <c r="WDB97" s="44"/>
      <c r="WDC97" s="44"/>
      <c r="WDD97" s="44"/>
      <c r="WDE97" s="44"/>
      <c r="WDF97" s="44"/>
      <c r="WDG97" s="44"/>
      <c r="WDH97" s="44"/>
      <c r="WDI97" s="44"/>
      <c r="WDJ97" s="44"/>
      <c r="WDK97" s="44"/>
      <c r="WDL97" s="44"/>
      <c r="WDM97" s="44"/>
      <c r="WDN97" s="44"/>
      <c r="WDO97" s="44"/>
      <c r="WDP97" s="44"/>
      <c r="WDQ97" s="44"/>
      <c r="WDR97" s="44"/>
      <c r="WDS97" s="44"/>
      <c r="WDT97" s="44"/>
      <c r="WDU97" s="44"/>
      <c r="WDV97" s="44"/>
      <c r="WDW97" s="44"/>
      <c r="WDX97" s="44"/>
      <c r="WDY97" s="44"/>
      <c r="WDZ97" s="44"/>
      <c r="WEA97" s="44"/>
      <c r="WEB97" s="44"/>
      <c r="WEC97" s="44"/>
      <c r="WED97" s="44"/>
      <c r="WEE97" s="44"/>
      <c r="WEF97" s="44"/>
      <c r="WEG97" s="44"/>
      <c r="WEH97" s="44"/>
      <c r="WEI97" s="44"/>
      <c r="WEJ97" s="44"/>
      <c r="WEK97" s="44"/>
      <c r="WEL97" s="44"/>
      <c r="WEM97" s="44"/>
      <c r="WEN97" s="44"/>
      <c r="WEO97" s="44"/>
      <c r="WEP97" s="44"/>
      <c r="WEQ97" s="44"/>
      <c r="WER97" s="44"/>
      <c r="WES97" s="44"/>
      <c r="WET97" s="44"/>
      <c r="WEU97" s="44"/>
      <c r="WEV97" s="44"/>
      <c r="WEW97" s="44"/>
      <c r="WEX97" s="44"/>
      <c r="WEY97" s="44"/>
      <c r="WEZ97" s="44"/>
      <c r="WFA97" s="44"/>
      <c r="WFB97" s="44"/>
      <c r="WFC97" s="44"/>
      <c r="WFD97" s="44"/>
      <c r="WFE97" s="44"/>
      <c r="WFF97" s="44"/>
      <c r="WFG97" s="44"/>
      <c r="WFH97" s="44"/>
      <c r="WFI97" s="44"/>
      <c r="WFJ97" s="44"/>
      <c r="WFK97" s="44"/>
      <c r="WFL97" s="44"/>
      <c r="WFM97" s="44"/>
      <c r="WFN97" s="44"/>
      <c r="WFO97" s="44"/>
      <c r="WFP97" s="44"/>
      <c r="WFQ97" s="44"/>
      <c r="WFR97" s="44"/>
      <c r="WFS97" s="44"/>
      <c r="WFT97" s="44"/>
      <c r="WFU97" s="44"/>
      <c r="WFV97" s="44"/>
      <c r="WFW97" s="44"/>
      <c r="WFX97" s="44"/>
      <c r="WFY97" s="44"/>
      <c r="WFZ97" s="44"/>
      <c r="WGA97" s="44"/>
      <c r="WGB97" s="44"/>
      <c r="WGC97" s="44"/>
      <c r="WGD97" s="44"/>
      <c r="WGE97" s="44"/>
      <c r="WGF97" s="44"/>
      <c r="WGG97" s="44"/>
      <c r="WGH97" s="44"/>
      <c r="WGI97" s="44"/>
      <c r="WGJ97" s="44"/>
      <c r="WGK97" s="44"/>
      <c r="WGL97" s="44"/>
      <c r="WGM97" s="44"/>
      <c r="WGN97" s="44"/>
      <c r="WGO97" s="44"/>
      <c r="WGP97" s="44"/>
      <c r="WGQ97" s="44"/>
      <c r="WGR97" s="44"/>
      <c r="WGS97" s="44"/>
      <c r="WGT97" s="44"/>
      <c r="WGU97" s="44"/>
      <c r="WGV97" s="44"/>
      <c r="WGW97" s="44"/>
      <c r="WGX97" s="44"/>
      <c r="WGY97" s="44"/>
      <c r="WGZ97" s="44"/>
      <c r="WHA97" s="44"/>
      <c r="WHB97" s="44"/>
      <c r="WHC97" s="44"/>
      <c r="WHD97" s="44"/>
      <c r="WHE97" s="44"/>
      <c r="WHF97" s="44"/>
      <c r="WHG97" s="44"/>
      <c r="WHH97" s="44"/>
      <c r="WHI97" s="44"/>
      <c r="WHJ97" s="44"/>
      <c r="WHK97" s="44"/>
      <c r="WHL97" s="44"/>
      <c r="WHM97" s="44"/>
      <c r="WHN97" s="44"/>
      <c r="WHO97" s="44"/>
      <c r="WHP97" s="44"/>
      <c r="WHQ97" s="44"/>
      <c r="WHR97" s="44"/>
      <c r="WHS97" s="44"/>
      <c r="WHT97" s="44"/>
      <c r="WHU97" s="44"/>
      <c r="WHV97" s="44"/>
      <c r="WHW97" s="44"/>
      <c r="WHX97" s="44"/>
      <c r="WHY97" s="44"/>
      <c r="WHZ97" s="44"/>
      <c r="WIA97" s="44"/>
      <c r="WIB97" s="44"/>
      <c r="WIC97" s="44"/>
      <c r="WID97" s="44"/>
      <c r="WIE97" s="44"/>
      <c r="WIF97" s="44"/>
      <c r="WIG97" s="44"/>
      <c r="WIH97" s="44"/>
      <c r="WII97" s="44"/>
      <c r="WIJ97" s="44"/>
      <c r="WIK97" s="44"/>
      <c r="WIL97" s="44"/>
      <c r="WIM97" s="44"/>
      <c r="WIN97" s="44"/>
      <c r="WIO97" s="44"/>
      <c r="WIP97" s="44"/>
      <c r="WIQ97" s="44"/>
      <c r="WIR97" s="44"/>
      <c r="WIS97" s="44"/>
      <c r="WIT97" s="44"/>
      <c r="WIU97" s="44"/>
      <c r="WIV97" s="44"/>
      <c r="WIW97" s="44"/>
      <c r="WIX97" s="44"/>
      <c r="WIY97" s="44"/>
      <c r="WIZ97" s="44"/>
      <c r="WJA97" s="44"/>
      <c r="WJB97" s="44"/>
      <c r="WJC97" s="44"/>
      <c r="WJD97" s="44"/>
      <c r="WJE97" s="44"/>
      <c r="WJF97" s="44"/>
      <c r="WJG97" s="44"/>
      <c r="WJH97" s="44"/>
      <c r="WJI97" s="44"/>
      <c r="WJJ97" s="44"/>
      <c r="WJK97" s="44"/>
      <c r="WJL97" s="44"/>
      <c r="WJM97" s="44"/>
      <c r="WJN97" s="44"/>
      <c r="WJO97" s="44"/>
      <c r="WJP97" s="44"/>
      <c r="WJQ97" s="44"/>
      <c r="WJR97" s="44"/>
      <c r="WJS97" s="44"/>
      <c r="WJT97" s="44"/>
      <c r="WJU97" s="44"/>
      <c r="WJV97" s="44"/>
      <c r="WJW97" s="44"/>
      <c r="WJX97" s="44"/>
      <c r="WJY97" s="44"/>
      <c r="WJZ97" s="44"/>
      <c r="WKA97" s="44"/>
      <c r="WKB97" s="44"/>
      <c r="WKC97" s="44"/>
      <c r="WKD97" s="44"/>
      <c r="WKE97" s="44"/>
      <c r="WKF97" s="44"/>
      <c r="WKG97" s="44"/>
      <c r="WKH97" s="44"/>
      <c r="WKI97" s="44"/>
      <c r="WKJ97" s="44"/>
      <c r="WKK97" s="44"/>
      <c r="WKL97" s="44"/>
      <c r="WKM97" s="44"/>
      <c r="WKN97" s="44"/>
      <c r="WKO97" s="44"/>
      <c r="WKP97" s="44"/>
      <c r="WKQ97" s="44"/>
      <c r="WKR97" s="44"/>
      <c r="WKS97" s="44"/>
      <c r="WKT97" s="44"/>
      <c r="WKU97" s="44"/>
      <c r="WKV97" s="44"/>
      <c r="WKW97" s="44"/>
      <c r="WKX97" s="44"/>
      <c r="WKY97" s="44"/>
      <c r="WKZ97" s="44"/>
      <c r="WLA97" s="44"/>
      <c r="WLB97" s="44"/>
      <c r="WLC97" s="44"/>
      <c r="WLD97" s="44"/>
      <c r="WLE97" s="44"/>
      <c r="WLF97" s="44"/>
      <c r="WLG97" s="44"/>
      <c r="WLH97" s="44"/>
      <c r="WLI97" s="44"/>
      <c r="WLJ97" s="44"/>
      <c r="WLK97" s="44"/>
      <c r="WLL97" s="44"/>
      <c r="WLM97" s="44"/>
      <c r="WLN97" s="44"/>
      <c r="WLO97" s="44"/>
      <c r="WLP97" s="44"/>
      <c r="WLQ97" s="44"/>
      <c r="WLR97" s="44"/>
      <c r="WLS97" s="44"/>
      <c r="WLT97" s="44"/>
      <c r="WLU97" s="44"/>
      <c r="WLV97" s="44"/>
      <c r="WLW97" s="44"/>
      <c r="WLX97" s="44"/>
      <c r="WLY97" s="44"/>
      <c r="WLZ97" s="44"/>
      <c r="WMA97" s="44"/>
      <c r="WMB97" s="44"/>
      <c r="WMC97" s="44"/>
      <c r="WMD97" s="44"/>
      <c r="WME97" s="44"/>
      <c r="WMF97" s="44"/>
      <c r="WMG97" s="44"/>
      <c r="WMH97" s="44"/>
      <c r="WMI97" s="44"/>
      <c r="WMJ97" s="44"/>
      <c r="WMK97" s="44"/>
      <c r="WML97" s="44"/>
      <c r="WMM97" s="44"/>
      <c r="WMN97" s="44"/>
      <c r="WMO97" s="44"/>
      <c r="WMP97" s="44"/>
      <c r="WMQ97" s="44"/>
      <c r="WMR97" s="44"/>
      <c r="WMS97" s="44"/>
      <c r="WMT97" s="44"/>
      <c r="WMU97" s="44"/>
      <c r="WMV97" s="44"/>
      <c r="WMW97" s="44"/>
      <c r="WMX97" s="44"/>
      <c r="WMY97" s="44"/>
      <c r="WMZ97" s="44"/>
      <c r="WNA97" s="44"/>
      <c r="WNB97" s="44"/>
      <c r="WNC97" s="44"/>
      <c r="WND97" s="44"/>
      <c r="WNE97" s="44"/>
      <c r="WNF97" s="44"/>
      <c r="WNG97" s="44"/>
      <c r="WNH97" s="44"/>
      <c r="WNI97" s="44"/>
      <c r="WNJ97" s="44"/>
      <c r="WNK97" s="44"/>
      <c r="WNL97" s="44"/>
      <c r="WNM97" s="44"/>
      <c r="WNN97" s="44"/>
      <c r="WNO97" s="44"/>
      <c r="WNP97" s="44"/>
      <c r="WNQ97" s="44"/>
      <c r="WNR97" s="44"/>
      <c r="WNS97" s="44"/>
      <c r="WNT97" s="44"/>
      <c r="WNU97" s="44"/>
      <c r="WNV97" s="44"/>
      <c r="WNW97" s="44"/>
      <c r="WNX97" s="44"/>
      <c r="WNY97" s="44"/>
      <c r="WNZ97" s="44"/>
      <c r="WOA97" s="44"/>
      <c r="WOB97" s="44"/>
      <c r="WOC97" s="44"/>
      <c r="WOD97" s="44"/>
      <c r="WOE97" s="44"/>
      <c r="WOF97" s="44"/>
      <c r="WOG97" s="44"/>
      <c r="WOH97" s="44"/>
      <c r="WOI97" s="44"/>
      <c r="WOJ97" s="44"/>
      <c r="WOK97" s="44"/>
      <c r="WOL97" s="44"/>
      <c r="WOM97" s="44"/>
      <c r="WON97" s="44"/>
      <c r="WOO97" s="44"/>
      <c r="WOP97" s="44"/>
      <c r="WOQ97" s="44"/>
      <c r="WOR97" s="44"/>
      <c r="WOS97" s="44"/>
      <c r="WOT97" s="44"/>
      <c r="WOU97" s="44"/>
      <c r="WOV97" s="44"/>
      <c r="WOW97" s="44"/>
      <c r="WOX97" s="44"/>
      <c r="WOY97" s="44"/>
      <c r="WOZ97" s="44"/>
      <c r="WPA97" s="44"/>
      <c r="WPB97" s="44"/>
      <c r="WPC97" s="44"/>
      <c r="WPD97" s="44"/>
      <c r="WPE97" s="44"/>
      <c r="WPF97" s="44"/>
      <c r="WPG97" s="44"/>
      <c r="WPH97" s="44"/>
      <c r="WPI97" s="44"/>
      <c r="WPJ97" s="44"/>
      <c r="WPK97" s="44"/>
      <c r="WPL97" s="44"/>
      <c r="WPM97" s="44"/>
      <c r="WPN97" s="44"/>
      <c r="WPO97" s="44"/>
      <c r="WPP97" s="44"/>
      <c r="WPQ97" s="44"/>
      <c r="WPR97" s="44"/>
      <c r="WPS97" s="44"/>
      <c r="WPT97" s="44"/>
      <c r="WPU97" s="44"/>
      <c r="WPV97" s="44"/>
      <c r="WPW97" s="44"/>
      <c r="WPX97" s="44"/>
      <c r="WPY97" s="44"/>
      <c r="WPZ97" s="44"/>
      <c r="WQA97" s="44"/>
      <c r="WQB97" s="44"/>
      <c r="WQC97" s="44"/>
      <c r="WQD97" s="44"/>
      <c r="WQE97" s="44"/>
      <c r="WQF97" s="44"/>
      <c r="WQG97" s="44"/>
      <c r="WQH97" s="44"/>
      <c r="WQI97" s="44"/>
      <c r="WQJ97" s="44"/>
      <c r="WQK97" s="44"/>
      <c r="WQL97" s="44"/>
      <c r="WQM97" s="44"/>
      <c r="WQN97" s="44"/>
      <c r="WQO97" s="44"/>
      <c r="WQP97" s="44"/>
      <c r="WQQ97" s="44"/>
      <c r="WQR97" s="44"/>
      <c r="WQS97" s="44"/>
      <c r="WQT97" s="44"/>
      <c r="WQU97" s="44"/>
      <c r="WQV97" s="44"/>
      <c r="WQW97" s="44"/>
      <c r="WQX97" s="44"/>
      <c r="WQY97" s="44"/>
      <c r="WQZ97" s="44"/>
      <c r="WRA97" s="44"/>
      <c r="WRB97" s="44"/>
      <c r="WRC97" s="44"/>
      <c r="WRD97" s="44"/>
      <c r="WRE97" s="44"/>
      <c r="WRF97" s="44"/>
      <c r="WRG97" s="44"/>
      <c r="WRH97" s="44"/>
      <c r="WRI97" s="44"/>
      <c r="WRJ97" s="44"/>
      <c r="WRK97" s="44"/>
      <c r="WRL97" s="44"/>
      <c r="WRM97" s="44"/>
      <c r="WRN97" s="44"/>
      <c r="WRO97" s="44"/>
      <c r="WRP97" s="44"/>
      <c r="WRQ97" s="44"/>
      <c r="WRR97" s="44"/>
      <c r="WRS97" s="44"/>
      <c r="WRT97" s="44"/>
      <c r="WRU97" s="44"/>
      <c r="WRV97" s="44"/>
      <c r="WRW97" s="44"/>
      <c r="WRX97" s="44"/>
      <c r="WRY97" s="44"/>
      <c r="WRZ97" s="44"/>
      <c r="WSA97" s="44"/>
      <c r="WSB97" s="44"/>
      <c r="WSC97" s="44"/>
      <c r="WSD97" s="44"/>
      <c r="WSE97" s="44"/>
      <c r="WSF97" s="44"/>
      <c r="WSG97" s="44"/>
      <c r="WSH97" s="44"/>
      <c r="WSI97" s="44"/>
      <c r="WSJ97" s="44"/>
      <c r="WSK97" s="44"/>
      <c r="WSL97" s="44"/>
      <c r="WSM97" s="44"/>
      <c r="WSN97" s="44"/>
      <c r="WSO97" s="44"/>
      <c r="WSP97" s="44"/>
      <c r="WSQ97" s="44"/>
      <c r="WSR97" s="44"/>
      <c r="WSS97" s="44"/>
      <c r="WST97" s="44"/>
      <c r="WSU97" s="44"/>
      <c r="WSV97" s="44"/>
      <c r="WSW97" s="44"/>
      <c r="WSX97" s="44"/>
      <c r="WSY97" s="44"/>
      <c r="WSZ97" s="44"/>
      <c r="WTA97" s="44"/>
      <c r="WTB97" s="44"/>
      <c r="WTC97" s="44"/>
      <c r="WTD97" s="44"/>
      <c r="WTE97" s="44"/>
      <c r="WTF97" s="44"/>
      <c r="WTG97" s="44"/>
      <c r="WTH97" s="44"/>
      <c r="WTI97" s="44"/>
      <c r="WTJ97" s="44"/>
      <c r="WTK97" s="44"/>
      <c r="WTL97" s="44"/>
      <c r="WTM97" s="44"/>
      <c r="WTN97" s="44"/>
      <c r="WTO97" s="44"/>
      <c r="WTP97" s="44"/>
      <c r="WTQ97" s="44"/>
      <c r="WTR97" s="44"/>
      <c r="WTS97" s="44"/>
      <c r="WTT97" s="44"/>
      <c r="WTU97" s="44"/>
      <c r="WTV97" s="44"/>
      <c r="WTW97" s="44"/>
      <c r="WTX97" s="44"/>
      <c r="WTY97" s="44"/>
      <c r="WTZ97" s="44"/>
      <c r="WUA97" s="44"/>
      <c r="WUB97" s="44"/>
      <c r="WUC97" s="44"/>
      <c r="WUD97" s="44"/>
      <c r="WUE97" s="44"/>
      <c r="WUF97" s="44"/>
      <c r="WUG97" s="44"/>
      <c r="WUH97" s="44"/>
      <c r="WUI97" s="44"/>
      <c r="WUJ97" s="44"/>
      <c r="WUK97" s="44"/>
      <c r="WUL97" s="44"/>
      <c r="WUM97" s="44"/>
      <c r="WUN97" s="44"/>
      <c r="WUO97" s="44"/>
      <c r="WUP97" s="44"/>
      <c r="WUQ97" s="44"/>
      <c r="WUR97" s="44"/>
      <c r="WUS97" s="44"/>
      <c r="WUT97" s="44"/>
      <c r="WUU97" s="44"/>
      <c r="WUV97" s="44"/>
      <c r="WUW97" s="44"/>
      <c r="WUX97" s="44"/>
      <c r="WUY97" s="44"/>
      <c r="WUZ97" s="44"/>
      <c r="WVA97" s="44"/>
      <c r="WVB97" s="44"/>
      <c r="WVC97" s="44"/>
      <c r="WVD97" s="44"/>
      <c r="WVE97" s="44"/>
      <c r="WVF97" s="44"/>
      <c r="WVG97" s="44"/>
      <c r="WVH97" s="44"/>
      <c r="WVI97" s="44"/>
      <c r="WVJ97" s="44"/>
      <c r="WVK97" s="44"/>
      <c r="WVL97" s="44"/>
      <c r="WVM97" s="44"/>
      <c r="WVN97" s="44"/>
      <c r="WVO97" s="44"/>
      <c r="WVP97" s="44"/>
      <c r="WVQ97" s="44"/>
      <c r="WVR97" s="44"/>
      <c r="WVS97" s="44"/>
      <c r="WVT97" s="44"/>
      <c r="WVU97" s="44"/>
      <c r="WVV97" s="44"/>
      <c r="WVW97" s="44"/>
    </row>
    <row r="98" spans="2:16143" x14ac:dyDescent="0.25">
      <c r="D98" s="175" t="s">
        <v>61</v>
      </c>
      <c r="E98" s="177" t="s">
        <v>62</v>
      </c>
      <c r="F98" s="176" t="s">
        <v>63</v>
      </c>
      <c r="H98" s="619" t="s">
        <v>64</v>
      </c>
      <c r="I98" s="620"/>
      <c r="J98" s="48" t="s">
        <v>65</v>
      </c>
      <c r="Q98" s="169" t="s">
        <v>66</v>
      </c>
      <c r="R98" s="169" t="s">
        <v>67</v>
      </c>
    </row>
    <row r="99" spans="2:16143" x14ac:dyDescent="0.25">
      <c r="B99" s="49" t="s">
        <v>38</v>
      </c>
      <c r="C99" s="50"/>
      <c r="D99" s="169"/>
      <c r="E99" s="174"/>
      <c r="F99" s="169"/>
      <c r="H99" s="619"/>
      <c r="I99" s="620"/>
      <c r="J99" s="48"/>
      <c r="P99" s="169" t="s">
        <v>38</v>
      </c>
      <c r="Q99" s="170"/>
      <c r="R99" s="171"/>
    </row>
    <row r="100" spans="2:16143" x14ac:dyDescent="0.25">
      <c r="B100" s="49" t="s">
        <v>46</v>
      </c>
      <c r="C100" s="50"/>
      <c r="D100" s="169"/>
      <c r="E100" s="174"/>
      <c r="F100" s="169"/>
      <c r="H100" s="619"/>
      <c r="I100" s="620"/>
      <c r="J100" s="48"/>
      <c r="P100" s="169" t="s">
        <v>46</v>
      </c>
      <c r="Q100" s="170"/>
      <c r="R100" s="171"/>
    </row>
    <row r="101" spans="2:16143" x14ac:dyDescent="0.25">
      <c r="B101" s="49" t="s">
        <v>47</v>
      </c>
      <c r="C101" s="50"/>
      <c r="D101" s="169"/>
      <c r="E101" s="174"/>
      <c r="F101" s="169"/>
      <c r="H101" s="619"/>
      <c r="I101" s="620"/>
      <c r="J101" s="48"/>
      <c r="P101" s="169" t="s">
        <v>47</v>
      </c>
      <c r="Q101" s="170"/>
      <c r="R101" s="171"/>
    </row>
    <row r="102" spans="2:16143" x14ac:dyDescent="0.25">
      <c r="B102" s="49" t="s">
        <v>141</v>
      </c>
      <c r="C102" s="50"/>
      <c r="D102" s="169"/>
      <c r="E102" s="174"/>
      <c r="F102" s="169"/>
      <c r="H102" s="619"/>
      <c r="I102" s="620"/>
      <c r="J102" s="48"/>
      <c r="P102" s="169" t="s">
        <v>141</v>
      </c>
      <c r="Q102" s="170"/>
      <c r="R102" s="171"/>
    </row>
    <row r="103" spans="2:16143" ht="5.0999999999999996" customHeight="1" x14ac:dyDescent="0.25">
      <c r="J103" s="51"/>
    </row>
    <row r="104" spans="2:16143" x14ac:dyDescent="0.25">
      <c r="B104" s="49" t="s">
        <v>68</v>
      </c>
      <c r="C104" s="328"/>
      <c r="D104" s="169"/>
      <c r="E104" s="174"/>
      <c r="F104" s="169"/>
      <c r="H104" s="619"/>
      <c r="I104" s="620"/>
      <c r="J104" s="48"/>
      <c r="P104" s="172" t="s">
        <v>69</v>
      </c>
      <c r="Q104" s="173"/>
      <c r="R104" s="173"/>
    </row>
    <row r="105" spans="2:16143" x14ac:dyDescent="0.25">
      <c r="B105" s="52"/>
      <c r="C105" s="52"/>
      <c r="D105" s="52"/>
      <c r="E105" s="52"/>
      <c r="F105" s="52"/>
    </row>
    <row r="106" spans="2:16143" x14ac:dyDescent="0.25">
      <c r="B106" s="52"/>
      <c r="C106" s="52"/>
      <c r="D106" s="52"/>
      <c r="E106" s="52"/>
      <c r="F106" s="52"/>
    </row>
    <row r="107" spans="2:16143" x14ac:dyDescent="0.25">
      <c r="B107" s="52"/>
      <c r="C107" s="52"/>
      <c r="D107" s="52"/>
      <c r="E107" s="52"/>
      <c r="F107" s="52"/>
      <c r="K107" s="622" t="s">
        <v>70</v>
      </c>
      <c r="L107" s="622"/>
      <c r="M107" s="622"/>
      <c r="N107" s="622"/>
      <c r="O107" s="622"/>
      <c r="P107" s="622"/>
      <c r="Q107" s="622"/>
      <c r="R107" s="622"/>
    </row>
    <row r="108" spans="2:16143" x14ac:dyDescent="0.25">
      <c r="B108" s="52"/>
      <c r="C108" s="52"/>
      <c r="D108" s="52"/>
      <c r="E108" s="52"/>
      <c r="F108" s="52"/>
      <c r="K108" s="328" t="s">
        <v>71</v>
      </c>
      <c r="L108" s="328" t="s">
        <v>72</v>
      </c>
      <c r="M108" s="328"/>
      <c r="N108" s="328"/>
      <c r="O108" s="328"/>
      <c r="P108" s="328" t="s">
        <v>73</v>
      </c>
      <c r="Q108" s="328" t="s">
        <v>74</v>
      </c>
      <c r="R108" s="328" t="s">
        <v>75</v>
      </c>
    </row>
    <row r="109" spans="2:16143" x14ac:dyDescent="0.25">
      <c r="B109" s="52"/>
      <c r="C109" s="52"/>
      <c r="D109" s="52"/>
      <c r="E109" s="52"/>
      <c r="F109" s="52"/>
      <c r="J109" s="181" t="s">
        <v>76</v>
      </c>
      <c r="K109" s="182"/>
      <c r="L109" s="182"/>
      <c r="M109" s="171"/>
      <c r="N109" s="171"/>
      <c r="O109" s="171"/>
      <c r="P109" s="182"/>
      <c r="Q109" s="182"/>
      <c r="R109" s="182"/>
    </row>
    <row r="110" spans="2:16143" x14ac:dyDescent="0.25">
      <c r="B110" s="52"/>
      <c r="C110" s="52"/>
      <c r="D110" s="52"/>
      <c r="E110" s="52"/>
      <c r="F110" s="52"/>
      <c r="J110" s="173" t="s">
        <v>18</v>
      </c>
      <c r="K110" s="183"/>
      <c r="L110" s="183"/>
      <c r="M110" s="183"/>
      <c r="N110" s="183"/>
      <c r="O110" s="183"/>
      <c r="P110" s="183"/>
      <c r="Q110" s="183"/>
      <c r="R110" s="183"/>
    </row>
    <row r="111" spans="2:16143" x14ac:dyDescent="0.25">
      <c r="B111" s="52"/>
      <c r="C111" s="52"/>
      <c r="D111" s="52"/>
      <c r="E111" s="52"/>
      <c r="F111" s="52"/>
    </row>
    <row r="112" spans="2:16143" x14ac:dyDescent="0.25">
      <c r="B112" s="53" t="s">
        <v>77</v>
      </c>
      <c r="C112" s="53"/>
      <c r="D112" s="53"/>
      <c r="E112" s="53" t="s">
        <v>77</v>
      </c>
      <c r="F112" s="53"/>
    </row>
    <row r="113" spans="1:20" x14ac:dyDescent="0.25">
      <c r="B113" s="53"/>
      <c r="C113" s="53"/>
      <c r="D113" s="53"/>
      <c r="E113" s="53"/>
      <c r="F113" s="53"/>
    </row>
    <row r="114" spans="1:20" x14ac:dyDescent="0.25">
      <c r="B114" s="53"/>
      <c r="C114" s="53"/>
      <c r="D114" s="53"/>
      <c r="E114" s="53"/>
      <c r="F114" s="53"/>
    </row>
    <row r="115" spans="1:20" x14ac:dyDescent="0.25">
      <c r="B115" s="53"/>
      <c r="C115" s="53"/>
      <c r="D115" s="53"/>
      <c r="E115" s="53"/>
      <c r="F115" s="53"/>
    </row>
    <row r="116" spans="1:20" x14ac:dyDescent="0.25">
      <c r="B116" s="54" t="s">
        <v>201</v>
      </c>
      <c r="C116" s="54"/>
      <c r="D116" s="54"/>
      <c r="E116" s="54" t="s">
        <v>78</v>
      </c>
      <c r="F116" s="54"/>
    </row>
    <row r="117" spans="1:20" x14ac:dyDescent="0.25">
      <c r="B117" s="54" t="s">
        <v>79</v>
      </c>
      <c r="C117" s="54"/>
      <c r="D117" s="54"/>
      <c r="E117" s="54" t="s">
        <v>80</v>
      </c>
      <c r="F117" s="54"/>
    </row>
    <row r="120" spans="1:20" x14ac:dyDescent="0.25">
      <c r="A120"/>
      <c r="B120"/>
      <c r="C120"/>
      <c r="D120"/>
      <c r="E120"/>
      <c r="F120"/>
      <c r="G120"/>
      <c r="H120"/>
      <c r="I120"/>
      <c r="J120"/>
      <c r="K120"/>
      <c r="T120" s="586" t="s">
        <v>200</v>
      </c>
    </row>
    <row r="121" spans="1:20" x14ac:dyDescent="0.25">
      <c r="A121"/>
      <c r="B121" s="531"/>
      <c r="C121" s="271"/>
      <c r="D121" s="271"/>
      <c r="E121" s="271"/>
      <c r="F121" s="271"/>
    </row>
  </sheetData>
  <sortState ref="A7:T41">
    <sortCondition ref="A7:A41"/>
  </sortState>
  <mergeCells count="15">
    <mergeCell ref="B5:L5"/>
    <mergeCell ref="H98:I98"/>
    <mergeCell ref="H99:I99"/>
    <mergeCell ref="B4:L4"/>
    <mergeCell ref="K107:R107"/>
    <mergeCell ref="H100:I100"/>
    <mergeCell ref="H101:I101"/>
    <mergeCell ref="H102:I102"/>
    <mergeCell ref="H104:I104"/>
    <mergeCell ref="S1:T1"/>
    <mergeCell ref="S2:T2"/>
    <mergeCell ref="S3:T3"/>
    <mergeCell ref="A1:B3"/>
    <mergeCell ref="C1:R1"/>
    <mergeCell ref="C2:R3"/>
  </mergeCells>
  <conditionalFormatting sqref="A8:A10">
    <cfRule type="cellIs" dxfId="219" priority="283" operator="equal">
      <formula>0</formula>
    </cfRule>
  </conditionalFormatting>
  <conditionalFormatting sqref="P8:Q8">
    <cfRule type="cellIs" dxfId="218" priority="272" operator="equal">
      <formula>0</formula>
    </cfRule>
  </conditionalFormatting>
  <conditionalFormatting sqref="R8:T8">
    <cfRule type="cellIs" dxfId="217" priority="271" operator="equal">
      <formula>0</formula>
    </cfRule>
  </conditionalFormatting>
  <conditionalFormatting sqref="T9:T41">
    <cfRule type="cellIs" dxfId="216" priority="269" operator="equal">
      <formula>0</formula>
    </cfRule>
  </conditionalFormatting>
  <conditionalFormatting sqref="P42">
    <cfRule type="cellIs" dxfId="215" priority="265" operator="equal">
      <formula>0</formula>
    </cfRule>
  </conditionalFormatting>
  <conditionalFormatting sqref="P9:P41">
    <cfRule type="cellIs" dxfId="214" priority="270" operator="equal">
      <formula>0</formula>
    </cfRule>
  </conditionalFormatting>
  <conditionalFormatting sqref="T42">
    <cfRule type="cellIs" dxfId="213" priority="264" operator="equal">
      <formula>0</formula>
    </cfRule>
  </conditionalFormatting>
  <conditionalFormatting sqref="P43">
    <cfRule type="cellIs" dxfId="212" priority="261" operator="equal">
      <formula>0</formula>
    </cfRule>
  </conditionalFormatting>
  <conditionalFormatting sqref="T43">
    <cfRule type="cellIs" dxfId="211" priority="260" operator="equal">
      <formula>0</formula>
    </cfRule>
  </conditionalFormatting>
  <conditionalFormatting sqref="P44">
    <cfRule type="cellIs" dxfId="210" priority="257" operator="equal">
      <formula>0</formula>
    </cfRule>
  </conditionalFormatting>
  <conditionalFormatting sqref="T44">
    <cfRule type="cellIs" dxfId="209" priority="256" operator="equal">
      <formula>0</formula>
    </cfRule>
  </conditionalFormatting>
  <conditionalFormatting sqref="P45">
    <cfRule type="cellIs" dxfId="208" priority="253" operator="equal">
      <formula>0</formula>
    </cfRule>
  </conditionalFormatting>
  <conditionalFormatting sqref="T45">
    <cfRule type="cellIs" dxfId="207" priority="252" operator="equal">
      <formula>0</formula>
    </cfRule>
  </conditionalFormatting>
  <conditionalFormatting sqref="P46">
    <cfRule type="cellIs" dxfId="206" priority="249" operator="equal">
      <formula>0</formula>
    </cfRule>
  </conditionalFormatting>
  <conditionalFormatting sqref="T46">
    <cfRule type="cellIs" dxfId="205" priority="248" operator="equal">
      <formula>0</formula>
    </cfRule>
  </conditionalFormatting>
  <conditionalFormatting sqref="P47">
    <cfRule type="cellIs" dxfId="204" priority="245" operator="equal">
      <formula>0</formula>
    </cfRule>
  </conditionalFormatting>
  <conditionalFormatting sqref="T47">
    <cfRule type="cellIs" dxfId="203" priority="244" operator="equal">
      <formula>0</formula>
    </cfRule>
  </conditionalFormatting>
  <conditionalFormatting sqref="P48">
    <cfRule type="cellIs" dxfId="202" priority="241" operator="equal">
      <formula>0</formula>
    </cfRule>
  </conditionalFormatting>
  <conditionalFormatting sqref="T48">
    <cfRule type="cellIs" dxfId="201" priority="240" operator="equal">
      <formula>0</formula>
    </cfRule>
  </conditionalFormatting>
  <conditionalFormatting sqref="P49">
    <cfRule type="cellIs" dxfId="200" priority="237" operator="equal">
      <formula>0</formula>
    </cfRule>
  </conditionalFormatting>
  <conditionalFormatting sqref="T49">
    <cfRule type="cellIs" dxfId="199" priority="236" operator="equal">
      <formula>0</formula>
    </cfRule>
  </conditionalFormatting>
  <conditionalFormatting sqref="P50">
    <cfRule type="cellIs" dxfId="198" priority="233" operator="equal">
      <formula>0</formula>
    </cfRule>
  </conditionalFormatting>
  <conditionalFormatting sqref="T50">
    <cfRule type="cellIs" dxfId="197" priority="232" operator="equal">
      <formula>0</formula>
    </cfRule>
  </conditionalFormatting>
  <conditionalFormatting sqref="P51">
    <cfRule type="cellIs" dxfId="196" priority="229" operator="equal">
      <formula>0</formula>
    </cfRule>
  </conditionalFormatting>
  <conditionalFormatting sqref="T51">
    <cfRule type="cellIs" dxfId="195" priority="228" operator="equal">
      <formula>0</formula>
    </cfRule>
  </conditionalFormatting>
  <conditionalFormatting sqref="P52">
    <cfRule type="cellIs" dxfId="194" priority="225" operator="equal">
      <formula>0</formula>
    </cfRule>
  </conditionalFormatting>
  <conditionalFormatting sqref="T52">
    <cfRule type="cellIs" dxfId="193" priority="224" operator="equal">
      <formula>0</formula>
    </cfRule>
  </conditionalFormatting>
  <conditionalFormatting sqref="P53">
    <cfRule type="cellIs" dxfId="192" priority="221" operator="equal">
      <formula>0</formula>
    </cfRule>
  </conditionalFormatting>
  <conditionalFormatting sqref="T53">
    <cfRule type="cellIs" dxfId="191" priority="220" operator="equal">
      <formula>0</formula>
    </cfRule>
  </conditionalFormatting>
  <conditionalFormatting sqref="P54">
    <cfRule type="cellIs" dxfId="190" priority="217" operator="equal">
      <formula>0</formula>
    </cfRule>
  </conditionalFormatting>
  <conditionalFormatting sqref="T54">
    <cfRule type="cellIs" dxfId="189" priority="216" operator="equal">
      <formula>0</formula>
    </cfRule>
  </conditionalFormatting>
  <conditionalFormatting sqref="P55">
    <cfRule type="cellIs" dxfId="188" priority="213" operator="equal">
      <formula>0</formula>
    </cfRule>
  </conditionalFormatting>
  <conditionalFormatting sqref="T55">
    <cfRule type="cellIs" dxfId="187" priority="212" operator="equal">
      <formula>0</formula>
    </cfRule>
  </conditionalFormatting>
  <conditionalFormatting sqref="P56">
    <cfRule type="cellIs" dxfId="186" priority="209" operator="equal">
      <formula>0</formula>
    </cfRule>
  </conditionalFormatting>
  <conditionalFormatting sqref="T56">
    <cfRule type="cellIs" dxfId="185" priority="208" operator="equal">
      <formula>0</formula>
    </cfRule>
  </conditionalFormatting>
  <conditionalFormatting sqref="P57">
    <cfRule type="cellIs" dxfId="184" priority="205" operator="equal">
      <formula>0</formula>
    </cfRule>
  </conditionalFormatting>
  <conditionalFormatting sqref="T57">
    <cfRule type="cellIs" dxfId="183" priority="204" operator="equal">
      <formula>0</formula>
    </cfRule>
  </conditionalFormatting>
  <conditionalFormatting sqref="P58">
    <cfRule type="cellIs" dxfId="182" priority="201" operator="equal">
      <formula>0</formula>
    </cfRule>
  </conditionalFormatting>
  <conditionalFormatting sqref="T58">
    <cfRule type="cellIs" dxfId="181" priority="200" operator="equal">
      <formula>0</formula>
    </cfRule>
  </conditionalFormatting>
  <conditionalFormatting sqref="P59">
    <cfRule type="cellIs" dxfId="180" priority="197" operator="equal">
      <formula>0</formula>
    </cfRule>
  </conditionalFormatting>
  <conditionalFormatting sqref="T59">
    <cfRule type="cellIs" dxfId="179" priority="196" operator="equal">
      <formula>0</formula>
    </cfRule>
  </conditionalFormatting>
  <conditionalFormatting sqref="P60">
    <cfRule type="cellIs" dxfId="178" priority="193" operator="equal">
      <formula>0</formula>
    </cfRule>
  </conditionalFormatting>
  <conditionalFormatting sqref="T60">
    <cfRule type="cellIs" dxfId="177" priority="192" operator="equal">
      <formula>0</formula>
    </cfRule>
  </conditionalFormatting>
  <conditionalFormatting sqref="P61">
    <cfRule type="cellIs" dxfId="176" priority="189" operator="equal">
      <formula>0</formula>
    </cfRule>
  </conditionalFormatting>
  <conditionalFormatting sqref="T61">
    <cfRule type="cellIs" dxfId="175" priority="188" operator="equal">
      <formula>0</formula>
    </cfRule>
  </conditionalFormatting>
  <conditionalFormatting sqref="P62">
    <cfRule type="cellIs" dxfId="174" priority="185" operator="equal">
      <formula>0</formula>
    </cfRule>
  </conditionalFormatting>
  <conditionalFormatting sqref="T62">
    <cfRule type="cellIs" dxfId="173" priority="184" operator="equal">
      <formula>0</formula>
    </cfRule>
  </conditionalFormatting>
  <conditionalFormatting sqref="P63">
    <cfRule type="cellIs" dxfId="172" priority="181" operator="equal">
      <formula>0</formula>
    </cfRule>
  </conditionalFormatting>
  <conditionalFormatting sqref="T63">
    <cfRule type="cellIs" dxfId="171" priority="180" operator="equal">
      <formula>0</formula>
    </cfRule>
  </conditionalFormatting>
  <conditionalFormatting sqref="A11:A63">
    <cfRule type="cellIs" dxfId="170" priority="178" operator="equal">
      <formula>0</formula>
    </cfRule>
  </conditionalFormatting>
  <conditionalFormatting sqref="R9:S63">
    <cfRule type="cellIs" dxfId="169" priority="172" operator="equal">
      <formula>0</formula>
    </cfRule>
  </conditionalFormatting>
  <conditionalFormatting sqref="Q9:Q63">
    <cfRule type="cellIs" dxfId="168" priority="171" operator="equal">
      <formula>0</formula>
    </cfRule>
  </conditionalFormatting>
  <conditionalFormatting sqref="Q64">
    <cfRule type="cellIs" dxfId="167" priority="166" operator="equal">
      <formula>0</formula>
    </cfRule>
  </conditionalFormatting>
  <conditionalFormatting sqref="Q65">
    <cfRule type="cellIs" dxfId="166" priority="161" operator="equal">
      <formula>0</formula>
    </cfRule>
  </conditionalFormatting>
  <conditionalFormatting sqref="Q66">
    <cfRule type="cellIs" dxfId="165" priority="156" operator="equal">
      <formula>0</formula>
    </cfRule>
  </conditionalFormatting>
  <conditionalFormatting sqref="Q67">
    <cfRule type="cellIs" dxfId="164" priority="151" operator="equal">
      <formula>0</formula>
    </cfRule>
  </conditionalFormatting>
  <conditionalFormatting sqref="P64">
    <cfRule type="cellIs" dxfId="163" priority="170" operator="equal">
      <formula>0</formula>
    </cfRule>
  </conditionalFormatting>
  <conditionalFormatting sqref="T64">
    <cfRule type="cellIs" dxfId="162" priority="169" operator="equal">
      <formula>0</formula>
    </cfRule>
  </conditionalFormatting>
  <conditionalFormatting sqref="A64">
    <cfRule type="cellIs" dxfId="161" priority="168" operator="equal">
      <formula>0</formula>
    </cfRule>
  </conditionalFormatting>
  <conditionalFormatting sqref="R64:S64">
    <cfRule type="cellIs" dxfId="160" priority="167" operator="equal">
      <formula>0</formula>
    </cfRule>
  </conditionalFormatting>
  <conditionalFormatting sqref="Q68">
    <cfRule type="cellIs" dxfId="159" priority="146" operator="equal">
      <formula>0</formula>
    </cfRule>
  </conditionalFormatting>
  <conditionalFormatting sqref="Q69">
    <cfRule type="cellIs" dxfId="158" priority="141" operator="equal">
      <formula>0</formula>
    </cfRule>
  </conditionalFormatting>
  <conditionalFormatting sqref="P65">
    <cfRule type="cellIs" dxfId="157" priority="165" operator="equal">
      <formula>0</formula>
    </cfRule>
  </conditionalFormatting>
  <conditionalFormatting sqref="T65">
    <cfRule type="cellIs" dxfId="156" priority="164" operator="equal">
      <formula>0</formula>
    </cfRule>
  </conditionalFormatting>
  <conditionalFormatting sqref="A65">
    <cfRule type="cellIs" dxfId="155" priority="163" operator="equal">
      <formula>0</formula>
    </cfRule>
  </conditionalFormatting>
  <conditionalFormatting sqref="R65:S65">
    <cfRule type="cellIs" dxfId="154" priority="162" operator="equal">
      <formula>0</formula>
    </cfRule>
  </conditionalFormatting>
  <conditionalFormatting sqref="Q70">
    <cfRule type="cellIs" dxfId="153" priority="136" operator="equal">
      <formula>0</formula>
    </cfRule>
  </conditionalFormatting>
  <conditionalFormatting sqref="P66">
    <cfRule type="cellIs" dxfId="152" priority="160" operator="equal">
      <formula>0</formula>
    </cfRule>
  </conditionalFormatting>
  <conditionalFormatting sqref="T66">
    <cfRule type="cellIs" dxfId="151" priority="159" operator="equal">
      <formula>0</formula>
    </cfRule>
  </conditionalFormatting>
  <conditionalFormatting sqref="A66">
    <cfRule type="cellIs" dxfId="150" priority="158" operator="equal">
      <formula>0</formula>
    </cfRule>
  </conditionalFormatting>
  <conditionalFormatting sqref="R66:S66">
    <cfRule type="cellIs" dxfId="149" priority="157" operator="equal">
      <formula>0</formula>
    </cfRule>
  </conditionalFormatting>
  <conditionalFormatting sqref="Q71">
    <cfRule type="cellIs" dxfId="148" priority="131" operator="equal">
      <formula>0</formula>
    </cfRule>
  </conditionalFormatting>
  <conditionalFormatting sqref="P67">
    <cfRule type="cellIs" dxfId="147" priority="155" operator="equal">
      <formula>0</formula>
    </cfRule>
  </conditionalFormatting>
  <conditionalFormatting sqref="T67">
    <cfRule type="cellIs" dxfId="146" priority="154" operator="equal">
      <formula>0</formula>
    </cfRule>
  </conditionalFormatting>
  <conditionalFormatting sqref="A67">
    <cfRule type="cellIs" dxfId="145" priority="153" operator="equal">
      <formula>0</formula>
    </cfRule>
  </conditionalFormatting>
  <conditionalFormatting sqref="R67:S67">
    <cfRule type="cellIs" dxfId="144" priority="152" operator="equal">
      <formula>0</formula>
    </cfRule>
  </conditionalFormatting>
  <conditionalFormatting sqref="Q72">
    <cfRule type="cellIs" dxfId="143" priority="126" operator="equal">
      <formula>0</formula>
    </cfRule>
  </conditionalFormatting>
  <conditionalFormatting sqref="P68">
    <cfRule type="cellIs" dxfId="142" priority="150" operator="equal">
      <formula>0</formula>
    </cfRule>
  </conditionalFormatting>
  <conditionalFormatting sqref="T68">
    <cfRule type="cellIs" dxfId="141" priority="149" operator="equal">
      <formula>0</formula>
    </cfRule>
  </conditionalFormatting>
  <conditionalFormatting sqref="A68">
    <cfRule type="cellIs" dxfId="140" priority="148" operator="equal">
      <formula>0</formula>
    </cfRule>
  </conditionalFormatting>
  <conditionalFormatting sqref="R68:S68">
    <cfRule type="cellIs" dxfId="139" priority="147" operator="equal">
      <formula>0</formula>
    </cfRule>
  </conditionalFormatting>
  <conditionalFormatting sqref="Q73">
    <cfRule type="cellIs" dxfId="138" priority="121" operator="equal">
      <formula>0</formula>
    </cfRule>
  </conditionalFormatting>
  <conditionalFormatting sqref="P69">
    <cfRule type="cellIs" dxfId="137" priority="145" operator="equal">
      <formula>0</formula>
    </cfRule>
  </conditionalFormatting>
  <conditionalFormatting sqref="T69">
    <cfRule type="cellIs" dxfId="136" priority="144" operator="equal">
      <formula>0</formula>
    </cfRule>
  </conditionalFormatting>
  <conditionalFormatting sqref="A69">
    <cfRule type="cellIs" dxfId="135" priority="143" operator="equal">
      <formula>0</formula>
    </cfRule>
  </conditionalFormatting>
  <conditionalFormatting sqref="R69:S69">
    <cfRule type="cellIs" dxfId="134" priority="142" operator="equal">
      <formula>0</formula>
    </cfRule>
  </conditionalFormatting>
  <conditionalFormatting sqref="Q74">
    <cfRule type="cellIs" dxfId="133" priority="116" operator="equal">
      <formula>0</formula>
    </cfRule>
  </conditionalFormatting>
  <conditionalFormatting sqref="P70">
    <cfRule type="cellIs" dxfId="132" priority="140" operator="equal">
      <formula>0</formula>
    </cfRule>
  </conditionalFormatting>
  <conditionalFormatting sqref="T70">
    <cfRule type="cellIs" dxfId="131" priority="139" operator="equal">
      <formula>0</formula>
    </cfRule>
  </conditionalFormatting>
  <conditionalFormatting sqref="A70">
    <cfRule type="cellIs" dxfId="130" priority="138" operator="equal">
      <formula>0</formula>
    </cfRule>
  </conditionalFormatting>
  <conditionalFormatting sqref="R70:S70">
    <cfRule type="cellIs" dxfId="129" priority="137" operator="equal">
      <formula>0</formula>
    </cfRule>
  </conditionalFormatting>
  <conditionalFormatting sqref="Q75">
    <cfRule type="cellIs" dxfId="128" priority="111" operator="equal">
      <formula>0</formula>
    </cfRule>
  </conditionalFormatting>
  <conditionalFormatting sqref="P71">
    <cfRule type="cellIs" dxfId="127" priority="135" operator="equal">
      <formula>0</formula>
    </cfRule>
  </conditionalFormatting>
  <conditionalFormatting sqref="T71">
    <cfRule type="cellIs" dxfId="126" priority="134" operator="equal">
      <formula>0</formula>
    </cfRule>
  </conditionalFormatting>
  <conditionalFormatting sqref="A71">
    <cfRule type="cellIs" dxfId="125" priority="133" operator="equal">
      <formula>0</formula>
    </cfRule>
  </conditionalFormatting>
  <conditionalFormatting sqref="R71:S71">
    <cfRule type="cellIs" dxfId="124" priority="132" operator="equal">
      <formula>0</formula>
    </cfRule>
  </conditionalFormatting>
  <conditionalFormatting sqref="Q76">
    <cfRule type="cellIs" dxfId="123" priority="106" operator="equal">
      <formula>0</formula>
    </cfRule>
  </conditionalFormatting>
  <conditionalFormatting sqref="P72">
    <cfRule type="cellIs" dxfId="122" priority="130" operator="equal">
      <formula>0</formula>
    </cfRule>
  </conditionalFormatting>
  <conditionalFormatting sqref="T72">
    <cfRule type="cellIs" dxfId="121" priority="129" operator="equal">
      <formula>0</formula>
    </cfRule>
  </conditionalFormatting>
  <conditionalFormatting sqref="A72">
    <cfRule type="cellIs" dxfId="120" priority="128" operator="equal">
      <formula>0</formula>
    </cfRule>
  </conditionalFormatting>
  <conditionalFormatting sqref="R72:S72">
    <cfRule type="cellIs" dxfId="119" priority="127" operator="equal">
      <formula>0</formula>
    </cfRule>
  </conditionalFormatting>
  <conditionalFormatting sqref="Q77">
    <cfRule type="cellIs" dxfId="118" priority="101" operator="equal">
      <formula>0</formula>
    </cfRule>
  </conditionalFormatting>
  <conditionalFormatting sqref="P73">
    <cfRule type="cellIs" dxfId="117" priority="125" operator="equal">
      <formula>0</formula>
    </cfRule>
  </conditionalFormatting>
  <conditionalFormatting sqref="T73">
    <cfRule type="cellIs" dxfId="116" priority="124" operator="equal">
      <formula>0</formula>
    </cfRule>
  </conditionalFormatting>
  <conditionalFormatting sqref="A73">
    <cfRule type="cellIs" dxfId="115" priority="123" operator="equal">
      <formula>0</formula>
    </cfRule>
  </conditionalFormatting>
  <conditionalFormatting sqref="R73:S73">
    <cfRule type="cellIs" dxfId="114" priority="122" operator="equal">
      <formula>0</formula>
    </cfRule>
  </conditionalFormatting>
  <conditionalFormatting sqref="Q78">
    <cfRule type="cellIs" dxfId="113" priority="96" operator="equal">
      <formula>0</formula>
    </cfRule>
  </conditionalFormatting>
  <conditionalFormatting sqref="P74">
    <cfRule type="cellIs" dxfId="112" priority="120" operator="equal">
      <formula>0</formula>
    </cfRule>
  </conditionalFormatting>
  <conditionalFormatting sqref="T74">
    <cfRule type="cellIs" dxfId="111" priority="119" operator="equal">
      <formula>0</formula>
    </cfRule>
  </conditionalFormatting>
  <conditionalFormatting sqref="A74">
    <cfRule type="cellIs" dxfId="110" priority="118" operator="equal">
      <formula>0</formula>
    </cfRule>
  </conditionalFormatting>
  <conditionalFormatting sqref="R74:S74">
    <cfRule type="cellIs" dxfId="109" priority="117" operator="equal">
      <formula>0</formula>
    </cfRule>
  </conditionalFormatting>
  <conditionalFormatting sqref="Q79">
    <cfRule type="cellIs" dxfId="108" priority="91" operator="equal">
      <formula>0</formula>
    </cfRule>
  </conditionalFormatting>
  <conditionalFormatting sqref="P75">
    <cfRule type="cellIs" dxfId="107" priority="115" operator="equal">
      <formula>0</formula>
    </cfRule>
  </conditionalFormatting>
  <conditionalFormatting sqref="T75">
    <cfRule type="cellIs" dxfId="106" priority="114" operator="equal">
      <formula>0</formula>
    </cfRule>
  </conditionalFormatting>
  <conditionalFormatting sqref="A75">
    <cfRule type="cellIs" dxfId="105" priority="113" operator="equal">
      <formula>0</formula>
    </cfRule>
  </conditionalFormatting>
  <conditionalFormatting sqref="R75:S75">
    <cfRule type="cellIs" dxfId="104" priority="112" operator="equal">
      <formula>0</formula>
    </cfRule>
  </conditionalFormatting>
  <conditionalFormatting sqref="Q80">
    <cfRule type="cellIs" dxfId="103" priority="86" operator="equal">
      <formula>0</formula>
    </cfRule>
  </conditionalFormatting>
  <conditionalFormatting sqref="P76">
    <cfRule type="cellIs" dxfId="102" priority="110" operator="equal">
      <formula>0</formula>
    </cfRule>
  </conditionalFormatting>
  <conditionalFormatting sqref="T76">
    <cfRule type="cellIs" dxfId="101" priority="109" operator="equal">
      <formula>0</formula>
    </cfRule>
  </conditionalFormatting>
  <conditionalFormatting sqref="A76">
    <cfRule type="cellIs" dxfId="100" priority="108" operator="equal">
      <formula>0</formula>
    </cfRule>
  </conditionalFormatting>
  <conditionalFormatting sqref="R76:S76">
    <cfRule type="cellIs" dxfId="99" priority="107" operator="equal">
      <formula>0</formula>
    </cfRule>
  </conditionalFormatting>
  <conditionalFormatting sqref="Q81">
    <cfRule type="cellIs" dxfId="98" priority="81" operator="equal">
      <formula>0</formula>
    </cfRule>
  </conditionalFormatting>
  <conditionalFormatting sqref="P77">
    <cfRule type="cellIs" dxfId="97" priority="105" operator="equal">
      <formula>0</formula>
    </cfRule>
  </conditionalFormatting>
  <conditionalFormatting sqref="T77">
    <cfRule type="cellIs" dxfId="96" priority="104" operator="equal">
      <formula>0</formula>
    </cfRule>
  </conditionalFormatting>
  <conditionalFormatting sqref="A77">
    <cfRule type="cellIs" dxfId="95" priority="103" operator="equal">
      <formula>0</formula>
    </cfRule>
  </conditionalFormatting>
  <conditionalFormatting sqref="R77:S77">
    <cfRule type="cellIs" dxfId="94" priority="102" operator="equal">
      <formula>0</formula>
    </cfRule>
  </conditionalFormatting>
  <conditionalFormatting sqref="Q82">
    <cfRule type="cellIs" dxfId="93" priority="76" operator="equal">
      <formula>0</formula>
    </cfRule>
  </conditionalFormatting>
  <conditionalFormatting sqref="P78">
    <cfRule type="cellIs" dxfId="92" priority="100" operator="equal">
      <formula>0</formula>
    </cfRule>
  </conditionalFormatting>
  <conditionalFormatting sqref="T78">
    <cfRule type="cellIs" dxfId="91" priority="99" operator="equal">
      <formula>0</formula>
    </cfRule>
  </conditionalFormatting>
  <conditionalFormatting sqref="A78">
    <cfRule type="cellIs" dxfId="90" priority="98" operator="equal">
      <formula>0</formula>
    </cfRule>
  </conditionalFormatting>
  <conditionalFormatting sqref="R78:S78">
    <cfRule type="cellIs" dxfId="89" priority="97" operator="equal">
      <formula>0</formula>
    </cfRule>
  </conditionalFormatting>
  <conditionalFormatting sqref="Q83">
    <cfRule type="cellIs" dxfId="88" priority="71" operator="equal">
      <formula>0</formula>
    </cfRule>
  </conditionalFormatting>
  <conditionalFormatting sqref="P79">
    <cfRule type="cellIs" dxfId="87" priority="95" operator="equal">
      <formula>0</formula>
    </cfRule>
  </conditionalFormatting>
  <conditionalFormatting sqref="T79">
    <cfRule type="cellIs" dxfId="86" priority="94" operator="equal">
      <formula>0</formula>
    </cfRule>
  </conditionalFormatting>
  <conditionalFormatting sqref="A79">
    <cfRule type="cellIs" dxfId="85" priority="93" operator="equal">
      <formula>0</formula>
    </cfRule>
  </conditionalFormatting>
  <conditionalFormatting sqref="R79:S79">
    <cfRule type="cellIs" dxfId="84" priority="92" operator="equal">
      <formula>0</formula>
    </cfRule>
  </conditionalFormatting>
  <conditionalFormatting sqref="Q84">
    <cfRule type="cellIs" dxfId="83" priority="66" operator="equal">
      <formula>0</formula>
    </cfRule>
  </conditionalFormatting>
  <conditionalFormatting sqref="P80">
    <cfRule type="cellIs" dxfId="82" priority="90" operator="equal">
      <formula>0</formula>
    </cfRule>
  </conditionalFormatting>
  <conditionalFormatting sqref="T80">
    <cfRule type="cellIs" dxfId="81" priority="89" operator="equal">
      <formula>0</formula>
    </cfRule>
  </conditionalFormatting>
  <conditionalFormatting sqref="A80">
    <cfRule type="cellIs" dxfId="80" priority="88" operator="equal">
      <formula>0</formula>
    </cfRule>
  </conditionalFormatting>
  <conditionalFormatting sqref="R80:S80">
    <cfRule type="cellIs" dxfId="79" priority="87" operator="equal">
      <formula>0</formula>
    </cfRule>
  </conditionalFormatting>
  <conditionalFormatting sqref="Q85">
    <cfRule type="cellIs" dxfId="78" priority="56" operator="equal">
      <formula>0</formula>
    </cfRule>
  </conditionalFormatting>
  <conditionalFormatting sqref="P81">
    <cfRule type="cellIs" dxfId="77" priority="85" operator="equal">
      <formula>0</formula>
    </cfRule>
  </conditionalFormatting>
  <conditionalFormatting sqref="T81">
    <cfRule type="cellIs" dxfId="76" priority="84" operator="equal">
      <formula>0</formula>
    </cfRule>
  </conditionalFormatting>
  <conditionalFormatting sqref="A81">
    <cfRule type="cellIs" dxfId="75" priority="83" operator="equal">
      <formula>0</formula>
    </cfRule>
  </conditionalFormatting>
  <conditionalFormatting sqref="R81:S81">
    <cfRule type="cellIs" dxfId="74" priority="82" operator="equal">
      <formula>0</formula>
    </cfRule>
  </conditionalFormatting>
  <conditionalFormatting sqref="Q86">
    <cfRule type="cellIs" dxfId="73" priority="51" operator="equal">
      <formula>0</formula>
    </cfRule>
  </conditionalFormatting>
  <conditionalFormatting sqref="P82">
    <cfRule type="cellIs" dxfId="72" priority="80" operator="equal">
      <formula>0</formula>
    </cfRule>
  </conditionalFormatting>
  <conditionalFormatting sqref="T82">
    <cfRule type="cellIs" dxfId="71" priority="79" operator="equal">
      <formula>0</formula>
    </cfRule>
  </conditionalFormatting>
  <conditionalFormatting sqref="A82">
    <cfRule type="cellIs" dxfId="70" priority="78" operator="equal">
      <formula>0</formula>
    </cfRule>
  </conditionalFormatting>
  <conditionalFormatting sqref="R82:S82">
    <cfRule type="cellIs" dxfId="69" priority="77" operator="equal">
      <formula>0</formula>
    </cfRule>
  </conditionalFormatting>
  <conditionalFormatting sqref="Q87">
    <cfRule type="cellIs" dxfId="68" priority="46" operator="equal">
      <formula>0</formula>
    </cfRule>
  </conditionalFormatting>
  <conditionalFormatting sqref="P83">
    <cfRule type="cellIs" dxfId="67" priority="75" operator="equal">
      <formula>0</formula>
    </cfRule>
  </conditionalFormatting>
  <conditionalFormatting sqref="T83">
    <cfRule type="cellIs" dxfId="66" priority="74" operator="equal">
      <formula>0</formula>
    </cfRule>
  </conditionalFormatting>
  <conditionalFormatting sqref="A83">
    <cfRule type="cellIs" dxfId="65" priority="73" operator="equal">
      <formula>0</formula>
    </cfRule>
  </conditionalFormatting>
  <conditionalFormatting sqref="R83:S83">
    <cfRule type="cellIs" dxfId="64" priority="72" operator="equal">
      <formula>0</formula>
    </cfRule>
  </conditionalFormatting>
  <conditionalFormatting sqref="Q88">
    <cfRule type="cellIs" dxfId="63" priority="41" operator="equal">
      <formula>0</formula>
    </cfRule>
  </conditionalFormatting>
  <conditionalFormatting sqref="P84">
    <cfRule type="cellIs" dxfId="62" priority="70" operator="equal">
      <formula>0</formula>
    </cfRule>
  </conditionalFormatting>
  <conditionalFormatting sqref="T84">
    <cfRule type="cellIs" dxfId="61" priority="69" operator="equal">
      <formula>0</formula>
    </cfRule>
  </conditionalFormatting>
  <conditionalFormatting sqref="A84">
    <cfRule type="cellIs" dxfId="60" priority="68" operator="equal">
      <formula>0</formula>
    </cfRule>
  </conditionalFormatting>
  <conditionalFormatting sqref="R84:S84">
    <cfRule type="cellIs" dxfId="59" priority="67" operator="equal">
      <formula>0</formula>
    </cfRule>
  </conditionalFormatting>
  <conditionalFormatting sqref="Q89">
    <cfRule type="cellIs" dxfId="58" priority="36" operator="equal">
      <formula>0</formula>
    </cfRule>
  </conditionalFormatting>
  <conditionalFormatting sqref="Q90">
    <cfRule type="cellIs" dxfId="57" priority="31" operator="equal">
      <formula>0</formula>
    </cfRule>
  </conditionalFormatting>
  <conditionalFormatting sqref="Q91">
    <cfRule type="cellIs" dxfId="56" priority="26" operator="equal">
      <formula>0</formula>
    </cfRule>
  </conditionalFormatting>
  <conditionalFormatting sqref="Q92">
    <cfRule type="cellIs" dxfId="55" priority="21" operator="equal">
      <formula>0</formula>
    </cfRule>
  </conditionalFormatting>
  <conditionalFormatting sqref="Q93">
    <cfRule type="cellIs" dxfId="54" priority="16" operator="equal">
      <formula>0</formula>
    </cfRule>
  </conditionalFormatting>
  <conditionalFormatting sqref="P85">
    <cfRule type="cellIs" dxfId="53" priority="60" operator="equal">
      <formula>0</formula>
    </cfRule>
  </conditionalFormatting>
  <conditionalFormatting sqref="T85">
    <cfRule type="cellIs" dxfId="52" priority="59" operator="equal">
      <formula>0</formula>
    </cfRule>
  </conditionalFormatting>
  <conditionalFormatting sqref="A85">
    <cfRule type="cellIs" dxfId="51" priority="58" operator="equal">
      <formula>0</formula>
    </cfRule>
  </conditionalFormatting>
  <conditionalFormatting sqref="R85:S85">
    <cfRule type="cellIs" dxfId="50" priority="57" operator="equal">
      <formula>0</formula>
    </cfRule>
  </conditionalFormatting>
  <conditionalFormatting sqref="Q94">
    <cfRule type="cellIs" dxfId="49" priority="11" operator="equal">
      <formula>0</formula>
    </cfRule>
  </conditionalFormatting>
  <conditionalFormatting sqref="P86">
    <cfRule type="cellIs" dxfId="48" priority="55" operator="equal">
      <formula>0</formula>
    </cfRule>
  </conditionalFormatting>
  <conditionalFormatting sqref="T86">
    <cfRule type="cellIs" dxfId="47" priority="54" operator="equal">
      <formula>0</formula>
    </cfRule>
  </conditionalFormatting>
  <conditionalFormatting sqref="A86">
    <cfRule type="cellIs" dxfId="46" priority="53" operator="equal">
      <formula>0</formula>
    </cfRule>
  </conditionalFormatting>
  <conditionalFormatting sqref="R86:S86">
    <cfRule type="cellIs" dxfId="45" priority="52" operator="equal">
      <formula>0</formula>
    </cfRule>
  </conditionalFormatting>
  <conditionalFormatting sqref="Q95">
    <cfRule type="cellIs" dxfId="44" priority="6" operator="equal">
      <formula>0</formula>
    </cfRule>
  </conditionalFormatting>
  <conditionalFormatting sqref="P87">
    <cfRule type="cellIs" dxfId="43" priority="50" operator="equal">
      <formula>0</formula>
    </cfRule>
  </conditionalFormatting>
  <conditionalFormatting sqref="T87">
    <cfRule type="cellIs" dxfId="42" priority="49" operator="equal">
      <formula>0</formula>
    </cfRule>
  </conditionalFormatting>
  <conditionalFormatting sqref="A87">
    <cfRule type="cellIs" dxfId="41" priority="48" operator="equal">
      <formula>0</formula>
    </cfRule>
  </conditionalFormatting>
  <conditionalFormatting sqref="R87:S87">
    <cfRule type="cellIs" dxfId="40" priority="47" operator="equal">
      <formula>0</formula>
    </cfRule>
  </conditionalFormatting>
  <conditionalFormatting sqref="Q96">
    <cfRule type="cellIs" dxfId="39" priority="1" operator="equal">
      <formula>0</formula>
    </cfRule>
  </conditionalFormatting>
  <conditionalFormatting sqref="P88">
    <cfRule type="cellIs" dxfId="38" priority="45" operator="equal">
      <formula>0</formula>
    </cfRule>
  </conditionalFormatting>
  <conditionalFormatting sqref="T88">
    <cfRule type="cellIs" dxfId="37" priority="44" operator="equal">
      <formula>0</formula>
    </cfRule>
  </conditionalFormatting>
  <conditionalFormatting sqref="A88">
    <cfRule type="cellIs" dxfId="36" priority="43" operator="equal">
      <formula>0</formula>
    </cfRule>
  </conditionalFormatting>
  <conditionalFormatting sqref="R88:S88">
    <cfRule type="cellIs" dxfId="35" priority="42" operator="equal">
      <formula>0</formula>
    </cfRule>
  </conditionalFormatting>
  <conditionalFormatting sqref="P89">
    <cfRule type="cellIs" dxfId="34" priority="40" operator="equal">
      <formula>0</formula>
    </cfRule>
  </conditionalFormatting>
  <conditionalFormatting sqref="T89">
    <cfRule type="cellIs" dxfId="33" priority="39" operator="equal">
      <formula>0</formula>
    </cfRule>
  </conditionalFormatting>
  <conditionalFormatting sqref="A89">
    <cfRule type="cellIs" dxfId="32" priority="38" operator="equal">
      <formula>0</formula>
    </cfRule>
  </conditionalFormatting>
  <conditionalFormatting sqref="R89:S89">
    <cfRule type="cellIs" dxfId="31" priority="37" operator="equal">
      <formula>0</formula>
    </cfRule>
  </conditionalFormatting>
  <conditionalFormatting sqref="P90">
    <cfRule type="cellIs" dxfId="30" priority="35" operator="equal">
      <formula>0</formula>
    </cfRule>
  </conditionalFormatting>
  <conditionalFormatting sqref="T90">
    <cfRule type="cellIs" dxfId="29" priority="34" operator="equal">
      <formula>0</formula>
    </cfRule>
  </conditionalFormatting>
  <conditionalFormatting sqref="A90">
    <cfRule type="cellIs" dxfId="28" priority="33" operator="equal">
      <formula>0</formula>
    </cfRule>
  </conditionalFormatting>
  <conditionalFormatting sqref="R90:S90">
    <cfRule type="cellIs" dxfId="27" priority="32" operator="equal">
      <formula>0</formula>
    </cfRule>
  </conditionalFormatting>
  <conditionalFormatting sqref="P91">
    <cfRule type="cellIs" dxfId="26" priority="30" operator="equal">
      <formula>0</formula>
    </cfRule>
  </conditionalFormatting>
  <conditionalFormatting sqref="T91">
    <cfRule type="cellIs" dxfId="25" priority="29" operator="equal">
      <formula>0</formula>
    </cfRule>
  </conditionalFormatting>
  <conditionalFormatting sqref="A91">
    <cfRule type="cellIs" dxfId="24" priority="28" operator="equal">
      <formula>0</formula>
    </cfRule>
  </conditionalFormatting>
  <conditionalFormatting sqref="R91:S91">
    <cfRule type="cellIs" dxfId="23" priority="27" operator="equal">
      <formula>0</formula>
    </cfRule>
  </conditionalFormatting>
  <conditionalFormatting sqref="P92">
    <cfRule type="cellIs" dxfId="22" priority="25" operator="equal">
      <formula>0</formula>
    </cfRule>
  </conditionalFormatting>
  <conditionalFormatting sqref="T92">
    <cfRule type="cellIs" dxfId="21" priority="24" operator="equal">
      <formula>0</formula>
    </cfRule>
  </conditionalFormatting>
  <conditionalFormatting sqref="A92">
    <cfRule type="cellIs" dxfId="20" priority="23" operator="equal">
      <formula>0</formula>
    </cfRule>
  </conditionalFormatting>
  <conditionalFormatting sqref="R92:S92">
    <cfRule type="cellIs" dxfId="19" priority="22" operator="equal">
      <formula>0</formula>
    </cfRule>
  </conditionalFormatting>
  <conditionalFormatting sqref="P93">
    <cfRule type="cellIs" dxfId="18" priority="20" operator="equal">
      <formula>0</formula>
    </cfRule>
  </conditionalFormatting>
  <conditionalFormatting sqref="T93">
    <cfRule type="cellIs" dxfId="17" priority="19" operator="equal">
      <formula>0</formula>
    </cfRule>
  </conditionalFormatting>
  <conditionalFormatting sqref="A93">
    <cfRule type="cellIs" dxfId="16" priority="18" operator="equal">
      <formula>0</formula>
    </cfRule>
  </conditionalFormatting>
  <conditionalFormatting sqref="R93:S93">
    <cfRule type="cellIs" dxfId="15" priority="17" operator="equal">
      <formula>0</formula>
    </cfRule>
  </conditionalFormatting>
  <conditionalFormatting sqref="P94">
    <cfRule type="cellIs" dxfId="14" priority="15" operator="equal">
      <formula>0</formula>
    </cfRule>
  </conditionalFormatting>
  <conditionalFormatting sqref="T94">
    <cfRule type="cellIs" dxfId="13" priority="14" operator="equal">
      <formula>0</formula>
    </cfRule>
  </conditionalFormatting>
  <conditionalFormatting sqref="A94">
    <cfRule type="cellIs" dxfId="12" priority="13" operator="equal">
      <formula>0</formula>
    </cfRule>
  </conditionalFormatting>
  <conditionalFormatting sqref="R94:S94">
    <cfRule type="cellIs" dxfId="11" priority="12" operator="equal">
      <formula>0</formula>
    </cfRule>
  </conditionalFormatting>
  <conditionalFormatting sqref="P95">
    <cfRule type="cellIs" dxfId="10" priority="10" operator="equal">
      <formula>0</formula>
    </cfRule>
  </conditionalFormatting>
  <conditionalFormatting sqref="T95">
    <cfRule type="cellIs" dxfId="9" priority="9" operator="equal">
      <formula>0</formula>
    </cfRule>
  </conditionalFormatting>
  <conditionalFormatting sqref="A95">
    <cfRule type="cellIs" dxfId="8" priority="8" operator="equal">
      <formula>0</formula>
    </cfRule>
  </conditionalFormatting>
  <conditionalFormatting sqref="R95:S95">
    <cfRule type="cellIs" dxfId="7" priority="7" operator="equal">
      <formula>0</formula>
    </cfRule>
  </conditionalFormatting>
  <conditionalFormatting sqref="P96">
    <cfRule type="cellIs" dxfId="6" priority="5" operator="equal">
      <formula>0</formula>
    </cfRule>
  </conditionalFormatting>
  <conditionalFormatting sqref="T96">
    <cfRule type="cellIs" dxfId="5" priority="4" operator="equal">
      <formula>0</formula>
    </cfRule>
  </conditionalFormatting>
  <conditionalFormatting sqref="A96">
    <cfRule type="cellIs" dxfId="4" priority="3" operator="equal">
      <formula>0</formula>
    </cfRule>
  </conditionalFormatting>
  <conditionalFormatting sqref="R96:S96">
    <cfRule type="cellIs" dxfId="3" priority="2" operator="equal">
      <formula>0</formula>
    </cfRule>
  </conditionalFormatting>
  <pageMargins left="0" right="0" top="0.19685039370078741" bottom="0.19685039370078741" header="0.31496062992125984" footer="0.31496062992125984"/>
  <pageSetup paperSize="119" orientation="landscape"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dimension ref="A1:M65"/>
  <sheetViews>
    <sheetView showGridLines="0" workbookViewId="0">
      <selection activeCell="G76" sqref="G76"/>
    </sheetView>
  </sheetViews>
  <sheetFormatPr baseColWidth="10" defaultRowHeight="12.75" x14ac:dyDescent="0.2"/>
  <cols>
    <col min="1" max="1" width="2.7109375" customWidth="1"/>
    <col min="2" max="2" width="20.28515625" customWidth="1"/>
    <col min="3" max="3" width="30.7109375" customWidth="1"/>
    <col min="4" max="4" width="11.7109375" customWidth="1"/>
    <col min="5" max="5" width="18.7109375" customWidth="1"/>
    <col min="6" max="6" width="42.5703125" customWidth="1"/>
    <col min="11" max="11" width="8.42578125" customWidth="1"/>
    <col min="12" max="12" width="2.7109375" customWidth="1"/>
  </cols>
  <sheetData>
    <row r="1" spans="1:12" ht="28.15" customHeight="1" x14ac:dyDescent="0.2">
      <c r="A1" s="605"/>
      <c r="B1" s="605"/>
      <c r="C1" s="606"/>
      <c r="D1" s="606"/>
      <c r="E1" s="606"/>
      <c r="F1" s="606"/>
      <c r="G1" s="606"/>
      <c r="H1" s="606"/>
      <c r="I1" s="606"/>
      <c r="J1" s="615"/>
      <c r="K1" s="615"/>
      <c r="L1" s="615"/>
    </row>
    <row r="2" spans="1:12" ht="28.9" customHeight="1" x14ac:dyDescent="0.2">
      <c r="A2" s="605"/>
      <c r="B2" s="605"/>
      <c r="C2" s="606"/>
      <c r="D2" s="606"/>
      <c r="E2" s="606"/>
      <c r="F2" s="606"/>
      <c r="G2" s="606"/>
      <c r="H2" s="606"/>
      <c r="I2" s="606"/>
      <c r="J2" s="615"/>
      <c r="K2" s="615"/>
      <c r="L2" s="615"/>
    </row>
    <row r="3" spans="1:12" ht="25.9" customHeight="1" x14ac:dyDescent="0.2">
      <c r="A3" s="605"/>
      <c r="B3" s="605"/>
      <c r="C3" s="606"/>
      <c r="D3" s="606"/>
      <c r="E3" s="606"/>
      <c r="F3" s="606"/>
      <c r="G3" s="606"/>
      <c r="H3" s="606"/>
      <c r="I3" s="606"/>
      <c r="J3" s="630"/>
      <c r="K3" s="630"/>
      <c r="L3" s="630"/>
    </row>
    <row r="4" spans="1:12" ht="12.75" customHeight="1" x14ac:dyDescent="0.2">
      <c r="A4" s="140"/>
      <c r="B4" s="623" t="s">
        <v>142</v>
      </c>
      <c r="C4" s="623"/>
      <c r="D4" s="623"/>
      <c r="E4" s="623"/>
      <c r="F4" s="623"/>
      <c r="G4" s="623"/>
      <c r="H4" s="623"/>
      <c r="I4" s="623"/>
      <c r="J4" s="623"/>
      <c r="K4" s="623"/>
      <c r="L4" s="140"/>
    </row>
    <row r="5" spans="1:12" ht="12.75" customHeight="1" x14ac:dyDescent="0.25">
      <c r="A5" s="140"/>
      <c r="B5" s="624" t="s">
        <v>195</v>
      </c>
      <c r="C5" s="624"/>
      <c r="D5" s="624"/>
      <c r="E5" s="624"/>
      <c r="F5" s="624"/>
      <c r="G5" s="624"/>
      <c r="H5" s="624"/>
      <c r="I5" s="624"/>
      <c r="J5" s="624"/>
      <c r="K5" s="624"/>
      <c r="L5" s="140"/>
    </row>
    <row r="6" spans="1:12" ht="5.0999999999999996" customHeight="1" x14ac:dyDescent="0.2">
      <c r="A6" s="140"/>
      <c r="B6" s="140"/>
      <c r="C6" s="140"/>
      <c r="D6" s="140"/>
      <c r="E6" s="140"/>
      <c r="F6" s="140"/>
      <c r="G6" s="140"/>
      <c r="H6" s="140"/>
      <c r="I6" s="140"/>
      <c r="J6" s="140"/>
      <c r="K6" s="140"/>
      <c r="L6" s="140"/>
    </row>
    <row r="7" spans="1:12" ht="14.25" x14ac:dyDescent="0.2">
      <c r="A7" s="140"/>
      <c r="B7" s="625" t="s">
        <v>143</v>
      </c>
      <c r="C7" s="625"/>
      <c r="D7" s="625"/>
      <c r="E7" s="625"/>
      <c r="F7" s="625"/>
      <c r="G7" s="625"/>
      <c r="H7" s="625"/>
      <c r="I7" s="625"/>
      <c r="J7" s="625"/>
      <c r="K7" s="625"/>
      <c r="L7" s="140"/>
    </row>
    <row r="8" spans="1:12" x14ac:dyDescent="0.2">
      <c r="A8" s="140"/>
      <c r="B8" s="626" t="s">
        <v>144</v>
      </c>
      <c r="C8" s="626"/>
      <c r="D8" s="627" t="s">
        <v>177</v>
      </c>
      <c r="E8" s="628"/>
      <c r="F8" s="628"/>
      <c r="G8" s="628"/>
      <c r="H8" s="628"/>
      <c r="I8" s="629"/>
      <c r="J8" s="627" t="s">
        <v>14</v>
      </c>
      <c r="K8" s="629"/>
      <c r="L8" s="140"/>
    </row>
    <row r="9" spans="1:12" x14ac:dyDescent="0.2">
      <c r="A9" s="140"/>
      <c r="B9" s="631" t="s">
        <v>96</v>
      </c>
      <c r="C9" s="632"/>
      <c r="D9" s="631" t="str">
        <f>UPPER('CARGA DOCENTE'!C5)</f>
        <v/>
      </c>
      <c r="E9" s="637"/>
      <c r="F9" s="637"/>
      <c r="G9" s="637"/>
      <c r="H9" s="637"/>
      <c r="I9" s="632"/>
      <c r="J9" s="631" t="b">
        <f>IF(D9='B.D. CONTRATACIONES'!B101,'B.D. CONTRATACIONES'!A101,IF(D9='B.D. CONTRATACIONES'!B102,'B.D. CONTRATACIONES'!A102,IF(D9='B.D. CONTRATACIONES'!B103,'B.D. CONTRATACIONES'!A103,IF(D9='B.D. CONTRATACIONES'!B104,'B.D. CONTRATACIONES'!A104,IF(D9='B.D. CONTRATACIONES'!B105,'B.D. CONTRATACIONES'!A105,IF(D9='B.D. CONTRATACIONES'!B106,'B.D. CONTRATACIONES'!A106,IF(D9='B.D. CONTRATACIONES'!B107,'B.D. CONTRATACIONES'!A107,IF(D9='B.D. CONTRATACIONES'!B108,'B.D. CONTRATACIONES'!A108,IF(D9='B.D. CONTRATACIONES'!B109,'B.D. CONTRATACIONES'!A109,IF(D9='B.D. CONTRATACIONES'!B110,'B.D. CONTRATACIONES'!A110,IF(D9='B.D. CONTRATACIONES'!B111,'B.D. CONTRATACIONES'!A111,IF(D9='B.D. CONTRATACIONES'!B112,'B.D. CONTRATACIONES'!A112))))))))))))</f>
        <v>0</v>
      </c>
      <c r="K9" s="632"/>
      <c r="L9" s="140"/>
    </row>
    <row r="10" spans="1:12" x14ac:dyDescent="0.2">
      <c r="A10" s="140"/>
      <c r="B10" s="631" t="s">
        <v>93</v>
      </c>
      <c r="C10" s="632"/>
      <c r="D10" s="631" t="str">
        <f>PROPER('CARGA DOCENTE'!K5)</f>
        <v/>
      </c>
      <c r="E10" s="637"/>
      <c r="F10" s="637"/>
      <c r="G10" s="637"/>
      <c r="H10" s="637"/>
      <c r="I10" s="632"/>
      <c r="J10" s="140"/>
      <c r="K10" s="140"/>
      <c r="L10" s="140"/>
    </row>
    <row r="11" spans="1:12" ht="5.0999999999999996" customHeight="1" x14ac:dyDescent="0.2">
      <c r="A11" s="140"/>
      <c r="B11" s="140"/>
      <c r="C11" s="140"/>
      <c r="D11" s="140"/>
      <c r="E11" s="140"/>
      <c r="F11" s="140"/>
      <c r="G11" s="140"/>
      <c r="H11" s="140"/>
      <c r="I11" s="140"/>
      <c r="J11" s="140"/>
      <c r="K11" s="140"/>
      <c r="L11" s="140"/>
    </row>
    <row r="12" spans="1:12" x14ac:dyDescent="0.2">
      <c r="A12" s="140"/>
      <c r="B12" s="633" t="s">
        <v>90</v>
      </c>
      <c r="C12" s="633"/>
      <c r="D12" s="140"/>
      <c r="E12" s="356" t="s">
        <v>185</v>
      </c>
      <c r="F12" s="358"/>
      <c r="G12" s="140"/>
      <c r="H12" s="140"/>
      <c r="I12" s="140"/>
      <c r="J12" s="140"/>
      <c r="K12" s="140"/>
      <c r="L12" s="140"/>
    </row>
    <row r="13" spans="1:12" x14ac:dyDescent="0.2">
      <c r="A13" s="140"/>
      <c r="B13" s="356" t="s">
        <v>146</v>
      </c>
      <c r="C13" s="370"/>
      <c r="D13" s="140"/>
      <c r="E13" s="356" t="s">
        <v>147</v>
      </c>
      <c r="F13" s="358"/>
      <c r="G13" s="140"/>
      <c r="H13" s="140"/>
      <c r="I13" s="140"/>
      <c r="J13" s="140"/>
      <c r="K13" s="140"/>
      <c r="L13" s="140"/>
    </row>
    <row r="14" spans="1:12" x14ac:dyDescent="0.2">
      <c r="A14" s="140"/>
      <c r="B14" s="356" t="s">
        <v>179</v>
      </c>
      <c r="C14" s="358"/>
      <c r="D14" s="140"/>
      <c r="E14" s="140"/>
      <c r="F14" s="140"/>
      <c r="G14" s="140"/>
      <c r="H14" s="140"/>
      <c r="I14" s="140"/>
      <c r="J14" s="140"/>
      <c r="K14" s="140"/>
      <c r="L14" s="140"/>
    </row>
    <row r="15" spans="1:12" x14ac:dyDescent="0.2">
      <c r="A15" s="140"/>
      <c r="B15" s="359" t="s">
        <v>180</v>
      </c>
      <c r="C15" s="360"/>
      <c r="D15" s="140"/>
      <c r="E15" s="356" t="s">
        <v>186</v>
      </c>
      <c r="F15" s="358"/>
      <c r="G15" s="140"/>
      <c r="H15" s="140"/>
      <c r="I15" s="140"/>
      <c r="J15" s="140"/>
      <c r="K15" s="140"/>
      <c r="L15" s="140"/>
    </row>
    <row r="16" spans="1:12" x14ac:dyDescent="0.2">
      <c r="A16" s="140"/>
      <c r="B16" s="356" t="s">
        <v>178</v>
      </c>
      <c r="C16" s="358"/>
      <c r="D16" s="140"/>
      <c r="E16" s="356" t="s">
        <v>187</v>
      </c>
      <c r="F16" s="358"/>
      <c r="G16" s="140"/>
      <c r="H16" s="140"/>
      <c r="I16" s="140"/>
      <c r="J16" s="140"/>
      <c r="K16" s="140"/>
      <c r="L16" s="140"/>
    </row>
    <row r="17" spans="1:12" ht="12" customHeight="1" x14ac:dyDescent="0.2">
      <c r="A17" s="140"/>
      <c r="B17" s="140"/>
      <c r="C17" s="140"/>
      <c r="D17" s="140"/>
      <c r="E17" s="140"/>
      <c r="F17" s="140"/>
      <c r="G17" s="140"/>
      <c r="H17" s="140"/>
      <c r="I17" s="140"/>
      <c r="J17" s="140"/>
      <c r="K17" s="140"/>
      <c r="L17" s="140"/>
    </row>
    <row r="18" spans="1:12" ht="15" x14ac:dyDescent="0.25">
      <c r="A18" s="140"/>
      <c r="B18" s="634" t="s">
        <v>148</v>
      </c>
      <c r="C18" s="634"/>
      <c r="D18" s="634"/>
      <c r="E18" s="634"/>
      <c r="F18" s="634"/>
      <c r="G18" s="634"/>
      <c r="H18" s="634"/>
      <c r="I18" s="634"/>
      <c r="J18" s="634"/>
      <c r="K18" s="634"/>
      <c r="L18" s="140"/>
    </row>
    <row r="19" spans="1:12" x14ac:dyDescent="0.2">
      <c r="A19" s="140"/>
      <c r="B19" s="361" t="s">
        <v>149</v>
      </c>
      <c r="C19" s="645" t="s">
        <v>150</v>
      </c>
      <c r="D19" s="646"/>
      <c r="E19" s="361" t="s">
        <v>52</v>
      </c>
      <c r="F19" s="361" t="s">
        <v>175</v>
      </c>
      <c r="G19" s="361" t="s">
        <v>151</v>
      </c>
      <c r="H19" s="361" t="s">
        <v>152</v>
      </c>
      <c r="I19" s="362" t="s">
        <v>153</v>
      </c>
      <c r="J19" s="363" t="s">
        <v>154</v>
      </c>
      <c r="K19" s="362" t="s">
        <v>155</v>
      </c>
      <c r="L19" s="140"/>
    </row>
    <row r="20" spans="1:12" x14ac:dyDescent="0.2">
      <c r="A20" s="140"/>
      <c r="B20" s="355"/>
      <c r="C20" s="635"/>
      <c r="D20" s="636"/>
      <c r="E20" s="369"/>
      <c r="F20" s="371"/>
      <c r="G20" s="357"/>
      <c r="H20" s="357"/>
      <c r="I20" s="357"/>
      <c r="J20" s="357"/>
      <c r="K20" s="355"/>
      <c r="L20" s="140"/>
    </row>
    <row r="21" spans="1:12" x14ac:dyDescent="0.2">
      <c r="A21" s="140"/>
      <c r="B21" s="355"/>
      <c r="C21" s="635"/>
      <c r="D21" s="636"/>
      <c r="E21" s="369"/>
      <c r="F21" s="371"/>
      <c r="G21" s="357"/>
      <c r="H21" s="357"/>
      <c r="I21" s="357"/>
      <c r="J21" s="357"/>
      <c r="K21" s="355"/>
      <c r="L21" s="140"/>
    </row>
    <row r="22" spans="1:12" x14ac:dyDescent="0.2">
      <c r="A22" s="140"/>
      <c r="B22" s="355"/>
      <c r="C22" s="635"/>
      <c r="D22" s="636"/>
      <c r="E22" s="369"/>
      <c r="F22" s="371"/>
      <c r="G22" s="357"/>
      <c r="H22" s="357"/>
      <c r="I22" s="357"/>
      <c r="J22" s="357"/>
      <c r="K22" s="355"/>
      <c r="L22" s="140"/>
    </row>
    <row r="23" spans="1:12" x14ac:dyDescent="0.2">
      <c r="A23" s="140"/>
      <c r="B23" s="355"/>
      <c r="C23" s="635"/>
      <c r="D23" s="636"/>
      <c r="E23" s="369"/>
      <c r="F23" s="371"/>
      <c r="G23" s="357"/>
      <c r="H23" s="357"/>
      <c r="I23" s="357"/>
      <c r="J23" s="357"/>
      <c r="K23" s="355"/>
      <c r="L23" s="140"/>
    </row>
    <row r="24" spans="1:12" x14ac:dyDescent="0.2">
      <c r="A24" s="140"/>
      <c r="B24" s="355"/>
      <c r="C24" s="635"/>
      <c r="D24" s="636"/>
      <c r="E24" s="369"/>
      <c r="F24" s="371"/>
      <c r="G24" s="357"/>
      <c r="H24" s="357"/>
      <c r="I24" s="357"/>
      <c r="J24" s="357"/>
      <c r="K24" s="355"/>
      <c r="L24" s="140"/>
    </row>
    <row r="25" spans="1:12" x14ac:dyDescent="0.2">
      <c r="A25" s="140"/>
      <c r="B25" s="355"/>
      <c r="C25" s="635"/>
      <c r="D25" s="636"/>
      <c r="E25" s="369"/>
      <c r="F25" s="371"/>
      <c r="G25" s="357"/>
      <c r="H25" s="357"/>
      <c r="I25" s="357"/>
      <c r="J25" s="357"/>
      <c r="K25" s="355"/>
      <c r="L25" s="140"/>
    </row>
    <row r="26" spans="1:12" x14ac:dyDescent="0.2">
      <c r="A26" s="140"/>
      <c r="B26" s="355"/>
      <c r="C26" s="635"/>
      <c r="D26" s="636"/>
      <c r="E26" s="369"/>
      <c r="F26" s="371"/>
      <c r="G26" s="357"/>
      <c r="H26" s="357"/>
      <c r="I26" s="357"/>
      <c r="J26" s="357"/>
      <c r="K26" s="355"/>
      <c r="L26" s="140"/>
    </row>
    <row r="27" spans="1:12" x14ac:dyDescent="0.2">
      <c r="A27" s="140"/>
      <c r="B27" s="355"/>
      <c r="C27" s="635"/>
      <c r="D27" s="636"/>
      <c r="E27" s="369"/>
      <c r="F27" s="371"/>
      <c r="G27" s="357"/>
      <c r="H27" s="357"/>
      <c r="I27" s="357"/>
      <c r="J27" s="357"/>
      <c r="K27" s="355"/>
      <c r="L27" s="140"/>
    </row>
    <row r="28" spans="1:12" x14ac:dyDescent="0.2">
      <c r="A28" s="140"/>
      <c r="B28" s="355"/>
      <c r="C28" s="635"/>
      <c r="D28" s="636"/>
      <c r="E28" s="369"/>
      <c r="F28" s="371"/>
      <c r="G28" s="357"/>
      <c r="H28" s="357"/>
      <c r="I28" s="357"/>
      <c r="J28" s="357"/>
      <c r="K28" s="355"/>
      <c r="L28" s="140"/>
    </row>
    <row r="29" spans="1:12" x14ac:dyDescent="0.2">
      <c r="A29" s="140"/>
      <c r="B29" s="355"/>
      <c r="C29" s="635"/>
      <c r="D29" s="636"/>
      <c r="E29" s="369"/>
      <c r="F29" s="371"/>
      <c r="G29" s="357"/>
      <c r="H29" s="357"/>
      <c r="I29" s="357"/>
      <c r="J29" s="357"/>
      <c r="K29" s="355"/>
      <c r="L29" s="140"/>
    </row>
    <row r="30" spans="1:12" ht="5.0999999999999996" customHeight="1" x14ac:dyDescent="0.2">
      <c r="A30" s="140"/>
      <c r="B30" s="140"/>
      <c r="C30" s="140"/>
      <c r="D30" s="140"/>
      <c r="E30" s="140"/>
      <c r="F30" s="140"/>
      <c r="G30" s="140"/>
      <c r="H30" s="140"/>
      <c r="I30" s="140"/>
      <c r="J30" s="140"/>
      <c r="K30" s="140"/>
      <c r="L30" s="140"/>
    </row>
    <row r="31" spans="1:12" ht="14.25" x14ac:dyDescent="0.2">
      <c r="A31" s="140"/>
      <c r="B31" s="638" t="s">
        <v>156</v>
      </c>
      <c r="C31" s="638"/>
      <c r="D31" s="638"/>
      <c r="E31" s="638"/>
      <c r="F31" s="638"/>
      <c r="G31" s="638"/>
      <c r="H31" s="638"/>
      <c r="I31" s="638"/>
      <c r="J31" s="638"/>
      <c r="K31" s="638"/>
      <c r="L31" s="140"/>
    </row>
    <row r="32" spans="1:12" x14ac:dyDescent="0.2">
      <c r="A32" s="140"/>
      <c r="B32" s="364" t="s">
        <v>157</v>
      </c>
      <c r="C32" s="639" t="s">
        <v>158</v>
      </c>
      <c r="D32" s="640"/>
      <c r="E32" s="639" t="s">
        <v>159</v>
      </c>
      <c r="F32" s="641"/>
      <c r="G32" s="641"/>
      <c r="H32" s="640"/>
      <c r="I32" s="642" t="s">
        <v>160</v>
      </c>
      <c r="J32" s="643"/>
      <c r="K32" s="644"/>
      <c r="L32" s="140"/>
    </row>
    <row r="33" spans="1:12" x14ac:dyDescent="0.2">
      <c r="A33" s="140"/>
      <c r="B33" s="371"/>
      <c r="C33" s="635" t="str">
        <f>IF(B33=0," ",VLOOKUP(B33,#REF!,4,0))</f>
        <v xml:space="preserve"> </v>
      </c>
      <c r="D33" s="636"/>
      <c r="E33" s="647"/>
      <c r="F33" s="648"/>
      <c r="G33" s="648"/>
      <c r="H33" s="649"/>
      <c r="I33" s="647"/>
      <c r="J33" s="648"/>
      <c r="K33" s="649"/>
      <c r="L33" s="140"/>
    </row>
    <row r="34" spans="1:12" x14ac:dyDescent="0.2">
      <c r="A34" s="140"/>
      <c r="B34" s="371"/>
      <c r="C34" s="635" t="str">
        <f>IF(B34=0," ",VLOOKUP(B34,#REF!,4,0))</f>
        <v xml:space="preserve"> </v>
      </c>
      <c r="D34" s="636"/>
      <c r="E34" s="647"/>
      <c r="F34" s="648"/>
      <c r="G34" s="648"/>
      <c r="H34" s="649"/>
      <c r="I34" s="647"/>
      <c r="J34" s="648"/>
      <c r="K34" s="649"/>
      <c r="L34" s="140"/>
    </row>
    <row r="35" spans="1:12" x14ac:dyDescent="0.2">
      <c r="A35" s="140"/>
      <c r="B35" s="371"/>
      <c r="C35" s="635" t="str">
        <f>IF(B35=0," ",VLOOKUP(B35,#REF!,4,0))</f>
        <v xml:space="preserve"> </v>
      </c>
      <c r="D35" s="636"/>
      <c r="E35" s="647"/>
      <c r="F35" s="648"/>
      <c r="G35" s="648"/>
      <c r="H35" s="649"/>
      <c r="I35" s="647"/>
      <c r="J35" s="648"/>
      <c r="K35" s="649"/>
      <c r="L35" s="140"/>
    </row>
    <row r="36" spans="1:12" ht="6" customHeight="1" x14ac:dyDescent="0.2">
      <c r="A36" s="140"/>
      <c r="B36" s="140"/>
      <c r="C36" s="140"/>
      <c r="D36" s="140"/>
      <c r="E36" s="140"/>
      <c r="F36" s="140"/>
      <c r="G36" s="140"/>
      <c r="H36" s="140"/>
      <c r="I36" s="140"/>
      <c r="J36" s="140"/>
      <c r="K36" s="140"/>
      <c r="L36" s="140"/>
    </row>
    <row r="37" spans="1:12" ht="15" x14ac:dyDescent="0.25">
      <c r="A37" s="140"/>
      <c r="B37" s="634" t="s">
        <v>161</v>
      </c>
      <c r="C37" s="634"/>
      <c r="D37" s="634"/>
      <c r="E37" s="634"/>
      <c r="F37" s="634"/>
      <c r="G37" s="634"/>
      <c r="H37" s="634"/>
      <c r="I37" s="634"/>
      <c r="J37" s="634"/>
      <c r="K37" s="634"/>
      <c r="L37" s="140"/>
    </row>
    <row r="38" spans="1:12" ht="24" x14ac:dyDescent="0.2">
      <c r="A38" s="140"/>
      <c r="B38" s="365" t="s">
        <v>190</v>
      </c>
      <c r="C38" s="650" t="s">
        <v>162</v>
      </c>
      <c r="D38" s="650"/>
      <c r="E38" s="650"/>
      <c r="F38" s="366" t="s">
        <v>163</v>
      </c>
      <c r="G38" s="651" t="s">
        <v>164</v>
      </c>
      <c r="H38" s="651"/>
      <c r="I38" s="651"/>
      <c r="J38" s="651"/>
      <c r="K38" s="367" t="s">
        <v>176</v>
      </c>
      <c r="L38" s="140"/>
    </row>
    <row r="39" spans="1:12" x14ac:dyDescent="0.2">
      <c r="A39" s="140"/>
      <c r="B39" s="371"/>
      <c r="C39" s="647"/>
      <c r="D39" s="648"/>
      <c r="E39" s="649"/>
      <c r="F39" s="371"/>
      <c r="G39" s="647"/>
      <c r="H39" s="648"/>
      <c r="I39" s="648"/>
      <c r="J39" s="649"/>
      <c r="K39" s="371"/>
      <c r="L39" s="140"/>
    </row>
    <row r="40" spans="1:12" x14ac:dyDescent="0.2">
      <c r="A40" s="140"/>
      <c r="B40" s="371"/>
      <c r="C40" s="647"/>
      <c r="D40" s="648"/>
      <c r="E40" s="649"/>
      <c r="F40" s="371"/>
      <c r="G40" s="647"/>
      <c r="H40" s="648"/>
      <c r="I40" s="648"/>
      <c r="J40" s="649"/>
      <c r="K40" s="371"/>
      <c r="L40" s="140"/>
    </row>
    <row r="41" spans="1:12" x14ac:dyDescent="0.2">
      <c r="A41" s="140"/>
      <c r="B41" s="371"/>
      <c r="C41" s="647"/>
      <c r="D41" s="648"/>
      <c r="E41" s="649"/>
      <c r="F41" s="371"/>
      <c r="G41" s="647"/>
      <c r="H41" s="648"/>
      <c r="I41" s="648"/>
      <c r="J41" s="649"/>
      <c r="K41" s="371"/>
      <c r="L41" s="140"/>
    </row>
    <row r="42" spans="1:12" ht="6" customHeight="1" x14ac:dyDescent="0.2">
      <c r="A42" s="140"/>
      <c r="B42" s="140"/>
      <c r="C42" s="140"/>
      <c r="D42" s="140"/>
      <c r="E42" s="140"/>
      <c r="F42" s="140"/>
      <c r="G42" s="140"/>
      <c r="H42" s="140"/>
      <c r="I42" s="140"/>
      <c r="J42" s="140"/>
      <c r="K42" s="140"/>
      <c r="L42" s="140"/>
    </row>
    <row r="43" spans="1:12" ht="15" x14ac:dyDescent="0.25">
      <c r="A43" s="140"/>
      <c r="B43" s="634" t="s">
        <v>165</v>
      </c>
      <c r="C43" s="634"/>
      <c r="D43" s="634"/>
      <c r="E43" s="634"/>
      <c r="F43" s="634"/>
      <c r="G43" s="634"/>
      <c r="H43" s="634"/>
      <c r="I43" s="634"/>
      <c r="J43" s="634"/>
      <c r="K43" s="634"/>
      <c r="L43" s="140"/>
    </row>
    <row r="44" spans="1:12" ht="24" x14ac:dyDescent="0.2">
      <c r="A44" s="140"/>
      <c r="B44" s="361" t="s">
        <v>145</v>
      </c>
      <c r="C44" s="652" t="s">
        <v>52</v>
      </c>
      <c r="D44" s="653"/>
      <c r="E44" s="654" t="s">
        <v>159</v>
      </c>
      <c r="F44" s="654"/>
      <c r="G44" s="655" t="s">
        <v>163</v>
      </c>
      <c r="H44" s="656"/>
      <c r="I44" s="657" t="s">
        <v>166</v>
      </c>
      <c r="J44" s="656"/>
      <c r="K44" s="367" t="s">
        <v>176</v>
      </c>
      <c r="L44" s="140"/>
    </row>
    <row r="45" spans="1:12" x14ac:dyDescent="0.2">
      <c r="A45" s="140"/>
      <c r="B45" s="371"/>
      <c r="C45" s="647"/>
      <c r="D45" s="649"/>
      <c r="E45" s="647"/>
      <c r="F45" s="649"/>
      <c r="G45" s="647"/>
      <c r="H45" s="649"/>
      <c r="I45" s="647"/>
      <c r="J45" s="649"/>
      <c r="K45" s="371"/>
      <c r="L45" s="140"/>
    </row>
    <row r="46" spans="1:12" x14ac:dyDescent="0.2">
      <c r="A46" s="140"/>
      <c r="B46" s="371"/>
      <c r="C46" s="647"/>
      <c r="D46" s="649"/>
      <c r="E46" s="647"/>
      <c r="F46" s="649"/>
      <c r="G46" s="647"/>
      <c r="H46" s="649"/>
      <c r="I46" s="647"/>
      <c r="J46" s="649"/>
      <c r="K46" s="371"/>
      <c r="L46" s="140"/>
    </row>
    <row r="47" spans="1:12" x14ac:dyDescent="0.2">
      <c r="A47" s="140"/>
      <c r="B47" s="371"/>
      <c r="C47" s="647"/>
      <c r="D47" s="649"/>
      <c r="E47" s="647"/>
      <c r="F47" s="649"/>
      <c r="G47" s="647"/>
      <c r="H47" s="649"/>
      <c r="I47" s="647"/>
      <c r="J47" s="649"/>
      <c r="K47" s="371"/>
      <c r="L47" s="140"/>
    </row>
    <row r="48" spans="1:12" ht="5.25" customHeight="1" x14ac:dyDescent="0.2">
      <c r="A48" s="140"/>
      <c r="B48" s="140"/>
      <c r="C48" s="140"/>
      <c r="D48" s="140"/>
      <c r="E48" s="140"/>
      <c r="F48" s="140"/>
      <c r="G48" s="140"/>
      <c r="H48" s="140"/>
      <c r="I48" s="140"/>
      <c r="J48" s="140"/>
      <c r="K48" s="140"/>
      <c r="L48" s="140"/>
    </row>
    <row r="49" spans="1:13" ht="15" x14ac:dyDescent="0.25">
      <c r="A49" s="140"/>
      <c r="B49" s="634" t="s">
        <v>167</v>
      </c>
      <c r="C49" s="634"/>
      <c r="D49" s="634"/>
      <c r="E49" s="634"/>
      <c r="F49" s="634"/>
      <c r="G49" s="634"/>
      <c r="H49" s="634"/>
      <c r="I49" s="634"/>
      <c r="J49" s="634"/>
      <c r="K49" s="634"/>
      <c r="L49" s="140"/>
    </row>
    <row r="50" spans="1:13" x14ac:dyDescent="0.2">
      <c r="A50" s="140"/>
      <c r="B50" s="658" t="s">
        <v>52</v>
      </c>
      <c r="C50" s="659"/>
      <c r="D50" s="658" t="s">
        <v>168</v>
      </c>
      <c r="E50" s="660"/>
      <c r="F50" s="660"/>
      <c r="G50" s="660"/>
      <c r="H50" s="661"/>
      <c r="I50" s="662" t="s">
        <v>169</v>
      </c>
      <c r="J50" s="653"/>
      <c r="K50" s="663"/>
      <c r="L50" s="140"/>
    </row>
    <row r="51" spans="1:13" x14ac:dyDescent="0.2">
      <c r="A51" s="140"/>
      <c r="B51" s="647"/>
      <c r="C51" s="649"/>
      <c r="D51" s="647"/>
      <c r="E51" s="648"/>
      <c r="F51" s="648"/>
      <c r="G51" s="648"/>
      <c r="H51" s="649"/>
      <c r="I51" s="647"/>
      <c r="J51" s="648"/>
      <c r="K51" s="649"/>
      <c r="L51" s="140"/>
    </row>
    <row r="52" spans="1:13" x14ac:dyDescent="0.2">
      <c r="A52" s="140"/>
      <c r="B52" s="647"/>
      <c r="C52" s="649"/>
      <c r="D52" s="647"/>
      <c r="E52" s="648"/>
      <c r="F52" s="648"/>
      <c r="G52" s="648"/>
      <c r="H52" s="649"/>
      <c r="I52" s="647"/>
      <c r="J52" s="648"/>
      <c r="K52" s="649"/>
      <c r="L52" s="140"/>
    </row>
    <row r="53" spans="1:13" x14ac:dyDescent="0.2">
      <c r="A53" s="140"/>
      <c r="B53" s="647"/>
      <c r="C53" s="649"/>
      <c r="D53" s="647"/>
      <c r="E53" s="648"/>
      <c r="F53" s="648"/>
      <c r="G53" s="648"/>
      <c r="H53" s="649"/>
      <c r="I53" s="647"/>
      <c r="J53" s="648"/>
      <c r="K53" s="649"/>
      <c r="L53" s="140"/>
    </row>
    <row r="54" spans="1:13" x14ac:dyDescent="0.2">
      <c r="A54" s="140"/>
      <c r="B54" s="647"/>
      <c r="C54" s="649"/>
      <c r="D54" s="647"/>
      <c r="E54" s="648"/>
      <c r="F54" s="648"/>
      <c r="G54" s="648"/>
      <c r="H54" s="649"/>
      <c r="I54" s="647"/>
      <c r="J54" s="648"/>
      <c r="K54" s="649"/>
      <c r="L54" s="140"/>
    </row>
    <row r="55" spans="1:13" ht="6.75" customHeight="1" x14ac:dyDescent="0.2">
      <c r="A55" s="140"/>
      <c r="B55" s="140"/>
      <c r="C55" s="140"/>
      <c r="D55" s="140"/>
      <c r="E55" s="140"/>
      <c r="F55" s="140"/>
      <c r="G55" s="140"/>
      <c r="H55" s="140"/>
      <c r="I55" s="140"/>
      <c r="J55" s="140"/>
      <c r="K55" s="140"/>
      <c r="L55" s="140"/>
    </row>
    <row r="56" spans="1:13" ht="14.25" x14ac:dyDescent="0.2">
      <c r="A56" s="140"/>
      <c r="B56" s="664" t="s">
        <v>170</v>
      </c>
      <c r="C56" s="664"/>
      <c r="D56" s="664"/>
      <c r="E56" s="664"/>
      <c r="F56" s="664"/>
      <c r="G56" s="664"/>
      <c r="H56" s="664"/>
      <c r="I56" s="664"/>
      <c r="J56" s="664"/>
      <c r="K56" s="664"/>
      <c r="L56" s="140"/>
    </row>
    <row r="57" spans="1:13" x14ac:dyDescent="0.2">
      <c r="A57" s="140"/>
      <c r="B57" s="665" t="s">
        <v>171</v>
      </c>
      <c r="C57" s="665"/>
      <c r="D57" s="666" t="s">
        <v>172</v>
      </c>
      <c r="E57" s="666"/>
      <c r="F57" s="667"/>
      <c r="G57" s="668" t="s">
        <v>173</v>
      </c>
      <c r="H57" s="668"/>
      <c r="I57" s="368" t="s">
        <v>174</v>
      </c>
      <c r="J57" s="669" t="s">
        <v>175</v>
      </c>
      <c r="K57" s="669"/>
      <c r="L57" s="140"/>
    </row>
    <row r="58" spans="1:13" x14ac:dyDescent="0.2">
      <c r="A58" s="140"/>
      <c r="B58" s="647"/>
      <c r="C58" s="649"/>
      <c r="D58" s="647"/>
      <c r="E58" s="648"/>
      <c r="F58" s="649"/>
      <c r="G58" s="647"/>
      <c r="H58" s="649"/>
      <c r="I58" s="371"/>
      <c r="J58" s="647"/>
      <c r="K58" s="649"/>
      <c r="L58" s="140"/>
    </row>
    <row r="59" spans="1:13" x14ac:dyDescent="0.2">
      <c r="A59" s="140"/>
      <c r="B59" s="647"/>
      <c r="C59" s="649"/>
      <c r="D59" s="647"/>
      <c r="E59" s="648"/>
      <c r="F59" s="649"/>
      <c r="G59" s="647"/>
      <c r="H59" s="649"/>
      <c r="I59" s="371"/>
      <c r="J59" s="647"/>
      <c r="K59" s="649"/>
      <c r="L59" s="140"/>
    </row>
    <row r="60" spans="1:13" x14ac:dyDescent="0.2">
      <c r="A60" s="140"/>
      <c r="B60" s="647"/>
      <c r="C60" s="649"/>
      <c r="D60" s="647"/>
      <c r="E60" s="648"/>
      <c r="F60" s="649"/>
      <c r="G60" s="647"/>
      <c r="H60" s="649"/>
      <c r="I60" s="371"/>
      <c r="J60" s="647"/>
      <c r="K60" s="649"/>
      <c r="L60" s="140"/>
    </row>
    <row r="61" spans="1:13" x14ac:dyDescent="0.2">
      <c r="A61" s="140"/>
      <c r="B61" s="647"/>
      <c r="C61" s="649"/>
      <c r="D61" s="647"/>
      <c r="E61" s="648"/>
      <c r="F61" s="649"/>
      <c r="G61" s="647"/>
      <c r="H61" s="649"/>
      <c r="I61" s="371"/>
      <c r="J61" s="647"/>
      <c r="K61" s="649"/>
      <c r="L61" s="140"/>
    </row>
    <row r="62" spans="1:13" ht="5.0999999999999996" customHeight="1" x14ac:dyDescent="0.2">
      <c r="A62" s="140"/>
      <c r="B62" s="140"/>
      <c r="C62" s="140"/>
      <c r="D62" s="140"/>
      <c r="E62" s="140"/>
      <c r="F62" s="140"/>
      <c r="G62" s="140"/>
      <c r="H62" s="140"/>
      <c r="I62" s="140"/>
      <c r="J62" s="140"/>
      <c r="K62" s="140"/>
      <c r="L62" s="140"/>
    </row>
    <row r="63" spans="1:13" ht="17.45" customHeight="1" x14ac:dyDescent="0.2">
      <c r="A63" s="440"/>
    </row>
    <row r="64" spans="1:13" ht="18.600000000000001" customHeight="1" x14ac:dyDescent="0.2">
      <c r="A64" s="440"/>
      <c r="B64" s="572"/>
      <c r="C64" s="271"/>
      <c r="D64" s="271"/>
      <c r="E64" s="271"/>
      <c r="G64" s="569"/>
      <c r="H64" s="570" t="s">
        <v>197</v>
      </c>
      <c r="I64" s="569"/>
      <c r="J64" s="584" t="s">
        <v>200</v>
      </c>
      <c r="K64" s="569"/>
      <c r="L64" s="569"/>
      <c r="M64" s="571"/>
    </row>
    <row r="65" spans="7:13" ht="15" customHeight="1" x14ac:dyDescent="0.2">
      <c r="G65" s="571"/>
      <c r="H65" s="571"/>
      <c r="I65" s="571"/>
      <c r="J65" s="571"/>
      <c r="K65" s="571"/>
      <c r="L65" s="571"/>
      <c r="M65" s="571"/>
    </row>
  </sheetData>
  <mergeCells count="106">
    <mergeCell ref="J61:K61"/>
    <mergeCell ref="D58:F58"/>
    <mergeCell ref="D59:F59"/>
    <mergeCell ref="D60:F60"/>
    <mergeCell ref="D61:F61"/>
    <mergeCell ref="G58:H58"/>
    <mergeCell ref="G59:H59"/>
    <mergeCell ref="G60:H60"/>
    <mergeCell ref="B58:C58"/>
    <mergeCell ref="B59:C59"/>
    <mergeCell ref="B60:C60"/>
    <mergeCell ref="B61:C61"/>
    <mergeCell ref="G61:H61"/>
    <mergeCell ref="J58:K58"/>
    <mergeCell ref="J59:K59"/>
    <mergeCell ref="J60:K60"/>
    <mergeCell ref="I53:K53"/>
    <mergeCell ref="I54:K54"/>
    <mergeCell ref="B56:K56"/>
    <mergeCell ref="B57:C57"/>
    <mergeCell ref="D57:F57"/>
    <mergeCell ref="G57:H57"/>
    <mergeCell ref="J57:K57"/>
    <mergeCell ref="B53:C53"/>
    <mergeCell ref="B54:C54"/>
    <mergeCell ref="D53:H53"/>
    <mergeCell ref="D54:H54"/>
    <mergeCell ref="B50:C50"/>
    <mergeCell ref="D50:H50"/>
    <mergeCell ref="I50:K50"/>
    <mergeCell ref="B51:C51"/>
    <mergeCell ref="B52:C52"/>
    <mergeCell ref="I51:K51"/>
    <mergeCell ref="I52:K52"/>
    <mergeCell ref="G45:H45"/>
    <mergeCell ref="G46:H46"/>
    <mergeCell ref="G47:H47"/>
    <mergeCell ref="I45:J45"/>
    <mergeCell ref="I46:J46"/>
    <mergeCell ref="I47:J47"/>
    <mergeCell ref="C45:D45"/>
    <mergeCell ref="C46:D46"/>
    <mergeCell ref="C47:D47"/>
    <mergeCell ref="E45:F45"/>
    <mergeCell ref="E46:F46"/>
    <mergeCell ref="E47:F47"/>
    <mergeCell ref="D51:H51"/>
    <mergeCell ref="D52:H52"/>
    <mergeCell ref="B49:K49"/>
    <mergeCell ref="C39:E39"/>
    <mergeCell ref="C40:E40"/>
    <mergeCell ref="C41:E41"/>
    <mergeCell ref="B43:K43"/>
    <mergeCell ref="C44:D44"/>
    <mergeCell ref="E44:F44"/>
    <mergeCell ref="G44:H44"/>
    <mergeCell ref="I44:J44"/>
    <mergeCell ref="G39:J39"/>
    <mergeCell ref="G40:J40"/>
    <mergeCell ref="G41:J41"/>
    <mergeCell ref="I33:K33"/>
    <mergeCell ref="I34:K34"/>
    <mergeCell ref="I35:K35"/>
    <mergeCell ref="B37:K37"/>
    <mergeCell ref="C38:E38"/>
    <mergeCell ref="G38:J38"/>
    <mergeCell ref="C33:D33"/>
    <mergeCell ref="C34:D34"/>
    <mergeCell ref="C35:D35"/>
    <mergeCell ref="E33:H33"/>
    <mergeCell ref="E34:H34"/>
    <mergeCell ref="E35:H35"/>
    <mergeCell ref="B31:K31"/>
    <mergeCell ref="C32:D32"/>
    <mergeCell ref="E32:H32"/>
    <mergeCell ref="I32:K32"/>
    <mergeCell ref="C26:D26"/>
    <mergeCell ref="C27:D27"/>
    <mergeCell ref="C29:D29"/>
    <mergeCell ref="C19:D19"/>
    <mergeCell ref="C20:D20"/>
    <mergeCell ref="C21:D21"/>
    <mergeCell ref="C22:D22"/>
    <mergeCell ref="C23:D23"/>
    <mergeCell ref="C24:D24"/>
    <mergeCell ref="B9:C9"/>
    <mergeCell ref="B10:C10"/>
    <mergeCell ref="B12:C12"/>
    <mergeCell ref="B18:K18"/>
    <mergeCell ref="C25:D25"/>
    <mergeCell ref="C28:D28"/>
    <mergeCell ref="D9:I9"/>
    <mergeCell ref="D10:I10"/>
    <mergeCell ref="J9:K9"/>
    <mergeCell ref="C1:I1"/>
    <mergeCell ref="B4:K4"/>
    <mergeCell ref="B5:K5"/>
    <mergeCell ref="B7:K7"/>
    <mergeCell ref="B8:C8"/>
    <mergeCell ref="D8:I8"/>
    <mergeCell ref="J8:K8"/>
    <mergeCell ref="J1:L1"/>
    <mergeCell ref="J2:L2"/>
    <mergeCell ref="J3:L3"/>
    <mergeCell ref="A1:B3"/>
    <mergeCell ref="C2:I3"/>
  </mergeCells>
  <printOptions horizontalCentered="1" verticalCentered="1"/>
  <pageMargins left="0.19685039370078741" right="0.19685039370078741" top="0" bottom="0" header="0.31496062992125984" footer="0.31496062992125984"/>
  <pageSetup scale="75" orientation="landscape" horizontalDpi="4294967292"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dimension ref="A1:L35"/>
  <sheetViews>
    <sheetView showGridLines="0" zoomScaleNormal="100" zoomScalePageLayoutView="39" workbookViewId="0">
      <selection activeCell="B18" sqref="B18:C18"/>
    </sheetView>
  </sheetViews>
  <sheetFormatPr baseColWidth="10" defaultColWidth="11.42578125" defaultRowHeight="12.75" x14ac:dyDescent="0.2"/>
  <cols>
    <col min="1" max="1" width="12.140625" style="235" customWidth="1"/>
    <col min="2" max="2" width="15.42578125" style="235" customWidth="1"/>
    <col min="3" max="3" width="18.7109375" style="235" customWidth="1"/>
    <col min="4" max="4" width="3.28515625" style="235" customWidth="1"/>
    <col min="5" max="5" width="4.7109375" style="235" customWidth="1"/>
    <col min="6" max="6" width="4.85546875" style="235" customWidth="1"/>
    <col min="7" max="7" width="24.28515625" style="235" customWidth="1"/>
    <col min="8" max="8" width="6.140625" style="235" customWidth="1"/>
    <col min="9" max="9" width="5.28515625" style="235" customWidth="1"/>
    <col min="10" max="11" width="5.5703125" style="235" customWidth="1"/>
    <col min="12" max="247" width="11.42578125" style="235"/>
    <col min="248" max="248" width="13.85546875" style="235" customWidth="1"/>
    <col min="249" max="249" width="15.7109375" style="235" customWidth="1"/>
    <col min="250" max="250" width="19.28515625" style="235" customWidth="1"/>
    <col min="251" max="251" width="3.28515625" style="235" customWidth="1"/>
    <col min="252" max="252" width="4.7109375" style="235" customWidth="1"/>
    <col min="253" max="253" width="4.85546875" style="235" customWidth="1"/>
    <col min="254" max="254" width="26" style="235" customWidth="1"/>
    <col min="255" max="255" width="5.42578125" style="235" customWidth="1"/>
    <col min="256" max="258" width="2.28515625" style="235" customWidth="1"/>
    <col min="259" max="503" width="11.42578125" style="235"/>
    <col min="504" max="504" width="13.85546875" style="235" customWidth="1"/>
    <col min="505" max="505" width="15.7109375" style="235" customWidth="1"/>
    <col min="506" max="506" width="19.28515625" style="235" customWidth="1"/>
    <col min="507" max="507" width="3.28515625" style="235" customWidth="1"/>
    <col min="508" max="508" width="4.7109375" style="235" customWidth="1"/>
    <col min="509" max="509" width="4.85546875" style="235" customWidth="1"/>
    <col min="510" max="510" width="26" style="235" customWidth="1"/>
    <col min="511" max="511" width="5.42578125" style="235" customWidth="1"/>
    <col min="512" max="514" width="2.28515625" style="235" customWidth="1"/>
    <col min="515" max="759" width="11.42578125" style="235"/>
    <col min="760" max="760" width="13.85546875" style="235" customWidth="1"/>
    <col min="761" max="761" width="15.7109375" style="235" customWidth="1"/>
    <col min="762" max="762" width="19.28515625" style="235" customWidth="1"/>
    <col min="763" max="763" width="3.28515625" style="235" customWidth="1"/>
    <col min="764" max="764" width="4.7109375" style="235" customWidth="1"/>
    <col min="765" max="765" width="4.85546875" style="235" customWidth="1"/>
    <col min="766" max="766" width="26" style="235" customWidth="1"/>
    <col min="767" max="767" width="5.42578125" style="235" customWidth="1"/>
    <col min="768" max="770" width="2.28515625" style="235" customWidth="1"/>
    <col min="771" max="1015" width="11.42578125" style="235"/>
    <col min="1016" max="1016" width="13.85546875" style="235" customWidth="1"/>
    <col min="1017" max="1017" width="15.7109375" style="235" customWidth="1"/>
    <col min="1018" max="1018" width="19.28515625" style="235" customWidth="1"/>
    <col min="1019" max="1019" width="3.28515625" style="235" customWidth="1"/>
    <col min="1020" max="1020" width="4.7109375" style="235" customWidth="1"/>
    <col min="1021" max="1021" width="4.85546875" style="235" customWidth="1"/>
    <col min="1022" max="1022" width="26" style="235" customWidth="1"/>
    <col min="1023" max="1023" width="5.42578125" style="235" customWidth="1"/>
    <col min="1024" max="1026" width="2.28515625" style="235" customWidth="1"/>
    <col min="1027" max="1271" width="11.42578125" style="235"/>
    <col min="1272" max="1272" width="13.85546875" style="235" customWidth="1"/>
    <col min="1273" max="1273" width="15.7109375" style="235" customWidth="1"/>
    <col min="1274" max="1274" width="19.28515625" style="235" customWidth="1"/>
    <col min="1275" max="1275" width="3.28515625" style="235" customWidth="1"/>
    <col min="1276" max="1276" width="4.7109375" style="235" customWidth="1"/>
    <col min="1277" max="1277" width="4.85546875" style="235" customWidth="1"/>
    <col min="1278" max="1278" width="26" style="235" customWidth="1"/>
    <col min="1279" max="1279" width="5.42578125" style="235" customWidth="1"/>
    <col min="1280" max="1282" width="2.28515625" style="235" customWidth="1"/>
    <col min="1283" max="1527" width="11.42578125" style="235"/>
    <col min="1528" max="1528" width="13.85546875" style="235" customWidth="1"/>
    <col min="1529" max="1529" width="15.7109375" style="235" customWidth="1"/>
    <col min="1530" max="1530" width="19.28515625" style="235" customWidth="1"/>
    <col min="1531" max="1531" width="3.28515625" style="235" customWidth="1"/>
    <col min="1532" max="1532" width="4.7109375" style="235" customWidth="1"/>
    <col min="1533" max="1533" width="4.85546875" style="235" customWidth="1"/>
    <col min="1534" max="1534" width="26" style="235" customWidth="1"/>
    <col min="1535" max="1535" width="5.42578125" style="235" customWidth="1"/>
    <col min="1536" max="1538" width="2.28515625" style="235" customWidth="1"/>
    <col min="1539" max="1783" width="11.42578125" style="235"/>
    <col min="1784" max="1784" width="13.85546875" style="235" customWidth="1"/>
    <col min="1785" max="1785" width="15.7109375" style="235" customWidth="1"/>
    <col min="1786" max="1786" width="19.28515625" style="235" customWidth="1"/>
    <col min="1787" max="1787" width="3.28515625" style="235" customWidth="1"/>
    <col min="1788" max="1788" width="4.7109375" style="235" customWidth="1"/>
    <col min="1789" max="1789" width="4.85546875" style="235" customWidth="1"/>
    <col min="1790" max="1790" width="26" style="235" customWidth="1"/>
    <col min="1791" max="1791" width="5.42578125" style="235" customWidth="1"/>
    <col min="1792" max="1794" width="2.28515625" style="235" customWidth="1"/>
    <col min="1795" max="2039" width="11.42578125" style="235"/>
    <col min="2040" max="2040" width="13.85546875" style="235" customWidth="1"/>
    <col min="2041" max="2041" width="15.7109375" style="235" customWidth="1"/>
    <col min="2042" max="2042" width="19.28515625" style="235" customWidth="1"/>
    <col min="2043" max="2043" width="3.28515625" style="235" customWidth="1"/>
    <col min="2044" max="2044" width="4.7109375" style="235" customWidth="1"/>
    <col min="2045" max="2045" width="4.85546875" style="235" customWidth="1"/>
    <col min="2046" max="2046" width="26" style="235" customWidth="1"/>
    <col min="2047" max="2047" width="5.42578125" style="235" customWidth="1"/>
    <col min="2048" max="2050" width="2.28515625" style="235" customWidth="1"/>
    <col min="2051" max="2295" width="11.42578125" style="235"/>
    <col min="2296" max="2296" width="13.85546875" style="235" customWidth="1"/>
    <col min="2297" max="2297" width="15.7109375" style="235" customWidth="1"/>
    <col min="2298" max="2298" width="19.28515625" style="235" customWidth="1"/>
    <col min="2299" max="2299" width="3.28515625" style="235" customWidth="1"/>
    <col min="2300" max="2300" width="4.7109375" style="235" customWidth="1"/>
    <col min="2301" max="2301" width="4.85546875" style="235" customWidth="1"/>
    <col min="2302" max="2302" width="26" style="235" customWidth="1"/>
    <col min="2303" max="2303" width="5.42578125" style="235" customWidth="1"/>
    <col min="2304" max="2306" width="2.28515625" style="235" customWidth="1"/>
    <col min="2307" max="2551" width="11.42578125" style="235"/>
    <col min="2552" max="2552" width="13.85546875" style="235" customWidth="1"/>
    <col min="2553" max="2553" width="15.7109375" style="235" customWidth="1"/>
    <col min="2554" max="2554" width="19.28515625" style="235" customWidth="1"/>
    <col min="2555" max="2555" width="3.28515625" style="235" customWidth="1"/>
    <col min="2556" max="2556" width="4.7109375" style="235" customWidth="1"/>
    <col min="2557" max="2557" width="4.85546875" style="235" customWidth="1"/>
    <col min="2558" max="2558" width="26" style="235" customWidth="1"/>
    <col min="2559" max="2559" width="5.42578125" style="235" customWidth="1"/>
    <col min="2560" max="2562" width="2.28515625" style="235" customWidth="1"/>
    <col min="2563" max="2807" width="11.42578125" style="235"/>
    <col min="2808" max="2808" width="13.85546875" style="235" customWidth="1"/>
    <col min="2809" max="2809" width="15.7109375" style="235" customWidth="1"/>
    <col min="2810" max="2810" width="19.28515625" style="235" customWidth="1"/>
    <col min="2811" max="2811" width="3.28515625" style="235" customWidth="1"/>
    <col min="2812" max="2812" width="4.7109375" style="235" customWidth="1"/>
    <col min="2813" max="2813" width="4.85546875" style="235" customWidth="1"/>
    <col min="2814" max="2814" width="26" style="235" customWidth="1"/>
    <col min="2815" max="2815" width="5.42578125" style="235" customWidth="1"/>
    <col min="2816" max="2818" width="2.28515625" style="235" customWidth="1"/>
    <col min="2819" max="3063" width="11.42578125" style="235"/>
    <col min="3064" max="3064" width="13.85546875" style="235" customWidth="1"/>
    <col min="3065" max="3065" width="15.7109375" style="235" customWidth="1"/>
    <col min="3066" max="3066" width="19.28515625" style="235" customWidth="1"/>
    <col min="3067" max="3067" width="3.28515625" style="235" customWidth="1"/>
    <col min="3068" max="3068" width="4.7109375" style="235" customWidth="1"/>
    <col min="3069" max="3069" width="4.85546875" style="235" customWidth="1"/>
    <col min="3070" max="3070" width="26" style="235" customWidth="1"/>
    <col min="3071" max="3071" width="5.42578125" style="235" customWidth="1"/>
    <col min="3072" max="3074" width="2.28515625" style="235" customWidth="1"/>
    <col min="3075" max="3319" width="11.42578125" style="235"/>
    <col min="3320" max="3320" width="13.85546875" style="235" customWidth="1"/>
    <col min="3321" max="3321" width="15.7109375" style="235" customWidth="1"/>
    <col min="3322" max="3322" width="19.28515625" style="235" customWidth="1"/>
    <col min="3323" max="3323" width="3.28515625" style="235" customWidth="1"/>
    <col min="3324" max="3324" width="4.7109375" style="235" customWidth="1"/>
    <col min="3325" max="3325" width="4.85546875" style="235" customWidth="1"/>
    <col min="3326" max="3326" width="26" style="235" customWidth="1"/>
    <col min="3327" max="3327" width="5.42578125" style="235" customWidth="1"/>
    <col min="3328" max="3330" width="2.28515625" style="235" customWidth="1"/>
    <col min="3331" max="3575" width="11.42578125" style="235"/>
    <col min="3576" max="3576" width="13.85546875" style="235" customWidth="1"/>
    <col min="3577" max="3577" width="15.7109375" style="235" customWidth="1"/>
    <col min="3578" max="3578" width="19.28515625" style="235" customWidth="1"/>
    <col min="3579" max="3579" width="3.28515625" style="235" customWidth="1"/>
    <col min="3580" max="3580" width="4.7109375" style="235" customWidth="1"/>
    <col min="3581" max="3581" width="4.85546875" style="235" customWidth="1"/>
    <col min="3582" max="3582" width="26" style="235" customWidth="1"/>
    <col min="3583" max="3583" width="5.42578125" style="235" customWidth="1"/>
    <col min="3584" max="3586" width="2.28515625" style="235" customWidth="1"/>
    <col min="3587" max="3831" width="11.42578125" style="235"/>
    <col min="3832" max="3832" width="13.85546875" style="235" customWidth="1"/>
    <col min="3833" max="3833" width="15.7109375" style="235" customWidth="1"/>
    <col min="3834" max="3834" width="19.28515625" style="235" customWidth="1"/>
    <col min="3835" max="3835" width="3.28515625" style="235" customWidth="1"/>
    <col min="3836" max="3836" width="4.7109375" style="235" customWidth="1"/>
    <col min="3837" max="3837" width="4.85546875" style="235" customWidth="1"/>
    <col min="3838" max="3838" width="26" style="235" customWidth="1"/>
    <col min="3839" max="3839" width="5.42578125" style="235" customWidth="1"/>
    <col min="3840" max="3842" width="2.28515625" style="235" customWidth="1"/>
    <col min="3843" max="4087" width="11.42578125" style="235"/>
    <col min="4088" max="4088" width="13.85546875" style="235" customWidth="1"/>
    <col min="4089" max="4089" width="15.7109375" style="235" customWidth="1"/>
    <col min="4090" max="4090" width="19.28515625" style="235" customWidth="1"/>
    <col min="4091" max="4091" width="3.28515625" style="235" customWidth="1"/>
    <col min="4092" max="4092" width="4.7109375" style="235" customWidth="1"/>
    <col min="4093" max="4093" width="4.85546875" style="235" customWidth="1"/>
    <col min="4094" max="4094" width="26" style="235" customWidth="1"/>
    <col min="4095" max="4095" width="5.42578125" style="235" customWidth="1"/>
    <col min="4096" max="4098" width="2.28515625" style="235" customWidth="1"/>
    <col min="4099" max="4343" width="11.42578125" style="235"/>
    <col min="4344" max="4344" width="13.85546875" style="235" customWidth="1"/>
    <col min="4345" max="4345" width="15.7109375" style="235" customWidth="1"/>
    <col min="4346" max="4346" width="19.28515625" style="235" customWidth="1"/>
    <col min="4347" max="4347" width="3.28515625" style="235" customWidth="1"/>
    <col min="4348" max="4348" width="4.7109375" style="235" customWidth="1"/>
    <col min="4349" max="4349" width="4.85546875" style="235" customWidth="1"/>
    <col min="4350" max="4350" width="26" style="235" customWidth="1"/>
    <col min="4351" max="4351" width="5.42578125" style="235" customWidth="1"/>
    <col min="4352" max="4354" width="2.28515625" style="235" customWidth="1"/>
    <col min="4355" max="4599" width="11.42578125" style="235"/>
    <col min="4600" max="4600" width="13.85546875" style="235" customWidth="1"/>
    <col min="4601" max="4601" width="15.7109375" style="235" customWidth="1"/>
    <col min="4602" max="4602" width="19.28515625" style="235" customWidth="1"/>
    <col min="4603" max="4603" width="3.28515625" style="235" customWidth="1"/>
    <col min="4604" max="4604" width="4.7109375" style="235" customWidth="1"/>
    <col min="4605" max="4605" width="4.85546875" style="235" customWidth="1"/>
    <col min="4606" max="4606" width="26" style="235" customWidth="1"/>
    <col min="4607" max="4607" width="5.42578125" style="235" customWidth="1"/>
    <col min="4608" max="4610" width="2.28515625" style="235" customWidth="1"/>
    <col min="4611" max="4855" width="11.42578125" style="235"/>
    <col min="4856" max="4856" width="13.85546875" style="235" customWidth="1"/>
    <col min="4857" max="4857" width="15.7109375" style="235" customWidth="1"/>
    <col min="4858" max="4858" width="19.28515625" style="235" customWidth="1"/>
    <col min="4859" max="4859" width="3.28515625" style="235" customWidth="1"/>
    <col min="4860" max="4860" width="4.7109375" style="235" customWidth="1"/>
    <col min="4861" max="4861" width="4.85546875" style="235" customWidth="1"/>
    <col min="4862" max="4862" width="26" style="235" customWidth="1"/>
    <col min="4863" max="4863" width="5.42578125" style="235" customWidth="1"/>
    <col min="4864" max="4866" width="2.28515625" style="235" customWidth="1"/>
    <col min="4867" max="5111" width="11.42578125" style="235"/>
    <col min="5112" max="5112" width="13.85546875" style="235" customWidth="1"/>
    <col min="5113" max="5113" width="15.7109375" style="235" customWidth="1"/>
    <col min="5114" max="5114" width="19.28515625" style="235" customWidth="1"/>
    <col min="5115" max="5115" width="3.28515625" style="235" customWidth="1"/>
    <col min="5116" max="5116" width="4.7109375" style="235" customWidth="1"/>
    <col min="5117" max="5117" width="4.85546875" style="235" customWidth="1"/>
    <col min="5118" max="5118" width="26" style="235" customWidth="1"/>
    <col min="5119" max="5119" width="5.42578125" style="235" customWidth="1"/>
    <col min="5120" max="5122" width="2.28515625" style="235" customWidth="1"/>
    <col min="5123" max="5367" width="11.42578125" style="235"/>
    <col min="5368" max="5368" width="13.85546875" style="235" customWidth="1"/>
    <col min="5369" max="5369" width="15.7109375" style="235" customWidth="1"/>
    <col min="5370" max="5370" width="19.28515625" style="235" customWidth="1"/>
    <col min="5371" max="5371" width="3.28515625" style="235" customWidth="1"/>
    <col min="5372" max="5372" width="4.7109375" style="235" customWidth="1"/>
    <col min="5373" max="5373" width="4.85546875" style="235" customWidth="1"/>
    <col min="5374" max="5374" width="26" style="235" customWidth="1"/>
    <col min="5375" max="5375" width="5.42578125" style="235" customWidth="1"/>
    <col min="5376" max="5378" width="2.28515625" style="235" customWidth="1"/>
    <col min="5379" max="5623" width="11.42578125" style="235"/>
    <col min="5624" max="5624" width="13.85546875" style="235" customWidth="1"/>
    <col min="5625" max="5625" width="15.7109375" style="235" customWidth="1"/>
    <col min="5626" max="5626" width="19.28515625" style="235" customWidth="1"/>
    <col min="5627" max="5627" width="3.28515625" style="235" customWidth="1"/>
    <col min="5628" max="5628" width="4.7109375" style="235" customWidth="1"/>
    <col min="5629" max="5629" width="4.85546875" style="235" customWidth="1"/>
    <col min="5630" max="5630" width="26" style="235" customWidth="1"/>
    <col min="5631" max="5631" width="5.42578125" style="235" customWidth="1"/>
    <col min="5632" max="5634" width="2.28515625" style="235" customWidth="1"/>
    <col min="5635" max="5879" width="11.42578125" style="235"/>
    <col min="5880" max="5880" width="13.85546875" style="235" customWidth="1"/>
    <col min="5881" max="5881" width="15.7109375" style="235" customWidth="1"/>
    <col min="5882" max="5882" width="19.28515625" style="235" customWidth="1"/>
    <col min="5883" max="5883" width="3.28515625" style="235" customWidth="1"/>
    <col min="5884" max="5884" width="4.7109375" style="235" customWidth="1"/>
    <col min="5885" max="5885" width="4.85546875" style="235" customWidth="1"/>
    <col min="5886" max="5886" width="26" style="235" customWidth="1"/>
    <col min="5887" max="5887" width="5.42578125" style="235" customWidth="1"/>
    <col min="5888" max="5890" width="2.28515625" style="235" customWidth="1"/>
    <col min="5891" max="6135" width="11.42578125" style="235"/>
    <col min="6136" max="6136" width="13.85546875" style="235" customWidth="1"/>
    <col min="6137" max="6137" width="15.7109375" style="235" customWidth="1"/>
    <col min="6138" max="6138" width="19.28515625" style="235" customWidth="1"/>
    <col min="6139" max="6139" width="3.28515625" style="235" customWidth="1"/>
    <col min="6140" max="6140" width="4.7109375" style="235" customWidth="1"/>
    <col min="6141" max="6141" width="4.85546875" style="235" customWidth="1"/>
    <col min="6142" max="6142" width="26" style="235" customWidth="1"/>
    <col min="6143" max="6143" width="5.42578125" style="235" customWidth="1"/>
    <col min="6144" max="6146" width="2.28515625" style="235" customWidth="1"/>
    <col min="6147" max="6391" width="11.42578125" style="235"/>
    <col min="6392" max="6392" width="13.85546875" style="235" customWidth="1"/>
    <col min="6393" max="6393" width="15.7109375" style="235" customWidth="1"/>
    <col min="6394" max="6394" width="19.28515625" style="235" customWidth="1"/>
    <col min="6395" max="6395" width="3.28515625" style="235" customWidth="1"/>
    <col min="6396" max="6396" width="4.7109375" style="235" customWidth="1"/>
    <col min="6397" max="6397" width="4.85546875" style="235" customWidth="1"/>
    <col min="6398" max="6398" width="26" style="235" customWidth="1"/>
    <col min="6399" max="6399" width="5.42578125" style="235" customWidth="1"/>
    <col min="6400" max="6402" width="2.28515625" style="235" customWidth="1"/>
    <col min="6403" max="6647" width="11.42578125" style="235"/>
    <col min="6648" max="6648" width="13.85546875" style="235" customWidth="1"/>
    <col min="6649" max="6649" width="15.7109375" style="235" customWidth="1"/>
    <col min="6650" max="6650" width="19.28515625" style="235" customWidth="1"/>
    <col min="6651" max="6651" width="3.28515625" style="235" customWidth="1"/>
    <col min="6652" max="6652" width="4.7109375" style="235" customWidth="1"/>
    <col min="6653" max="6653" width="4.85546875" style="235" customWidth="1"/>
    <col min="6654" max="6654" width="26" style="235" customWidth="1"/>
    <col min="6655" max="6655" width="5.42578125" style="235" customWidth="1"/>
    <col min="6656" max="6658" width="2.28515625" style="235" customWidth="1"/>
    <col min="6659" max="6903" width="11.42578125" style="235"/>
    <col min="6904" max="6904" width="13.85546875" style="235" customWidth="1"/>
    <col min="6905" max="6905" width="15.7109375" style="235" customWidth="1"/>
    <col min="6906" max="6906" width="19.28515625" style="235" customWidth="1"/>
    <col min="6907" max="6907" width="3.28515625" style="235" customWidth="1"/>
    <col min="6908" max="6908" width="4.7109375" style="235" customWidth="1"/>
    <col min="6909" max="6909" width="4.85546875" style="235" customWidth="1"/>
    <col min="6910" max="6910" width="26" style="235" customWidth="1"/>
    <col min="6911" max="6911" width="5.42578125" style="235" customWidth="1"/>
    <col min="6912" max="6914" width="2.28515625" style="235" customWidth="1"/>
    <col min="6915" max="7159" width="11.42578125" style="235"/>
    <col min="7160" max="7160" width="13.85546875" style="235" customWidth="1"/>
    <col min="7161" max="7161" width="15.7109375" style="235" customWidth="1"/>
    <col min="7162" max="7162" width="19.28515625" style="235" customWidth="1"/>
    <col min="7163" max="7163" width="3.28515625" style="235" customWidth="1"/>
    <col min="7164" max="7164" width="4.7109375" style="235" customWidth="1"/>
    <col min="7165" max="7165" width="4.85546875" style="235" customWidth="1"/>
    <col min="7166" max="7166" width="26" style="235" customWidth="1"/>
    <col min="7167" max="7167" width="5.42578125" style="235" customWidth="1"/>
    <col min="7168" max="7170" width="2.28515625" style="235" customWidth="1"/>
    <col min="7171" max="7415" width="11.42578125" style="235"/>
    <col min="7416" max="7416" width="13.85546875" style="235" customWidth="1"/>
    <col min="7417" max="7417" width="15.7109375" style="235" customWidth="1"/>
    <col min="7418" max="7418" width="19.28515625" style="235" customWidth="1"/>
    <col min="7419" max="7419" width="3.28515625" style="235" customWidth="1"/>
    <col min="7420" max="7420" width="4.7109375" style="235" customWidth="1"/>
    <col min="7421" max="7421" width="4.85546875" style="235" customWidth="1"/>
    <col min="7422" max="7422" width="26" style="235" customWidth="1"/>
    <col min="7423" max="7423" width="5.42578125" style="235" customWidth="1"/>
    <col min="7424" max="7426" width="2.28515625" style="235" customWidth="1"/>
    <col min="7427" max="7671" width="11.42578125" style="235"/>
    <col min="7672" max="7672" width="13.85546875" style="235" customWidth="1"/>
    <col min="7673" max="7673" width="15.7109375" style="235" customWidth="1"/>
    <col min="7674" max="7674" width="19.28515625" style="235" customWidth="1"/>
    <col min="7675" max="7675" width="3.28515625" style="235" customWidth="1"/>
    <col min="7676" max="7676" width="4.7109375" style="235" customWidth="1"/>
    <col min="7677" max="7677" width="4.85546875" style="235" customWidth="1"/>
    <col min="7678" max="7678" width="26" style="235" customWidth="1"/>
    <col min="7679" max="7679" width="5.42578125" style="235" customWidth="1"/>
    <col min="7680" max="7682" width="2.28515625" style="235" customWidth="1"/>
    <col min="7683" max="7927" width="11.42578125" style="235"/>
    <col min="7928" max="7928" width="13.85546875" style="235" customWidth="1"/>
    <col min="7929" max="7929" width="15.7109375" style="235" customWidth="1"/>
    <col min="7930" max="7930" width="19.28515625" style="235" customWidth="1"/>
    <col min="7931" max="7931" width="3.28515625" style="235" customWidth="1"/>
    <col min="7932" max="7932" width="4.7109375" style="235" customWidth="1"/>
    <col min="7933" max="7933" width="4.85546875" style="235" customWidth="1"/>
    <col min="7934" max="7934" width="26" style="235" customWidth="1"/>
    <col min="7935" max="7935" width="5.42578125" style="235" customWidth="1"/>
    <col min="7936" max="7938" width="2.28515625" style="235" customWidth="1"/>
    <col min="7939" max="8183" width="11.42578125" style="235"/>
    <col min="8184" max="8184" width="13.85546875" style="235" customWidth="1"/>
    <col min="8185" max="8185" width="15.7109375" style="235" customWidth="1"/>
    <col min="8186" max="8186" width="19.28515625" style="235" customWidth="1"/>
    <col min="8187" max="8187" width="3.28515625" style="235" customWidth="1"/>
    <col min="8188" max="8188" width="4.7109375" style="235" customWidth="1"/>
    <col min="8189" max="8189" width="4.85546875" style="235" customWidth="1"/>
    <col min="8190" max="8190" width="26" style="235" customWidth="1"/>
    <col min="8191" max="8191" width="5.42578125" style="235" customWidth="1"/>
    <col min="8192" max="8194" width="2.28515625" style="235" customWidth="1"/>
    <col min="8195" max="8439" width="11.42578125" style="235"/>
    <col min="8440" max="8440" width="13.85546875" style="235" customWidth="1"/>
    <col min="8441" max="8441" width="15.7109375" style="235" customWidth="1"/>
    <col min="8442" max="8442" width="19.28515625" style="235" customWidth="1"/>
    <col min="8443" max="8443" width="3.28515625" style="235" customWidth="1"/>
    <col min="8444" max="8444" width="4.7109375" style="235" customWidth="1"/>
    <col min="8445" max="8445" width="4.85546875" style="235" customWidth="1"/>
    <col min="8446" max="8446" width="26" style="235" customWidth="1"/>
    <col min="8447" max="8447" width="5.42578125" style="235" customWidth="1"/>
    <col min="8448" max="8450" width="2.28515625" style="235" customWidth="1"/>
    <col min="8451" max="8695" width="11.42578125" style="235"/>
    <col min="8696" max="8696" width="13.85546875" style="235" customWidth="1"/>
    <col min="8697" max="8697" width="15.7109375" style="235" customWidth="1"/>
    <col min="8698" max="8698" width="19.28515625" style="235" customWidth="1"/>
    <col min="8699" max="8699" width="3.28515625" style="235" customWidth="1"/>
    <col min="8700" max="8700" width="4.7109375" style="235" customWidth="1"/>
    <col min="8701" max="8701" width="4.85546875" style="235" customWidth="1"/>
    <col min="8702" max="8702" width="26" style="235" customWidth="1"/>
    <col min="8703" max="8703" width="5.42578125" style="235" customWidth="1"/>
    <col min="8704" max="8706" width="2.28515625" style="235" customWidth="1"/>
    <col min="8707" max="8951" width="11.42578125" style="235"/>
    <col min="8952" max="8952" width="13.85546875" style="235" customWidth="1"/>
    <col min="8953" max="8953" width="15.7109375" style="235" customWidth="1"/>
    <col min="8954" max="8954" width="19.28515625" style="235" customWidth="1"/>
    <col min="8955" max="8955" width="3.28515625" style="235" customWidth="1"/>
    <col min="8956" max="8956" width="4.7109375" style="235" customWidth="1"/>
    <col min="8957" max="8957" width="4.85546875" style="235" customWidth="1"/>
    <col min="8958" max="8958" width="26" style="235" customWidth="1"/>
    <col min="8959" max="8959" width="5.42578125" style="235" customWidth="1"/>
    <col min="8960" max="8962" width="2.28515625" style="235" customWidth="1"/>
    <col min="8963" max="9207" width="11.42578125" style="235"/>
    <col min="9208" max="9208" width="13.85546875" style="235" customWidth="1"/>
    <col min="9209" max="9209" width="15.7109375" style="235" customWidth="1"/>
    <col min="9210" max="9210" width="19.28515625" style="235" customWidth="1"/>
    <col min="9211" max="9211" width="3.28515625" style="235" customWidth="1"/>
    <col min="9212" max="9212" width="4.7109375" style="235" customWidth="1"/>
    <col min="9213" max="9213" width="4.85546875" style="235" customWidth="1"/>
    <col min="9214" max="9214" width="26" style="235" customWidth="1"/>
    <col min="9215" max="9215" width="5.42578125" style="235" customWidth="1"/>
    <col min="9216" max="9218" width="2.28515625" style="235" customWidth="1"/>
    <col min="9219" max="9463" width="11.42578125" style="235"/>
    <col min="9464" max="9464" width="13.85546875" style="235" customWidth="1"/>
    <col min="9465" max="9465" width="15.7109375" style="235" customWidth="1"/>
    <col min="9466" max="9466" width="19.28515625" style="235" customWidth="1"/>
    <col min="9467" max="9467" width="3.28515625" style="235" customWidth="1"/>
    <col min="9468" max="9468" width="4.7109375" style="235" customWidth="1"/>
    <col min="9469" max="9469" width="4.85546875" style="235" customWidth="1"/>
    <col min="9470" max="9470" width="26" style="235" customWidth="1"/>
    <col min="9471" max="9471" width="5.42578125" style="235" customWidth="1"/>
    <col min="9472" max="9474" width="2.28515625" style="235" customWidth="1"/>
    <col min="9475" max="9719" width="11.42578125" style="235"/>
    <col min="9720" max="9720" width="13.85546875" style="235" customWidth="1"/>
    <col min="9721" max="9721" width="15.7109375" style="235" customWidth="1"/>
    <col min="9722" max="9722" width="19.28515625" style="235" customWidth="1"/>
    <col min="9723" max="9723" width="3.28515625" style="235" customWidth="1"/>
    <col min="9724" max="9724" width="4.7109375" style="235" customWidth="1"/>
    <col min="9725" max="9725" width="4.85546875" style="235" customWidth="1"/>
    <col min="9726" max="9726" width="26" style="235" customWidth="1"/>
    <col min="9727" max="9727" width="5.42578125" style="235" customWidth="1"/>
    <col min="9728" max="9730" width="2.28515625" style="235" customWidth="1"/>
    <col min="9731" max="9975" width="11.42578125" style="235"/>
    <col min="9976" max="9976" width="13.85546875" style="235" customWidth="1"/>
    <col min="9977" max="9977" width="15.7109375" style="235" customWidth="1"/>
    <col min="9978" max="9978" width="19.28515625" style="235" customWidth="1"/>
    <col min="9979" max="9979" width="3.28515625" style="235" customWidth="1"/>
    <col min="9980" max="9980" width="4.7109375" style="235" customWidth="1"/>
    <col min="9981" max="9981" width="4.85546875" style="235" customWidth="1"/>
    <col min="9982" max="9982" width="26" style="235" customWidth="1"/>
    <col min="9983" max="9983" width="5.42578125" style="235" customWidth="1"/>
    <col min="9984" max="9986" width="2.28515625" style="235" customWidth="1"/>
    <col min="9987" max="10231" width="11.42578125" style="235"/>
    <col min="10232" max="10232" width="13.85546875" style="235" customWidth="1"/>
    <col min="10233" max="10233" width="15.7109375" style="235" customWidth="1"/>
    <col min="10234" max="10234" width="19.28515625" style="235" customWidth="1"/>
    <col min="10235" max="10235" width="3.28515625" style="235" customWidth="1"/>
    <col min="10236" max="10236" width="4.7109375" style="235" customWidth="1"/>
    <col min="10237" max="10237" width="4.85546875" style="235" customWidth="1"/>
    <col min="10238" max="10238" width="26" style="235" customWidth="1"/>
    <col min="10239" max="10239" width="5.42578125" style="235" customWidth="1"/>
    <col min="10240" max="10242" width="2.28515625" style="235" customWidth="1"/>
    <col min="10243" max="10487" width="11.42578125" style="235"/>
    <col min="10488" max="10488" width="13.85546875" style="235" customWidth="1"/>
    <col min="10489" max="10489" width="15.7109375" style="235" customWidth="1"/>
    <col min="10490" max="10490" width="19.28515625" style="235" customWidth="1"/>
    <col min="10491" max="10491" width="3.28515625" style="235" customWidth="1"/>
    <col min="10492" max="10492" width="4.7109375" style="235" customWidth="1"/>
    <col min="10493" max="10493" width="4.85546875" style="235" customWidth="1"/>
    <col min="10494" max="10494" width="26" style="235" customWidth="1"/>
    <col min="10495" max="10495" width="5.42578125" style="235" customWidth="1"/>
    <col min="10496" max="10498" width="2.28515625" style="235" customWidth="1"/>
    <col min="10499" max="10743" width="11.42578125" style="235"/>
    <col min="10744" max="10744" width="13.85546875" style="235" customWidth="1"/>
    <col min="10745" max="10745" width="15.7109375" style="235" customWidth="1"/>
    <col min="10746" max="10746" width="19.28515625" style="235" customWidth="1"/>
    <col min="10747" max="10747" width="3.28515625" style="235" customWidth="1"/>
    <col min="10748" max="10748" width="4.7109375" style="235" customWidth="1"/>
    <col min="10749" max="10749" width="4.85546875" style="235" customWidth="1"/>
    <col min="10750" max="10750" width="26" style="235" customWidth="1"/>
    <col min="10751" max="10751" width="5.42578125" style="235" customWidth="1"/>
    <col min="10752" max="10754" width="2.28515625" style="235" customWidth="1"/>
    <col min="10755" max="10999" width="11.42578125" style="235"/>
    <col min="11000" max="11000" width="13.85546875" style="235" customWidth="1"/>
    <col min="11001" max="11001" width="15.7109375" style="235" customWidth="1"/>
    <col min="11002" max="11002" width="19.28515625" style="235" customWidth="1"/>
    <col min="11003" max="11003" width="3.28515625" style="235" customWidth="1"/>
    <col min="11004" max="11004" width="4.7109375" style="235" customWidth="1"/>
    <col min="11005" max="11005" width="4.85546875" style="235" customWidth="1"/>
    <col min="11006" max="11006" width="26" style="235" customWidth="1"/>
    <col min="11007" max="11007" width="5.42578125" style="235" customWidth="1"/>
    <col min="11008" max="11010" width="2.28515625" style="235" customWidth="1"/>
    <col min="11011" max="11255" width="11.42578125" style="235"/>
    <col min="11256" max="11256" width="13.85546875" style="235" customWidth="1"/>
    <col min="11257" max="11257" width="15.7109375" style="235" customWidth="1"/>
    <col min="11258" max="11258" width="19.28515625" style="235" customWidth="1"/>
    <col min="11259" max="11259" width="3.28515625" style="235" customWidth="1"/>
    <col min="11260" max="11260" width="4.7109375" style="235" customWidth="1"/>
    <col min="11261" max="11261" width="4.85546875" style="235" customWidth="1"/>
    <col min="11262" max="11262" width="26" style="235" customWidth="1"/>
    <col min="11263" max="11263" width="5.42578125" style="235" customWidth="1"/>
    <col min="11264" max="11266" width="2.28515625" style="235" customWidth="1"/>
    <col min="11267" max="11511" width="11.42578125" style="235"/>
    <col min="11512" max="11512" width="13.85546875" style="235" customWidth="1"/>
    <col min="11513" max="11513" width="15.7109375" style="235" customWidth="1"/>
    <col min="11514" max="11514" width="19.28515625" style="235" customWidth="1"/>
    <col min="11515" max="11515" width="3.28515625" style="235" customWidth="1"/>
    <col min="11516" max="11516" width="4.7109375" style="235" customWidth="1"/>
    <col min="11517" max="11517" width="4.85546875" style="235" customWidth="1"/>
    <col min="11518" max="11518" width="26" style="235" customWidth="1"/>
    <col min="11519" max="11519" width="5.42578125" style="235" customWidth="1"/>
    <col min="11520" max="11522" width="2.28515625" style="235" customWidth="1"/>
    <col min="11523" max="11767" width="11.42578125" style="235"/>
    <col min="11768" max="11768" width="13.85546875" style="235" customWidth="1"/>
    <col min="11769" max="11769" width="15.7109375" style="235" customWidth="1"/>
    <col min="11770" max="11770" width="19.28515625" style="235" customWidth="1"/>
    <col min="11771" max="11771" width="3.28515625" style="235" customWidth="1"/>
    <col min="11772" max="11772" width="4.7109375" style="235" customWidth="1"/>
    <col min="11773" max="11773" width="4.85546875" style="235" customWidth="1"/>
    <col min="11774" max="11774" width="26" style="235" customWidth="1"/>
    <col min="11775" max="11775" width="5.42578125" style="235" customWidth="1"/>
    <col min="11776" max="11778" width="2.28515625" style="235" customWidth="1"/>
    <col min="11779" max="12023" width="11.42578125" style="235"/>
    <col min="12024" max="12024" width="13.85546875" style="235" customWidth="1"/>
    <col min="12025" max="12025" width="15.7109375" style="235" customWidth="1"/>
    <col min="12026" max="12026" width="19.28515625" style="235" customWidth="1"/>
    <col min="12027" max="12027" width="3.28515625" style="235" customWidth="1"/>
    <col min="12028" max="12028" width="4.7109375" style="235" customWidth="1"/>
    <col min="12029" max="12029" width="4.85546875" style="235" customWidth="1"/>
    <col min="12030" max="12030" width="26" style="235" customWidth="1"/>
    <col min="12031" max="12031" width="5.42578125" style="235" customWidth="1"/>
    <col min="12032" max="12034" width="2.28515625" style="235" customWidth="1"/>
    <col min="12035" max="12279" width="11.42578125" style="235"/>
    <col min="12280" max="12280" width="13.85546875" style="235" customWidth="1"/>
    <col min="12281" max="12281" width="15.7109375" style="235" customWidth="1"/>
    <col min="12282" max="12282" width="19.28515625" style="235" customWidth="1"/>
    <col min="12283" max="12283" width="3.28515625" style="235" customWidth="1"/>
    <col min="12284" max="12284" width="4.7109375" style="235" customWidth="1"/>
    <col min="12285" max="12285" width="4.85546875" style="235" customWidth="1"/>
    <col min="12286" max="12286" width="26" style="235" customWidth="1"/>
    <col min="12287" max="12287" width="5.42578125" style="235" customWidth="1"/>
    <col min="12288" max="12290" width="2.28515625" style="235" customWidth="1"/>
    <col min="12291" max="12535" width="11.42578125" style="235"/>
    <col min="12536" max="12536" width="13.85546875" style="235" customWidth="1"/>
    <col min="12537" max="12537" width="15.7109375" style="235" customWidth="1"/>
    <col min="12538" max="12538" width="19.28515625" style="235" customWidth="1"/>
    <col min="12539" max="12539" width="3.28515625" style="235" customWidth="1"/>
    <col min="12540" max="12540" width="4.7109375" style="235" customWidth="1"/>
    <col min="12541" max="12541" width="4.85546875" style="235" customWidth="1"/>
    <col min="12542" max="12542" width="26" style="235" customWidth="1"/>
    <col min="12543" max="12543" width="5.42578125" style="235" customWidth="1"/>
    <col min="12544" max="12546" width="2.28515625" style="235" customWidth="1"/>
    <col min="12547" max="12791" width="11.42578125" style="235"/>
    <col min="12792" max="12792" width="13.85546875" style="235" customWidth="1"/>
    <col min="12793" max="12793" width="15.7109375" style="235" customWidth="1"/>
    <col min="12794" max="12794" width="19.28515625" style="235" customWidth="1"/>
    <col min="12795" max="12795" width="3.28515625" style="235" customWidth="1"/>
    <col min="12796" max="12796" width="4.7109375" style="235" customWidth="1"/>
    <col min="12797" max="12797" width="4.85546875" style="235" customWidth="1"/>
    <col min="12798" max="12798" width="26" style="235" customWidth="1"/>
    <col min="12799" max="12799" width="5.42578125" style="235" customWidth="1"/>
    <col min="12800" max="12802" width="2.28515625" style="235" customWidth="1"/>
    <col min="12803" max="13047" width="11.42578125" style="235"/>
    <col min="13048" max="13048" width="13.85546875" style="235" customWidth="1"/>
    <col min="13049" max="13049" width="15.7109375" style="235" customWidth="1"/>
    <col min="13050" max="13050" width="19.28515625" style="235" customWidth="1"/>
    <col min="13051" max="13051" width="3.28515625" style="235" customWidth="1"/>
    <col min="13052" max="13052" width="4.7109375" style="235" customWidth="1"/>
    <col min="13053" max="13053" width="4.85546875" style="235" customWidth="1"/>
    <col min="13054" max="13054" width="26" style="235" customWidth="1"/>
    <col min="13055" max="13055" width="5.42578125" style="235" customWidth="1"/>
    <col min="13056" max="13058" width="2.28515625" style="235" customWidth="1"/>
    <col min="13059" max="13303" width="11.42578125" style="235"/>
    <col min="13304" max="13304" width="13.85546875" style="235" customWidth="1"/>
    <col min="13305" max="13305" width="15.7109375" style="235" customWidth="1"/>
    <col min="13306" max="13306" width="19.28515625" style="235" customWidth="1"/>
    <col min="13307" max="13307" width="3.28515625" style="235" customWidth="1"/>
    <col min="13308" max="13308" width="4.7109375" style="235" customWidth="1"/>
    <col min="13309" max="13309" width="4.85546875" style="235" customWidth="1"/>
    <col min="13310" max="13310" width="26" style="235" customWidth="1"/>
    <col min="13311" max="13311" width="5.42578125" style="235" customWidth="1"/>
    <col min="13312" max="13314" width="2.28515625" style="235" customWidth="1"/>
    <col min="13315" max="13559" width="11.42578125" style="235"/>
    <col min="13560" max="13560" width="13.85546875" style="235" customWidth="1"/>
    <col min="13561" max="13561" width="15.7109375" style="235" customWidth="1"/>
    <col min="13562" max="13562" width="19.28515625" style="235" customWidth="1"/>
    <col min="13563" max="13563" width="3.28515625" style="235" customWidth="1"/>
    <col min="13564" max="13564" width="4.7109375" style="235" customWidth="1"/>
    <col min="13565" max="13565" width="4.85546875" style="235" customWidth="1"/>
    <col min="13566" max="13566" width="26" style="235" customWidth="1"/>
    <col min="13567" max="13567" width="5.42578125" style="235" customWidth="1"/>
    <col min="13568" max="13570" width="2.28515625" style="235" customWidth="1"/>
    <col min="13571" max="13815" width="11.42578125" style="235"/>
    <col min="13816" max="13816" width="13.85546875" style="235" customWidth="1"/>
    <col min="13817" max="13817" width="15.7109375" style="235" customWidth="1"/>
    <col min="13818" max="13818" width="19.28515625" style="235" customWidth="1"/>
    <col min="13819" max="13819" width="3.28515625" style="235" customWidth="1"/>
    <col min="13820" max="13820" width="4.7109375" style="235" customWidth="1"/>
    <col min="13821" max="13821" width="4.85546875" style="235" customWidth="1"/>
    <col min="13822" max="13822" width="26" style="235" customWidth="1"/>
    <col min="13823" max="13823" width="5.42578125" style="235" customWidth="1"/>
    <col min="13824" max="13826" width="2.28515625" style="235" customWidth="1"/>
    <col min="13827" max="14071" width="11.42578125" style="235"/>
    <col min="14072" max="14072" width="13.85546875" style="235" customWidth="1"/>
    <col min="14073" max="14073" width="15.7109375" style="235" customWidth="1"/>
    <col min="14074" max="14074" width="19.28515625" style="235" customWidth="1"/>
    <col min="14075" max="14075" width="3.28515625" style="235" customWidth="1"/>
    <col min="14076" max="14076" width="4.7109375" style="235" customWidth="1"/>
    <col min="14077" max="14077" width="4.85546875" style="235" customWidth="1"/>
    <col min="14078" max="14078" width="26" style="235" customWidth="1"/>
    <col min="14079" max="14079" width="5.42578125" style="235" customWidth="1"/>
    <col min="14080" max="14082" width="2.28515625" style="235" customWidth="1"/>
    <col min="14083" max="14327" width="11.42578125" style="235"/>
    <col min="14328" max="14328" width="13.85546875" style="235" customWidth="1"/>
    <col min="14329" max="14329" width="15.7109375" style="235" customWidth="1"/>
    <col min="14330" max="14330" width="19.28515625" style="235" customWidth="1"/>
    <col min="14331" max="14331" width="3.28515625" style="235" customWidth="1"/>
    <col min="14332" max="14332" width="4.7109375" style="235" customWidth="1"/>
    <col min="14333" max="14333" width="4.85546875" style="235" customWidth="1"/>
    <col min="14334" max="14334" width="26" style="235" customWidth="1"/>
    <col min="14335" max="14335" width="5.42578125" style="235" customWidth="1"/>
    <col min="14336" max="14338" width="2.28515625" style="235" customWidth="1"/>
    <col min="14339" max="14583" width="11.42578125" style="235"/>
    <col min="14584" max="14584" width="13.85546875" style="235" customWidth="1"/>
    <col min="14585" max="14585" width="15.7109375" style="235" customWidth="1"/>
    <col min="14586" max="14586" width="19.28515625" style="235" customWidth="1"/>
    <col min="14587" max="14587" width="3.28515625" style="235" customWidth="1"/>
    <col min="14588" max="14588" width="4.7109375" style="235" customWidth="1"/>
    <col min="14589" max="14589" width="4.85546875" style="235" customWidth="1"/>
    <col min="14590" max="14590" width="26" style="235" customWidth="1"/>
    <col min="14591" max="14591" width="5.42578125" style="235" customWidth="1"/>
    <col min="14592" max="14594" width="2.28515625" style="235" customWidth="1"/>
    <col min="14595" max="14839" width="11.42578125" style="235"/>
    <col min="14840" max="14840" width="13.85546875" style="235" customWidth="1"/>
    <col min="14841" max="14841" width="15.7109375" style="235" customWidth="1"/>
    <col min="14842" max="14842" width="19.28515625" style="235" customWidth="1"/>
    <col min="14843" max="14843" width="3.28515625" style="235" customWidth="1"/>
    <col min="14844" max="14844" width="4.7109375" style="235" customWidth="1"/>
    <col min="14845" max="14845" width="4.85546875" style="235" customWidth="1"/>
    <col min="14846" max="14846" width="26" style="235" customWidth="1"/>
    <col min="14847" max="14847" width="5.42578125" style="235" customWidth="1"/>
    <col min="14848" max="14850" width="2.28515625" style="235" customWidth="1"/>
    <col min="14851" max="15095" width="11.42578125" style="235"/>
    <col min="15096" max="15096" width="13.85546875" style="235" customWidth="1"/>
    <col min="15097" max="15097" width="15.7109375" style="235" customWidth="1"/>
    <col min="15098" max="15098" width="19.28515625" style="235" customWidth="1"/>
    <col min="15099" max="15099" width="3.28515625" style="235" customWidth="1"/>
    <col min="15100" max="15100" width="4.7109375" style="235" customWidth="1"/>
    <col min="15101" max="15101" width="4.85546875" style="235" customWidth="1"/>
    <col min="15102" max="15102" width="26" style="235" customWidth="1"/>
    <col min="15103" max="15103" width="5.42578125" style="235" customWidth="1"/>
    <col min="15104" max="15106" width="2.28515625" style="235" customWidth="1"/>
    <col min="15107" max="15351" width="11.42578125" style="235"/>
    <col min="15352" max="15352" width="13.85546875" style="235" customWidth="1"/>
    <col min="15353" max="15353" width="15.7109375" style="235" customWidth="1"/>
    <col min="15354" max="15354" width="19.28515625" style="235" customWidth="1"/>
    <col min="15355" max="15355" width="3.28515625" style="235" customWidth="1"/>
    <col min="15356" max="15356" width="4.7109375" style="235" customWidth="1"/>
    <col min="15357" max="15357" width="4.85546875" style="235" customWidth="1"/>
    <col min="15358" max="15358" width="26" style="235" customWidth="1"/>
    <col min="15359" max="15359" width="5.42578125" style="235" customWidth="1"/>
    <col min="15360" max="15362" width="2.28515625" style="235" customWidth="1"/>
    <col min="15363" max="15607" width="11.42578125" style="235"/>
    <col min="15608" max="15608" width="13.85546875" style="235" customWidth="1"/>
    <col min="15609" max="15609" width="15.7109375" style="235" customWidth="1"/>
    <col min="15610" max="15610" width="19.28515625" style="235" customWidth="1"/>
    <col min="15611" max="15611" width="3.28515625" style="235" customWidth="1"/>
    <col min="15612" max="15612" width="4.7109375" style="235" customWidth="1"/>
    <col min="15613" max="15613" width="4.85546875" style="235" customWidth="1"/>
    <col min="15614" max="15614" width="26" style="235" customWidth="1"/>
    <col min="15615" max="15615" width="5.42578125" style="235" customWidth="1"/>
    <col min="15616" max="15618" width="2.28515625" style="235" customWidth="1"/>
    <col min="15619" max="15863" width="11.42578125" style="235"/>
    <col min="15864" max="15864" width="13.85546875" style="235" customWidth="1"/>
    <col min="15865" max="15865" width="15.7109375" style="235" customWidth="1"/>
    <col min="15866" max="15866" width="19.28515625" style="235" customWidth="1"/>
    <col min="15867" max="15867" width="3.28515625" style="235" customWidth="1"/>
    <col min="15868" max="15868" width="4.7109375" style="235" customWidth="1"/>
    <col min="15869" max="15869" width="4.85546875" style="235" customWidth="1"/>
    <col min="15870" max="15870" width="26" style="235" customWidth="1"/>
    <col min="15871" max="15871" width="5.42578125" style="235" customWidth="1"/>
    <col min="15872" max="15874" width="2.28515625" style="235" customWidth="1"/>
    <col min="15875" max="16119" width="11.42578125" style="235"/>
    <col min="16120" max="16120" width="13.85546875" style="235" customWidth="1"/>
    <col min="16121" max="16121" width="15.7109375" style="235" customWidth="1"/>
    <col min="16122" max="16122" width="19.28515625" style="235" customWidth="1"/>
    <col min="16123" max="16123" width="3.28515625" style="235" customWidth="1"/>
    <col min="16124" max="16124" width="4.7109375" style="235" customWidth="1"/>
    <col min="16125" max="16125" width="4.85546875" style="235" customWidth="1"/>
    <col min="16126" max="16126" width="26" style="235" customWidth="1"/>
    <col min="16127" max="16127" width="5.42578125" style="235" customWidth="1"/>
    <col min="16128" max="16130" width="2.28515625" style="235" customWidth="1"/>
    <col min="16131" max="16384" width="11.42578125" style="235"/>
  </cols>
  <sheetData>
    <row r="1" spans="1:11" ht="30.75" customHeight="1" x14ac:dyDescent="0.2">
      <c r="A1" s="605"/>
      <c r="B1" s="613"/>
      <c r="C1" s="613"/>
      <c r="D1" s="613"/>
      <c r="E1" s="613"/>
      <c r="F1" s="613"/>
      <c r="G1" s="613"/>
      <c r="H1" s="615"/>
      <c r="I1" s="615"/>
      <c r="J1" s="615"/>
      <c r="K1" s="615"/>
    </row>
    <row r="2" spans="1:11" ht="27" customHeight="1" x14ac:dyDescent="0.2">
      <c r="A2" s="605"/>
      <c r="B2" s="613"/>
      <c r="C2" s="613"/>
      <c r="D2" s="613"/>
      <c r="E2" s="613"/>
      <c r="F2" s="613"/>
      <c r="G2" s="613"/>
      <c r="H2" s="615"/>
      <c r="I2" s="615"/>
      <c r="J2" s="615"/>
      <c r="K2" s="615"/>
    </row>
    <row r="3" spans="1:11" ht="24.6" customHeight="1" thickBot="1" x14ac:dyDescent="0.25">
      <c r="A3" s="605"/>
      <c r="B3" s="613"/>
      <c r="C3" s="613"/>
      <c r="D3" s="613"/>
      <c r="E3" s="613"/>
      <c r="F3" s="613"/>
      <c r="G3" s="613"/>
      <c r="H3" s="615"/>
      <c r="I3" s="615"/>
      <c r="J3" s="615"/>
      <c r="K3" s="615"/>
    </row>
    <row r="4" spans="1:11" ht="17.25" customHeight="1" x14ac:dyDescent="0.2">
      <c r="A4" s="577"/>
      <c r="B4" s="578"/>
      <c r="C4" s="578"/>
      <c r="D4" s="578"/>
      <c r="E4" s="578"/>
      <c r="F4" s="578"/>
      <c r="G4" s="578"/>
      <c r="H4" s="578"/>
      <c r="I4" s="578"/>
      <c r="J4" s="578"/>
      <c r="K4" s="579"/>
    </row>
    <row r="5" spans="1:11" ht="13.9" customHeight="1" x14ac:dyDescent="0.2">
      <c r="A5" s="510"/>
      <c r="B5" s="512"/>
      <c r="C5" s="512" t="s">
        <v>196</v>
      </c>
      <c r="D5" s="512"/>
      <c r="E5" s="512"/>
      <c r="F5" s="512"/>
      <c r="G5" s="512"/>
      <c r="H5" s="512"/>
      <c r="I5" s="271"/>
      <c r="J5" s="271"/>
      <c r="K5" s="511"/>
    </row>
    <row r="6" spans="1:11" x14ac:dyDescent="0.2">
      <c r="A6" s="510"/>
      <c r="B6" s="271"/>
      <c r="C6" s="271"/>
      <c r="D6" s="271"/>
      <c r="E6" s="271"/>
      <c r="F6" s="271"/>
      <c r="G6" s="271"/>
      <c r="H6" s="271"/>
      <c r="I6" s="271"/>
      <c r="J6" s="271"/>
      <c r="K6" s="511"/>
    </row>
    <row r="7" spans="1:11" x14ac:dyDescent="0.2">
      <c r="A7" s="513" t="s">
        <v>81</v>
      </c>
      <c r="B7" s="514"/>
      <c r="C7" s="515"/>
      <c r="D7" s="515" t="s">
        <v>27</v>
      </c>
      <c r="E7" s="515"/>
      <c r="F7" s="271"/>
      <c r="G7" s="516"/>
      <c r="H7" s="271"/>
      <c r="I7" s="271"/>
      <c r="J7" s="271"/>
      <c r="K7" s="511"/>
    </row>
    <row r="8" spans="1:11" ht="14.45" customHeight="1" x14ac:dyDescent="0.2">
      <c r="A8" s="513" t="s">
        <v>82</v>
      </c>
      <c r="B8" s="516"/>
      <c r="C8" s="515"/>
      <c r="D8" s="515" t="s">
        <v>83</v>
      </c>
      <c r="E8" s="515"/>
      <c r="F8" s="271"/>
      <c r="G8" s="516"/>
      <c r="H8" s="271"/>
      <c r="I8" s="271"/>
      <c r="J8" s="271"/>
      <c r="K8" s="511"/>
    </row>
    <row r="9" spans="1:11" x14ac:dyDescent="0.2">
      <c r="A9" s="510"/>
      <c r="B9" s="517"/>
      <c r="C9" s="515"/>
      <c r="D9" s="515"/>
      <c r="E9" s="515"/>
      <c r="F9" s="271"/>
      <c r="G9" s="517"/>
      <c r="H9" s="271"/>
      <c r="I9" s="271"/>
      <c r="J9" s="271"/>
      <c r="K9" s="511"/>
    </row>
    <row r="10" spans="1:11" ht="14.25" customHeight="1" x14ac:dyDescent="0.2">
      <c r="A10" s="513" t="s">
        <v>84</v>
      </c>
      <c r="B10" s="516"/>
      <c r="C10" s="515"/>
      <c r="D10" s="271"/>
      <c r="E10" s="271"/>
      <c r="F10" s="271"/>
      <c r="G10" s="271"/>
      <c r="H10" s="271"/>
      <c r="I10" s="271"/>
      <c r="J10" s="271"/>
      <c r="K10" s="511"/>
    </row>
    <row r="11" spans="1:11" ht="13.5" customHeight="1" x14ac:dyDescent="0.2">
      <c r="A11" s="513" t="s">
        <v>85</v>
      </c>
      <c r="B11" s="516"/>
      <c r="C11" s="515"/>
      <c r="D11" s="515" t="s">
        <v>86</v>
      </c>
      <c r="E11" s="515"/>
      <c r="F11" s="271"/>
      <c r="G11" s="516"/>
      <c r="H11" s="271"/>
      <c r="I11" s="271"/>
      <c r="J11" s="271"/>
      <c r="K11" s="511"/>
    </row>
    <row r="12" spans="1:11" x14ac:dyDescent="0.2">
      <c r="A12" s="513" t="s">
        <v>87</v>
      </c>
      <c r="B12" s="516"/>
      <c r="C12" s="515"/>
      <c r="D12" s="515" t="s">
        <v>88</v>
      </c>
      <c r="E12" s="515"/>
      <c r="F12" s="271"/>
      <c r="G12" s="516"/>
      <c r="H12" s="271"/>
      <c r="I12" s="271"/>
      <c r="J12" s="271"/>
      <c r="K12" s="511"/>
    </row>
    <row r="13" spans="1:11" x14ac:dyDescent="0.2">
      <c r="A13" s="674" t="s">
        <v>192</v>
      </c>
      <c r="B13" s="675"/>
      <c r="C13" s="675"/>
      <c r="D13" s="675"/>
      <c r="E13" s="675"/>
      <c r="F13" s="675"/>
      <c r="G13" s="675"/>
      <c r="H13" s="675"/>
      <c r="I13" s="675"/>
      <c r="J13" s="675"/>
      <c r="K13" s="676"/>
    </row>
    <row r="14" spans="1:11" ht="13.5" customHeight="1" x14ac:dyDescent="0.2">
      <c r="A14" s="518" t="s">
        <v>14</v>
      </c>
      <c r="B14" s="677" t="s">
        <v>15</v>
      </c>
      <c r="C14" s="677"/>
      <c r="D14" s="574" t="s">
        <v>16</v>
      </c>
      <c r="E14" s="574" t="s">
        <v>89</v>
      </c>
      <c r="F14" s="677" t="s">
        <v>90</v>
      </c>
      <c r="G14" s="677"/>
      <c r="H14" s="265" t="s">
        <v>34</v>
      </c>
      <c r="I14" s="574" t="s">
        <v>91</v>
      </c>
      <c r="J14" s="574" t="s">
        <v>48</v>
      </c>
      <c r="K14" s="519" t="s">
        <v>92</v>
      </c>
    </row>
    <row r="15" spans="1:11" ht="13.5" customHeight="1" x14ac:dyDescent="0.2">
      <c r="A15" s="520"/>
      <c r="B15" s="670"/>
      <c r="C15" s="671"/>
      <c r="D15" s="266"/>
      <c r="E15" s="266"/>
      <c r="F15" s="672"/>
      <c r="G15" s="673"/>
      <c r="H15" s="267"/>
      <c r="I15" s="268"/>
      <c r="J15" s="268"/>
      <c r="K15" s="521"/>
    </row>
    <row r="16" spans="1:11" ht="13.5" customHeight="1" x14ac:dyDescent="0.2">
      <c r="A16" s="520"/>
      <c r="B16" s="670"/>
      <c r="C16" s="671"/>
      <c r="D16" s="266"/>
      <c r="E16" s="266"/>
      <c r="F16" s="672"/>
      <c r="G16" s="673"/>
      <c r="H16" s="267"/>
      <c r="I16" s="268"/>
      <c r="J16" s="268"/>
      <c r="K16" s="521"/>
    </row>
    <row r="17" spans="1:11" ht="13.5" customHeight="1" x14ac:dyDescent="0.2">
      <c r="A17" s="520"/>
      <c r="B17" s="670"/>
      <c r="C17" s="671"/>
      <c r="D17" s="266"/>
      <c r="E17" s="266"/>
      <c r="F17" s="672"/>
      <c r="G17" s="673"/>
      <c r="H17" s="267"/>
      <c r="I17" s="268"/>
      <c r="J17" s="268"/>
      <c r="K17" s="521"/>
    </row>
    <row r="18" spans="1:11" ht="13.5" customHeight="1" x14ac:dyDescent="0.2">
      <c r="A18" s="520"/>
      <c r="B18" s="670"/>
      <c r="C18" s="671"/>
      <c r="D18" s="266"/>
      <c r="E18" s="266"/>
      <c r="F18" s="672"/>
      <c r="G18" s="673"/>
      <c r="H18" s="267"/>
      <c r="I18" s="268"/>
      <c r="J18" s="268"/>
      <c r="K18" s="521"/>
    </row>
    <row r="19" spans="1:11" ht="13.5" customHeight="1" x14ac:dyDescent="0.2">
      <c r="A19" s="520"/>
      <c r="B19" s="670"/>
      <c r="C19" s="671"/>
      <c r="D19" s="266"/>
      <c r="E19" s="266"/>
      <c r="F19" s="672"/>
      <c r="G19" s="673"/>
      <c r="H19" s="267"/>
      <c r="I19" s="268"/>
      <c r="J19" s="268"/>
      <c r="K19" s="521"/>
    </row>
    <row r="20" spans="1:11" ht="13.5" customHeight="1" x14ac:dyDescent="0.2">
      <c r="A20" s="520"/>
      <c r="B20" s="670"/>
      <c r="C20" s="671"/>
      <c r="D20" s="266"/>
      <c r="E20" s="266"/>
      <c r="F20" s="672"/>
      <c r="G20" s="673"/>
      <c r="H20" s="267"/>
      <c r="I20" s="268"/>
      <c r="J20" s="268"/>
      <c r="K20" s="521"/>
    </row>
    <row r="21" spans="1:11" ht="13.5" customHeight="1" x14ac:dyDescent="0.2">
      <c r="A21" s="522"/>
      <c r="B21" s="670"/>
      <c r="C21" s="671"/>
      <c r="D21" s="266"/>
      <c r="E21" s="266"/>
      <c r="F21" s="672"/>
      <c r="G21" s="673"/>
      <c r="H21" s="267"/>
      <c r="I21" s="268"/>
      <c r="J21" s="268"/>
      <c r="K21" s="521"/>
    </row>
    <row r="22" spans="1:11" ht="13.5" customHeight="1" x14ac:dyDescent="0.2">
      <c r="A22" s="522"/>
      <c r="B22" s="670"/>
      <c r="C22" s="671"/>
      <c r="D22" s="266"/>
      <c r="E22" s="266"/>
      <c r="F22" s="672"/>
      <c r="G22" s="673"/>
      <c r="H22" s="267"/>
      <c r="I22" s="269"/>
      <c r="J22" s="269"/>
      <c r="K22" s="523"/>
    </row>
    <row r="23" spans="1:11" ht="13.5" customHeight="1" x14ac:dyDescent="0.2">
      <c r="A23" s="522"/>
      <c r="B23" s="670"/>
      <c r="C23" s="671"/>
      <c r="D23" s="266"/>
      <c r="E23" s="266"/>
      <c r="F23" s="672"/>
      <c r="G23" s="673"/>
      <c r="H23" s="267"/>
      <c r="I23" s="269"/>
      <c r="J23" s="269"/>
      <c r="K23" s="523"/>
    </row>
    <row r="24" spans="1:11" ht="13.5" customHeight="1" x14ac:dyDescent="0.2">
      <c r="A24" s="522"/>
      <c r="B24" s="670"/>
      <c r="C24" s="671"/>
      <c r="D24" s="266"/>
      <c r="E24" s="266"/>
      <c r="F24" s="672"/>
      <c r="G24" s="673"/>
      <c r="H24" s="267"/>
      <c r="I24" s="269"/>
      <c r="J24" s="269"/>
      <c r="K24" s="523"/>
    </row>
    <row r="25" spans="1:11" ht="17.25" customHeight="1" x14ac:dyDescent="0.2">
      <c r="A25" s="522"/>
      <c r="B25" s="670"/>
      <c r="C25" s="671"/>
      <c r="D25" s="266"/>
      <c r="E25" s="266"/>
      <c r="F25" s="672"/>
      <c r="G25" s="673"/>
      <c r="H25" s="267"/>
      <c r="I25" s="269"/>
      <c r="J25" s="269"/>
      <c r="K25" s="523"/>
    </row>
    <row r="26" spans="1:11" ht="13.5" customHeight="1" x14ac:dyDescent="0.2">
      <c r="A26" s="510"/>
      <c r="B26" s="271"/>
      <c r="C26" s="271" t="s">
        <v>69</v>
      </c>
      <c r="D26" s="524">
        <f>SUM(D16:D25)</f>
        <v>0</v>
      </c>
      <c r="E26" s="271"/>
      <c r="F26" s="271"/>
      <c r="G26" s="271"/>
      <c r="H26" s="271"/>
      <c r="I26" s="271"/>
      <c r="J26" s="271"/>
      <c r="K26" s="511"/>
    </row>
    <row r="27" spans="1:11" ht="13.5" customHeight="1" x14ac:dyDescent="0.2">
      <c r="A27" s="510"/>
      <c r="B27" s="271"/>
      <c r="C27" s="271"/>
      <c r="D27" s="271"/>
      <c r="E27" s="271"/>
      <c r="F27" s="271"/>
      <c r="G27" s="271"/>
      <c r="H27" s="271"/>
      <c r="I27" s="271"/>
      <c r="J27" s="271"/>
      <c r="K27" s="511"/>
    </row>
    <row r="28" spans="1:11" ht="16.5" customHeight="1" x14ac:dyDescent="0.2">
      <c r="A28" s="510"/>
      <c r="B28" s="271"/>
      <c r="C28" s="271"/>
      <c r="D28" s="271"/>
      <c r="E28" s="271"/>
      <c r="F28" s="271"/>
      <c r="G28" s="271"/>
      <c r="H28" s="271"/>
      <c r="I28" s="271"/>
      <c r="J28" s="271"/>
      <c r="K28" s="511"/>
    </row>
    <row r="29" spans="1:11" ht="24" customHeight="1" x14ac:dyDescent="0.2">
      <c r="A29" s="510"/>
      <c r="B29" s="271"/>
      <c r="C29" s="271"/>
      <c r="D29" s="271"/>
      <c r="E29" s="271"/>
      <c r="F29" s="271"/>
      <c r="G29" s="271"/>
      <c r="H29" s="271"/>
      <c r="I29" s="271"/>
      <c r="J29" s="271"/>
      <c r="K29" s="511"/>
    </row>
    <row r="30" spans="1:11" x14ac:dyDescent="0.2">
      <c r="A30" s="525"/>
      <c r="B30" s="270"/>
      <c r="C30" s="270"/>
      <c r="D30" s="271"/>
      <c r="E30" s="271"/>
      <c r="F30" s="270"/>
      <c r="G30" s="270"/>
      <c r="H30" s="270"/>
      <c r="I30" s="271"/>
      <c r="J30" s="271"/>
      <c r="K30" s="511"/>
    </row>
    <row r="31" spans="1:11" ht="12.75" customHeight="1" x14ac:dyDescent="0.2">
      <c r="A31" s="526" t="s">
        <v>93</v>
      </c>
      <c r="B31" s="271"/>
      <c r="C31" s="271"/>
      <c r="D31" s="271"/>
      <c r="E31" s="271"/>
      <c r="F31" s="527" t="s">
        <v>94</v>
      </c>
      <c r="G31" s="271"/>
      <c r="H31" s="271"/>
      <c r="I31" s="271"/>
      <c r="J31" s="271"/>
      <c r="K31" s="511"/>
    </row>
    <row r="32" spans="1:11" ht="24" customHeight="1" x14ac:dyDescent="0.2">
      <c r="A32" s="526"/>
      <c r="B32" s="271"/>
      <c r="C32" s="271"/>
      <c r="D32" s="271"/>
      <c r="E32" s="271"/>
      <c r="F32" s="527"/>
      <c r="G32" s="271"/>
      <c r="H32" s="271"/>
      <c r="I32" s="271"/>
      <c r="J32" s="271"/>
      <c r="K32" s="511"/>
    </row>
    <row r="33" spans="1:12" ht="16.149999999999999" customHeight="1" x14ac:dyDescent="0.2">
      <c r="A33" s="531"/>
      <c r="B33" s="271"/>
      <c r="C33" s="271"/>
      <c r="D33" s="271"/>
      <c r="E33" s="271"/>
      <c r="F33" s="527"/>
      <c r="G33" s="271"/>
      <c r="H33" s="566"/>
      <c r="I33" s="567"/>
      <c r="J33" s="587" t="s">
        <v>200</v>
      </c>
      <c r="K33" s="568"/>
    </row>
    <row r="34" spans="1:12" ht="16.899999999999999" customHeight="1" thickBot="1" x14ac:dyDescent="0.25">
      <c r="A34" s="528"/>
      <c r="B34" s="529"/>
      <c r="C34" s="529"/>
      <c r="D34" s="529"/>
      <c r="E34" s="529"/>
      <c r="F34" s="529"/>
      <c r="G34" s="529"/>
      <c r="H34" s="529"/>
      <c r="I34" s="529"/>
      <c r="J34" s="529"/>
      <c r="K34" s="530"/>
      <c r="L34" s="271"/>
    </row>
    <row r="35" spans="1:12" x14ac:dyDescent="0.2">
      <c r="A35" s="271"/>
      <c r="B35" s="271"/>
      <c r="C35" s="271"/>
      <c r="D35" s="271"/>
      <c r="E35" s="271"/>
      <c r="F35" s="271"/>
      <c r="G35" s="271"/>
      <c r="H35" s="271"/>
      <c r="I35" s="271"/>
      <c r="J35" s="271"/>
      <c r="K35" s="271"/>
    </row>
  </sheetData>
  <mergeCells count="31">
    <mergeCell ref="A1:A3"/>
    <mergeCell ref="B25:C25"/>
    <mergeCell ref="F25:G25"/>
    <mergeCell ref="B22:C22"/>
    <mergeCell ref="F22:G22"/>
    <mergeCell ref="B23:C23"/>
    <mergeCell ref="F23:G23"/>
    <mergeCell ref="B18:C18"/>
    <mergeCell ref="F18:G18"/>
    <mergeCell ref="B19:C19"/>
    <mergeCell ref="F19:G19"/>
    <mergeCell ref="B20:C20"/>
    <mergeCell ref="F20:G20"/>
    <mergeCell ref="B16:C16"/>
    <mergeCell ref="F16:G16"/>
    <mergeCell ref="B17:C17"/>
    <mergeCell ref="A13:K13"/>
    <mergeCell ref="B15:C15"/>
    <mergeCell ref="F15:G15"/>
    <mergeCell ref="B14:C14"/>
    <mergeCell ref="F14:G14"/>
    <mergeCell ref="B24:C24"/>
    <mergeCell ref="F24:G24"/>
    <mergeCell ref="F17:G17"/>
    <mergeCell ref="B21:C21"/>
    <mergeCell ref="F21:G21"/>
    <mergeCell ref="B2:G3"/>
    <mergeCell ref="H3:K3"/>
    <mergeCell ref="H1:K1"/>
    <mergeCell ref="H2:K2"/>
    <mergeCell ref="B1:G1"/>
  </mergeCells>
  <pageMargins left="0.39370078740157483" right="0.39370078740157483" top="0.39370078740157483" bottom="0.39370078740157483" header="0.31496062992125984" footer="0.31496062992125984"/>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8"/>
  <sheetViews>
    <sheetView showGridLines="0" zoomScaleNormal="100" workbookViewId="0">
      <selection activeCell="R7" sqref="R7"/>
    </sheetView>
  </sheetViews>
  <sheetFormatPr baseColWidth="10" defaultRowHeight="12.75" x14ac:dyDescent="0.2"/>
  <cols>
    <col min="1" max="1" width="7.42578125" customWidth="1"/>
    <col min="2" max="2" width="3.42578125" customWidth="1"/>
    <col min="3" max="3" width="31.28515625" bestFit="1" customWidth="1"/>
    <col min="4" max="4" width="3.7109375" customWidth="1"/>
    <col min="5" max="5" width="3.85546875" customWidth="1"/>
    <col min="6" max="6" width="7.42578125" customWidth="1"/>
    <col min="7" max="7" width="4.5703125" customWidth="1"/>
    <col min="8" max="8" width="4.42578125" bestFit="1" customWidth="1"/>
    <col min="9" max="9" width="8" customWidth="1"/>
    <col min="10" max="10" width="9.85546875" customWidth="1"/>
    <col min="11" max="13" width="32.7109375" hidden="1" customWidth="1"/>
    <col min="14" max="14" width="4.42578125" customWidth="1"/>
    <col min="15" max="15" width="11.28515625" customWidth="1"/>
    <col min="16" max="16" width="12.7109375" customWidth="1"/>
  </cols>
  <sheetData>
    <row r="1" spans="1:19" ht="26.45" customHeight="1" x14ac:dyDescent="0.2">
      <c r="A1" s="605"/>
      <c r="B1" s="605"/>
      <c r="C1" s="613"/>
      <c r="D1" s="613"/>
      <c r="E1" s="613"/>
      <c r="F1" s="613"/>
      <c r="G1" s="613"/>
      <c r="H1" s="613"/>
      <c r="I1" s="613"/>
      <c r="J1" s="613"/>
      <c r="K1" s="613"/>
      <c r="L1" s="613"/>
      <c r="M1" s="613"/>
      <c r="N1" s="613"/>
      <c r="O1" s="608"/>
      <c r="P1" s="608"/>
    </row>
    <row r="2" spans="1:19" ht="39" customHeight="1" x14ac:dyDescent="0.2">
      <c r="A2" s="605"/>
      <c r="B2" s="605"/>
      <c r="C2" s="613"/>
      <c r="D2" s="613"/>
      <c r="E2" s="613"/>
      <c r="F2" s="613"/>
      <c r="G2" s="613"/>
      <c r="H2" s="613"/>
      <c r="I2" s="613"/>
      <c r="J2" s="613"/>
      <c r="K2" s="613"/>
      <c r="L2" s="613"/>
      <c r="M2" s="613"/>
      <c r="N2" s="613"/>
      <c r="O2" s="608"/>
      <c r="P2" s="608"/>
    </row>
    <row r="3" spans="1:19" ht="18.600000000000001" customHeight="1" x14ac:dyDescent="0.2">
      <c r="A3" s="605"/>
      <c r="B3" s="605"/>
      <c r="C3" s="613"/>
      <c r="D3" s="613"/>
      <c r="E3" s="613"/>
      <c r="F3" s="613"/>
      <c r="G3" s="613"/>
      <c r="H3" s="613"/>
      <c r="I3" s="613"/>
      <c r="J3" s="613"/>
      <c r="K3" s="613"/>
      <c r="L3" s="613"/>
      <c r="M3" s="613"/>
      <c r="N3" s="613"/>
      <c r="O3" s="609"/>
      <c r="P3" s="609"/>
    </row>
    <row r="4" spans="1:19" x14ac:dyDescent="0.2">
      <c r="A4" s="440"/>
      <c r="B4" s="440"/>
      <c r="P4" s="440"/>
    </row>
    <row r="5" spans="1:19" x14ac:dyDescent="0.2">
      <c r="A5" s="597" t="s">
        <v>95</v>
      </c>
      <c r="B5" s="598"/>
      <c r="C5" s="564"/>
      <c r="D5" s="564"/>
      <c r="E5" s="564"/>
      <c r="F5" s="564"/>
      <c r="G5" s="564"/>
      <c r="H5" s="564"/>
      <c r="I5" s="564"/>
      <c r="J5" s="678" t="s">
        <v>96</v>
      </c>
      <c r="K5" s="679"/>
      <c r="L5" s="679"/>
      <c r="M5" s="679"/>
      <c r="N5" s="679"/>
      <c r="O5" s="679"/>
      <c r="P5" s="680"/>
    </row>
    <row r="6" spans="1:19" ht="12.6" customHeight="1" x14ac:dyDescent="0.2">
      <c r="A6" s="599"/>
      <c r="B6" s="600"/>
      <c r="C6" s="440"/>
      <c r="D6" s="440"/>
      <c r="E6" s="440"/>
      <c r="F6" s="440"/>
      <c r="G6" s="440"/>
      <c r="H6" s="440"/>
      <c r="I6" s="440"/>
      <c r="J6" s="601"/>
      <c r="K6" s="602"/>
      <c r="L6" s="602"/>
      <c r="M6" s="602"/>
      <c r="N6" s="602"/>
      <c r="O6" s="602"/>
      <c r="P6" s="603"/>
    </row>
    <row r="7" spans="1:19" x14ac:dyDescent="0.2">
      <c r="A7" s="582"/>
      <c r="B7" s="456"/>
      <c r="C7" s="456"/>
      <c r="D7" s="456"/>
      <c r="E7" s="456"/>
      <c r="F7" s="456"/>
      <c r="G7" s="456"/>
      <c r="H7" s="456"/>
      <c r="I7" s="456"/>
      <c r="J7" s="456"/>
      <c r="K7" s="456"/>
      <c r="L7" s="456"/>
      <c r="M7" s="456"/>
      <c r="N7" s="456"/>
      <c r="O7" s="456"/>
      <c r="P7" s="583"/>
    </row>
    <row r="8" spans="1:19" ht="12.6" customHeight="1" thickBot="1" x14ac:dyDescent="0.25">
      <c r="A8" s="588" t="s">
        <v>14</v>
      </c>
      <c r="B8" s="589"/>
      <c r="C8" s="590" t="s">
        <v>15</v>
      </c>
      <c r="D8" s="590" t="s">
        <v>97</v>
      </c>
      <c r="E8" s="590" t="s">
        <v>98</v>
      </c>
      <c r="F8" s="591" t="s">
        <v>99</v>
      </c>
      <c r="G8" s="592" t="s">
        <v>89</v>
      </c>
      <c r="H8" s="593" t="s">
        <v>100</v>
      </c>
      <c r="I8" s="594" t="s">
        <v>101</v>
      </c>
      <c r="J8" s="595" t="s">
        <v>102</v>
      </c>
      <c r="K8" s="590" t="s">
        <v>103</v>
      </c>
      <c r="L8" s="590" t="s">
        <v>104</v>
      </c>
      <c r="M8" s="590" t="s">
        <v>105</v>
      </c>
      <c r="N8" s="593" t="s">
        <v>100</v>
      </c>
      <c r="O8" s="594" t="s">
        <v>106</v>
      </c>
      <c r="P8" s="596" t="s">
        <v>102</v>
      </c>
    </row>
    <row r="9" spans="1:19" ht="12.6" customHeight="1" x14ac:dyDescent="0.2">
      <c r="A9" s="547"/>
      <c r="B9" s="548"/>
      <c r="C9" s="236"/>
      <c r="D9" s="237"/>
      <c r="E9" s="280"/>
      <c r="F9" s="413"/>
      <c r="G9" s="90"/>
      <c r="H9" s="414"/>
      <c r="I9" s="427"/>
      <c r="J9" s="428"/>
      <c r="K9" s="417"/>
      <c r="L9" s="505"/>
      <c r="M9" s="418"/>
      <c r="N9" s="414"/>
      <c r="O9" s="419"/>
      <c r="P9" s="416"/>
    </row>
    <row r="10" spans="1:19" ht="12.6" customHeight="1" x14ac:dyDescent="0.2">
      <c r="A10" s="545"/>
      <c r="B10" s="546"/>
      <c r="C10" s="238"/>
      <c r="D10" s="239"/>
      <c r="E10" s="281"/>
      <c r="F10" s="420"/>
      <c r="G10" s="92"/>
      <c r="H10" s="421"/>
      <c r="I10" s="415"/>
      <c r="J10" s="431"/>
      <c r="K10" s="423"/>
      <c r="L10" s="503"/>
      <c r="M10" s="424"/>
      <c r="N10" s="421"/>
      <c r="O10" s="425"/>
      <c r="P10" s="422"/>
    </row>
    <row r="11" spans="1:19" ht="12.6" customHeight="1" x14ac:dyDescent="0.2">
      <c r="A11" s="545"/>
      <c r="B11" s="546"/>
      <c r="C11" s="238"/>
      <c r="D11" s="239"/>
      <c r="E11" s="281"/>
      <c r="F11" s="420"/>
      <c r="G11" s="92"/>
      <c r="H11" s="421"/>
      <c r="I11" s="415"/>
      <c r="J11" s="431"/>
      <c r="K11" s="423"/>
      <c r="L11" s="503"/>
      <c r="M11" s="424"/>
      <c r="N11" s="421"/>
      <c r="O11" s="425"/>
      <c r="P11" s="422"/>
    </row>
    <row r="12" spans="1:19" ht="12.6" customHeight="1" thickBot="1" x14ac:dyDescent="0.25">
      <c r="A12" s="545"/>
      <c r="B12" s="546"/>
      <c r="C12" s="238"/>
      <c r="D12" s="239"/>
      <c r="E12" s="281"/>
      <c r="F12" s="420"/>
      <c r="G12" s="92"/>
      <c r="H12" s="421"/>
      <c r="I12" s="415"/>
      <c r="J12" s="431"/>
      <c r="K12" s="423"/>
      <c r="L12" s="503"/>
      <c r="M12" s="424"/>
      <c r="N12" s="421"/>
      <c r="O12" s="425"/>
      <c r="P12" s="422"/>
    </row>
    <row r="13" spans="1:19" ht="12.6" customHeight="1" thickBot="1" x14ac:dyDescent="0.25">
      <c r="A13" s="553"/>
      <c r="B13" s="554"/>
      <c r="C13" s="244"/>
      <c r="D13" s="245"/>
      <c r="E13" s="282"/>
      <c r="F13" s="432"/>
      <c r="G13" s="94"/>
      <c r="H13" s="433"/>
      <c r="I13" s="434"/>
      <c r="J13" s="435"/>
      <c r="K13" s="436"/>
      <c r="L13" s="504"/>
      <c r="M13" s="437"/>
      <c r="N13" s="433"/>
      <c r="O13" s="438"/>
      <c r="P13" s="439"/>
    </row>
    <row r="14" spans="1:19" ht="12.6" customHeight="1" x14ac:dyDescent="0.2">
      <c r="A14" s="551"/>
      <c r="B14" s="552"/>
      <c r="C14" s="240"/>
      <c r="D14" s="241"/>
      <c r="E14" s="283"/>
      <c r="F14" s="430"/>
      <c r="G14" s="97"/>
      <c r="H14" s="421"/>
      <c r="I14" s="415"/>
      <c r="J14" s="431"/>
      <c r="K14" s="417"/>
      <c r="L14" s="505"/>
      <c r="M14" s="418"/>
      <c r="N14" s="421"/>
      <c r="O14" s="425"/>
      <c r="P14" s="422"/>
    </row>
    <row r="15" spans="1:19" ht="12.6" customHeight="1" x14ac:dyDescent="0.2">
      <c r="A15" s="549"/>
      <c r="B15" s="550"/>
      <c r="C15" s="242"/>
      <c r="D15" s="243"/>
      <c r="E15" s="284"/>
      <c r="F15" s="430"/>
      <c r="G15" s="97"/>
      <c r="H15" s="421"/>
      <c r="I15" s="415"/>
      <c r="J15" s="431"/>
      <c r="K15" s="423"/>
      <c r="L15" s="503"/>
      <c r="M15" s="424"/>
      <c r="N15" s="421"/>
      <c r="O15" s="425"/>
      <c r="P15" s="422"/>
    </row>
    <row r="16" spans="1:19" ht="12.6" customHeight="1" x14ac:dyDescent="0.2">
      <c r="A16" s="549"/>
      <c r="B16" s="550"/>
      <c r="C16" s="242"/>
      <c r="D16" s="243"/>
      <c r="E16" s="284"/>
      <c r="F16" s="430"/>
      <c r="G16" s="97"/>
      <c r="H16" s="421"/>
      <c r="I16" s="415"/>
      <c r="J16" s="431"/>
      <c r="K16" s="423"/>
      <c r="L16" s="503"/>
      <c r="M16" s="424"/>
      <c r="N16" s="421"/>
      <c r="O16" s="425"/>
      <c r="P16" s="422"/>
      <c r="S16" s="440"/>
    </row>
    <row r="17" spans="1:16" ht="12.6" customHeight="1" thickBot="1" x14ac:dyDescent="0.25">
      <c r="A17" s="549"/>
      <c r="B17" s="550"/>
      <c r="C17" s="242"/>
      <c r="D17" s="243"/>
      <c r="E17" s="284"/>
      <c r="F17" s="430"/>
      <c r="G17" s="97"/>
      <c r="H17" s="421"/>
      <c r="I17" s="415"/>
      <c r="J17" s="431"/>
      <c r="K17" s="423"/>
      <c r="L17" s="503"/>
      <c r="M17" s="424"/>
      <c r="N17" s="421"/>
      <c r="O17" s="425"/>
      <c r="P17" s="422"/>
    </row>
    <row r="18" spans="1:16" ht="12.6" customHeight="1" thickBot="1" x14ac:dyDescent="0.25">
      <c r="A18" s="555"/>
      <c r="B18" s="556"/>
      <c r="C18" s="246"/>
      <c r="D18" s="247"/>
      <c r="E18" s="285"/>
      <c r="F18" s="432"/>
      <c r="G18" s="449"/>
      <c r="H18" s="433"/>
      <c r="I18" s="434"/>
      <c r="J18" s="435"/>
      <c r="K18" s="436"/>
      <c r="L18" s="504"/>
      <c r="M18" s="437"/>
      <c r="N18" s="433"/>
      <c r="O18" s="438"/>
      <c r="P18" s="439"/>
    </row>
    <row r="19" spans="1:16" ht="12.6" customHeight="1" x14ac:dyDescent="0.2">
      <c r="A19" s="547"/>
      <c r="B19" s="548"/>
      <c r="C19" s="236"/>
      <c r="D19" s="237"/>
      <c r="E19" s="280"/>
      <c r="F19" s="443"/>
      <c r="G19" s="441"/>
      <c r="H19" s="421"/>
      <c r="I19" s="415"/>
      <c r="J19" s="431"/>
      <c r="K19" s="417"/>
      <c r="L19" s="505"/>
      <c r="M19" s="418"/>
      <c r="N19" s="421"/>
      <c r="O19" s="425"/>
      <c r="P19" s="422"/>
    </row>
    <row r="20" spans="1:16" ht="12.6" customHeight="1" x14ac:dyDescent="0.2">
      <c r="A20" s="545"/>
      <c r="B20" s="546"/>
      <c r="C20" s="238"/>
      <c r="D20" s="239"/>
      <c r="E20" s="281"/>
      <c r="F20" s="443"/>
      <c r="G20" s="441"/>
      <c r="H20" s="421"/>
      <c r="I20" s="415"/>
      <c r="J20" s="431"/>
      <c r="K20" s="423"/>
      <c r="L20" s="503"/>
      <c r="M20" s="424"/>
      <c r="N20" s="421"/>
      <c r="O20" s="425"/>
      <c r="P20" s="422"/>
    </row>
    <row r="21" spans="1:16" ht="12.6" customHeight="1" x14ac:dyDescent="0.2">
      <c r="A21" s="545"/>
      <c r="B21" s="546"/>
      <c r="C21" s="238"/>
      <c r="D21" s="239"/>
      <c r="E21" s="281"/>
      <c r="F21" s="443"/>
      <c r="G21" s="441"/>
      <c r="H21" s="421"/>
      <c r="I21" s="415"/>
      <c r="J21" s="431"/>
      <c r="K21" s="423"/>
      <c r="L21" s="503"/>
      <c r="M21" s="424"/>
      <c r="N21" s="421"/>
      <c r="O21" s="425"/>
      <c r="P21" s="422"/>
    </row>
    <row r="22" spans="1:16" ht="12.6" customHeight="1" thickBot="1" x14ac:dyDescent="0.25">
      <c r="A22" s="545"/>
      <c r="B22" s="546"/>
      <c r="C22" s="238"/>
      <c r="D22" s="239"/>
      <c r="E22" s="281"/>
      <c r="F22" s="443"/>
      <c r="G22" s="441"/>
      <c r="H22" s="421"/>
      <c r="I22" s="415"/>
      <c r="J22" s="431"/>
      <c r="K22" s="423"/>
      <c r="L22" s="503"/>
      <c r="M22" s="424"/>
      <c r="N22" s="421"/>
      <c r="O22" s="425"/>
      <c r="P22" s="422"/>
    </row>
    <row r="23" spans="1:16" ht="12.6" customHeight="1" thickBot="1" x14ac:dyDescent="0.25">
      <c r="A23" s="553"/>
      <c r="B23" s="554"/>
      <c r="C23" s="244"/>
      <c r="D23" s="245"/>
      <c r="E23" s="282"/>
      <c r="F23" s="432"/>
      <c r="G23" s="442"/>
      <c r="H23" s="433"/>
      <c r="I23" s="434"/>
      <c r="J23" s="435"/>
      <c r="K23" s="436"/>
      <c r="L23" s="504"/>
      <c r="M23" s="437"/>
      <c r="N23" s="433"/>
      <c r="O23" s="438"/>
      <c r="P23" s="439"/>
    </row>
    <row r="24" spans="1:16" ht="12.6" customHeight="1" x14ac:dyDescent="0.2">
      <c r="A24" s="551"/>
      <c r="B24" s="552"/>
      <c r="C24" s="240"/>
      <c r="D24" s="241"/>
      <c r="E24" s="283"/>
      <c r="F24" s="443"/>
      <c r="G24" s="444"/>
      <c r="H24" s="421"/>
      <c r="I24" s="415"/>
      <c r="J24" s="431"/>
      <c r="K24" s="417"/>
      <c r="L24" s="505"/>
      <c r="M24" s="418"/>
      <c r="N24" s="421"/>
      <c r="O24" s="425"/>
      <c r="P24" s="422"/>
    </row>
    <row r="25" spans="1:16" ht="12.6" customHeight="1" x14ac:dyDescent="0.2">
      <c r="A25" s="549"/>
      <c r="B25" s="550"/>
      <c r="C25" s="242"/>
      <c r="D25" s="243"/>
      <c r="E25" s="284"/>
      <c r="F25" s="443"/>
      <c r="G25" s="444"/>
      <c r="H25" s="421"/>
      <c r="I25" s="415"/>
      <c r="J25" s="431"/>
      <c r="K25" s="423"/>
      <c r="L25" s="503"/>
      <c r="M25" s="424"/>
      <c r="N25" s="421"/>
      <c r="O25" s="425"/>
      <c r="P25" s="422"/>
    </row>
    <row r="26" spans="1:16" ht="12.6" customHeight="1" x14ac:dyDescent="0.2">
      <c r="A26" s="549"/>
      <c r="B26" s="550"/>
      <c r="C26" s="242"/>
      <c r="D26" s="243"/>
      <c r="E26" s="284"/>
      <c r="F26" s="443"/>
      <c r="G26" s="444"/>
      <c r="H26" s="421"/>
      <c r="I26" s="415"/>
      <c r="J26" s="431"/>
      <c r="K26" s="423"/>
      <c r="L26" s="503"/>
      <c r="M26" s="424"/>
      <c r="N26" s="421"/>
      <c r="O26" s="425"/>
      <c r="P26" s="422"/>
    </row>
    <row r="27" spans="1:16" ht="12.6" customHeight="1" thickBot="1" x14ac:dyDescent="0.25">
      <c r="A27" s="549"/>
      <c r="B27" s="550"/>
      <c r="C27" s="242"/>
      <c r="D27" s="243"/>
      <c r="E27" s="284"/>
      <c r="F27" s="440"/>
      <c r="G27" s="444"/>
      <c r="H27" s="421"/>
      <c r="I27" s="415"/>
      <c r="J27" s="431"/>
      <c r="K27" s="423"/>
      <c r="L27" s="503"/>
      <c r="M27" s="424"/>
      <c r="N27" s="421"/>
      <c r="O27" s="425"/>
      <c r="P27" s="422"/>
    </row>
    <row r="28" spans="1:16" ht="12.6" customHeight="1" thickBot="1" x14ac:dyDescent="0.25">
      <c r="A28" s="555"/>
      <c r="B28" s="556"/>
      <c r="C28" s="246"/>
      <c r="D28" s="247"/>
      <c r="E28" s="285"/>
      <c r="F28" s="446"/>
      <c r="G28" s="449"/>
      <c r="H28" s="433"/>
      <c r="I28" s="434"/>
      <c r="J28" s="435"/>
      <c r="K28" s="436"/>
      <c r="L28" s="504"/>
      <c r="M28" s="437"/>
      <c r="N28" s="433"/>
      <c r="O28" s="438"/>
      <c r="P28" s="439"/>
    </row>
    <row r="29" spans="1:16" ht="12.6" customHeight="1" x14ac:dyDescent="0.2">
      <c r="A29" s="547"/>
      <c r="B29" s="548"/>
      <c r="C29" s="236"/>
      <c r="D29" s="237"/>
      <c r="E29" s="280"/>
      <c r="F29" s="440"/>
      <c r="G29" s="441"/>
      <c r="H29" s="421"/>
      <c r="I29" s="415"/>
      <c r="J29" s="431"/>
      <c r="K29" s="417"/>
      <c r="L29" s="505"/>
      <c r="M29" s="418"/>
      <c r="N29" s="421"/>
      <c r="O29" s="425"/>
      <c r="P29" s="422"/>
    </row>
    <row r="30" spans="1:16" ht="12.6" customHeight="1" x14ac:dyDescent="0.2">
      <c r="A30" s="545"/>
      <c r="B30" s="546"/>
      <c r="C30" s="238"/>
      <c r="D30" s="239"/>
      <c r="E30" s="281"/>
      <c r="F30" s="440"/>
      <c r="G30" s="441"/>
      <c r="H30" s="421"/>
      <c r="I30" s="415"/>
      <c r="J30" s="431"/>
      <c r="K30" s="423"/>
      <c r="L30" s="503"/>
      <c r="M30" s="424"/>
      <c r="N30" s="421"/>
      <c r="O30" s="425"/>
      <c r="P30" s="422"/>
    </row>
    <row r="31" spans="1:16" ht="12.6" customHeight="1" x14ac:dyDescent="0.2">
      <c r="A31" s="545"/>
      <c r="B31" s="546"/>
      <c r="C31" s="238"/>
      <c r="D31" s="239"/>
      <c r="E31" s="281"/>
      <c r="F31" s="447"/>
      <c r="G31" s="441"/>
      <c r="H31" s="421"/>
      <c r="I31" s="146"/>
      <c r="J31" s="431"/>
      <c r="K31" s="423"/>
      <c r="L31" s="503"/>
      <c r="M31" s="424"/>
      <c r="N31" s="421"/>
      <c r="O31" s="448"/>
      <c r="P31" s="422"/>
    </row>
    <row r="32" spans="1:16" ht="12.6" customHeight="1" thickBot="1" x14ac:dyDescent="0.25">
      <c r="A32" s="545"/>
      <c r="B32" s="546"/>
      <c r="C32" s="238"/>
      <c r="D32" s="239"/>
      <c r="E32" s="281"/>
      <c r="F32" s="447"/>
      <c r="G32" s="441"/>
      <c r="H32" s="421"/>
      <c r="I32" s="146"/>
      <c r="J32" s="431"/>
      <c r="K32" s="423"/>
      <c r="L32" s="503"/>
      <c r="M32" s="424"/>
      <c r="N32" s="421"/>
      <c r="O32" s="448"/>
      <c r="P32" s="422"/>
    </row>
    <row r="33" spans="1:16" ht="12.6" customHeight="1" thickBot="1" x14ac:dyDescent="0.25">
      <c r="A33" s="553"/>
      <c r="B33" s="554"/>
      <c r="C33" s="244"/>
      <c r="D33" s="245"/>
      <c r="E33" s="282"/>
      <c r="F33" s="446"/>
      <c r="G33" s="442"/>
      <c r="H33" s="433"/>
      <c r="I33" s="434"/>
      <c r="J33" s="435"/>
      <c r="K33" s="436"/>
      <c r="L33" s="504"/>
      <c r="M33" s="437"/>
      <c r="N33" s="433"/>
      <c r="O33" s="438"/>
      <c r="P33" s="439"/>
    </row>
    <row r="34" spans="1:16" ht="12.6" customHeight="1" x14ac:dyDescent="0.2">
      <c r="A34" s="551"/>
      <c r="B34" s="552"/>
      <c r="C34" s="240"/>
      <c r="D34" s="241"/>
      <c r="E34" s="283"/>
      <c r="F34" s="447"/>
      <c r="G34" s="444"/>
      <c r="H34" s="421"/>
      <c r="I34" s="146"/>
      <c r="J34" s="431"/>
      <c r="K34" s="417"/>
      <c r="L34" s="505"/>
      <c r="M34" s="418"/>
      <c r="N34" s="421"/>
      <c r="O34" s="448"/>
      <c r="P34" s="422"/>
    </row>
    <row r="35" spans="1:16" ht="12.6" customHeight="1" x14ac:dyDescent="0.2">
      <c r="A35" s="549"/>
      <c r="B35" s="550"/>
      <c r="C35" s="242"/>
      <c r="D35" s="243"/>
      <c r="E35" s="284"/>
      <c r="F35" s="447"/>
      <c r="G35" s="444"/>
      <c r="H35" s="421"/>
      <c r="I35" s="146"/>
      <c r="J35" s="431"/>
      <c r="K35" s="423"/>
      <c r="L35" s="503"/>
      <c r="M35" s="424"/>
      <c r="N35" s="421"/>
      <c r="O35" s="448"/>
      <c r="P35" s="422"/>
    </row>
    <row r="36" spans="1:16" ht="12.6" customHeight="1" x14ac:dyDescent="0.2">
      <c r="A36" s="549"/>
      <c r="B36" s="550"/>
      <c r="C36" s="242"/>
      <c r="D36" s="243"/>
      <c r="E36" s="284"/>
      <c r="F36" s="447"/>
      <c r="G36" s="444"/>
      <c r="H36" s="421"/>
      <c r="I36" s="146"/>
      <c r="J36" s="431"/>
      <c r="K36" s="423"/>
      <c r="L36" s="503"/>
      <c r="M36" s="424"/>
      <c r="N36" s="421"/>
      <c r="O36" s="448"/>
      <c r="P36" s="422"/>
    </row>
    <row r="37" spans="1:16" ht="12.6" customHeight="1" thickBot="1" x14ac:dyDescent="0.25">
      <c r="A37" s="549"/>
      <c r="B37" s="550"/>
      <c r="C37" s="242"/>
      <c r="D37" s="243"/>
      <c r="E37" s="284"/>
      <c r="F37" s="447"/>
      <c r="G37" s="444"/>
      <c r="H37" s="421"/>
      <c r="I37" s="146"/>
      <c r="J37" s="431"/>
      <c r="K37" s="423"/>
      <c r="L37" s="503"/>
      <c r="M37" s="424"/>
      <c r="N37" s="421"/>
      <c r="O37" s="448"/>
      <c r="P37" s="422"/>
    </row>
    <row r="38" spans="1:16" ht="12.6" customHeight="1" thickBot="1" x14ac:dyDescent="0.25">
      <c r="A38" s="555"/>
      <c r="B38" s="556"/>
      <c r="C38" s="246"/>
      <c r="D38" s="247"/>
      <c r="E38" s="285"/>
      <c r="F38" s="432"/>
      <c r="G38" s="449"/>
      <c r="H38" s="433"/>
      <c r="I38" s="434"/>
      <c r="J38" s="450"/>
      <c r="K38" s="436"/>
      <c r="L38" s="504"/>
      <c r="M38" s="437"/>
      <c r="N38" s="433"/>
      <c r="O38" s="451"/>
      <c r="P38" s="452"/>
    </row>
    <row r="39" spans="1:16" ht="12.6" customHeight="1" x14ac:dyDescent="0.2">
      <c r="A39" s="547"/>
      <c r="B39" s="548"/>
      <c r="C39" s="236"/>
      <c r="D39" s="237"/>
      <c r="E39" s="280"/>
      <c r="F39" s="447"/>
      <c r="G39" s="441"/>
      <c r="H39" s="421"/>
      <c r="I39" s="146"/>
      <c r="J39" s="431"/>
      <c r="K39" s="417"/>
      <c r="L39" s="505"/>
      <c r="M39" s="418"/>
      <c r="N39" s="421"/>
      <c r="O39" s="448"/>
      <c r="P39" s="422"/>
    </row>
    <row r="40" spans="1:16" ht="12.6" customHeight="1" x14ac:dyDescent="0.2">
      <c r="A40" s="545"/>
      <c r="B40" s="546"/>
      <c r="C40" s="238"/>
      <c r="D40" s="239"/>
      <c r="E40" s="281"/>
      <c r="F40" s="447"/>
      <c r="G40" s="441"/>
      <c r="H40" s="421"/>
      <c r="I40" s="146"/>
      <c r="J40" s="431"/>
      <c r="K40" s="423"/>
      <c r="L40" s="503"/>
      <c r="M40" s="424"/>
      <c r="N40" s="421"/>
      <c r="O40" s="448"/>
      <c r="P40" s="422"/>
    </row>
    <row r="41" spans="1:16" ht="12.6" customHeight="1" x14ac:dyDescent="0.2">
      <c r="A41" s="545"/>
      <c r="B41" s="546"/>
      <c r="C41" s="238"/>
      <c r="D41" s="239"/>
      <c r="E41" s="281"/>
      <c r="F41" s="447"/>
      <c r="G41" s="441"/>
      <c r="H41" s="421"/>
      <c r="I41" s="146"/>
      <c r="J41" s="431"/>
      <c r="K41" s="423"/>
      <c r="L41" s="503"/>
      <c r="M41" s="424"/>
      <c r="N41" s="421"/>
      <c r="O41" s="448"/>
      <c r="P41" s="422"/>
    </row>
    <row r="42" spans="1:16" ht="12.6" customHeight="1" thickBot="1" x14ac:dyDescent="0.25">
      <c r="A42" s="545"/>
      <c r="B42" s="546"/>
      <c r="C42" s="238"/>
      <c r="D42" s="239"/>
      <c r="E42" s="281"/>
      <c r="F42" s="447"/>
      <c r="G42" s="441"/>
      <c r="H42" s="421"/>
      <c r="I42" s="146"/>
      <c r="J42" s="431"/>
      <c r="K42" s="423"/>
      <c r="L42" s="503"/>
      <c r="M42" s="424"/>
      <c r="N42" s="421"/>
      <c r="O42" s="448"/>
      <c r="P42" s="422"/>
    </row>
    <row r="43" spans="1:16" ht="12.6" customHeight="1" thickBot="1" x14ac:dyDescent="0.25">
      <c r="A43" s="553"/>
      <c r="B43" s="554"/>
      <c r="C43" s="244"/>
      <c r="D43" s="245"/>
      <c r="E43" s="282"/>
      <c r="F43" s="432"/>
      <c r="G43" s="453"/>
      <c r="H43" s="433"/>
      <c r="I43" s="434"/>
      <c r="J43" s="435"/>
      <c r="K43" s="436"/>
      <c r="L43" s="504"/>
      <c r="M43" s="437"/>
      <c r="N43" s="433"/>
      <c r="O43" s="438"/>
      <c r="P43" s="439"/>
    </row>
    <row r="44" spans="1:16" ht="12.6" customHeight="1" x14ac:dyDescent="0.2">
      <c r="A44" s="551"/>
      <c r="B44" s="552"/>
      <c r="C44" s="240"/>
      <c r="D44" s="241"/>
      <c r="E44" s="283"/>
      <c r="F44" s="454"/>
      <c r="G44" s="444"/>
      <c r="H44" s="421"/>
      <c r="I44" s="415"/>
      <c r="J44" s="431"/>
      <c r="K44" s="417"/>
      <c r="L44" s="505"/>
      <c r="M44" s="418"/>
      <c r="N44" s="421"/>
      <c r="O44" s="425"/>
      <c r="P44" s="422"/>
    </row>
    <row r="45" spans="1:16" ht="12.6" customHeight="1" x14ac:dyDescent="0.2">
      <c r="A45" s="549"/>
      <c r="B45" s="550"/>
      <c r="C45" s="242"/>
      <c r="D45" s="243"/>
      <c r="E45" s="284"/>
      <c r="F45" s="454"/>
      <c r="G45" s="444"/>
      <c r="H45" s="421"/>
      <c r="I45" s="415"/>
      <c r="J45" s="431"/>
      <c r="K45" s="423"/>
      <c r="L45" s="503"/>
      <c r="M45" s="424"/>
      <c r="N45" s="421"/>
      <c r="O45" s="425"/>
      <c r="P45" s="422"/>
    </row>
    <row r="46" spans="1:16" ht="12.6" customHeight="1" x14ac:dyDescent="0.2">
      <c r="A46" s="549"/>
      <c r="B46" s="550"/>
      <c r="C46" s="242"/>
      <c r="D46" s="243"/>
      <c r="E46" s="284"/>
      <c r="F46" s="454"/>
      <c r="G46" s="444"/>
      <c r="H46" s="421"/>
      <c r="I46" s="415"/>
      <c r="J46" s="431"/>
      <c r="K46" s="423"/>
      <c r="L46" s="503"/>
      <c r="M46" s="424"/>
      <c r="N46" s="421"/>
      <c r="O46" s="425"/>
      <c r="P46" s="422"/>
    </row>
    <row r="47" spans="1:16" ht="12.75" customHeight="1" thickBot="1" x14ac:dyDescent="0.25">
      <c r="A47" s="549"/>
      <c r="B47" s="550"/>
      <c r="C47" s="242"/>
      <c r="D47" s="243"/>
      <c r="E47" s="284"/>
      <c r="F47" s="454"/>
      <c r="G47" s="444"/>
      <c r="H47" s="421"/>
      <c r="I47" s="415"/>
      <c r="J47" s="431"/>
      <c r="K47" s="423"/>
      <c r="L47" s="503"/>
      <c r="M47" s="424"/>
      <c r="N47" s="421"/>
      <c r="O47" s="425"/>
      <c r="P47" s="422"/>
    </row>
    <row r="48" spans="1:16" ht="13.5" thickBot="1" x14ac:dyDescent="0.25">
      <c r="A48" s="555"/>
      <c r="B48" s="556"/>
      <c r="C48" s="246"/>
      <c r="D48" s="247"/>
      <c r="E48" s="285"/>
      <c r="F48" s="432"/>
      <c r="G48" s="445"/>
      <c r="H48" s="433"/>
      <c r="I48" s="434"/>
      <c r="J48" s="435"/>
      <c r="K48" s="436"/>
      <c r="L48" s="504"/>
      <c r="M48" s="437"/>
      <c r="N48" s="433"/>
      <c r="O48" s="438"/>
      <c r="P48" s="439"/>
    </row>
    <row r="49" spans="1:16" x14ac:dyDescent="0.2">
      <c r="A49" s="547"/>
      <c r="B49" s="548"/>
      <c r="C49" s="236"/>
      <c r="D49" s="237"/>
      <c r="E49" s="280"/>
      <c r="F49" s="426"/>
      <c r="G49" s="496"/>
      <c r="H49" s="414"/>
      <c r="I49" s="427"/>
      <c r="J49" s="428"/>
      <c r="K49" s="417"/>
      <c r="L49" s="505"/>
      <c r="M49" s="418"/>
      <c r="N49" s="414"/>
      <c r="O49" s="429"/>
      <c r="P49" s="416"/>
    </row>
    <row r="50" spans="1:16" x14ac:dyDescent="0.2">
      <c r="A50" s="545"/>
      <c r="B50" s="546"/>
      <c r="C50" s="238"/>
      <c r="D50" s="239"/>
      <c r="E50" s="281"/>
      <c r="F50" s="454"/>
      <c r="G50" s="497"/>
      <c r="H50" s="421"/>
      <c r="I50" s="415"/>
      <c r="J50" s="431"/>
      <c r="K50" s="423"/>
      <c r="L50" s="503"/>
      <c r="M50" s="424"/>
      <c r="N50" s="421"/>
      <c r="O50" s="425"/>
      <c r="P50" s="422"/>
    </row>
    <row r="51" spans="1:16" x14ac:dyDescent="0.2">
      <c r="A51" s="545"/>
      <c r="B51" s="546"/>
      <c r="C51" s="238"/>
      <c r="D51" s="239"/>
      <c r="E51" s="281"/>
      <c r="F51" s="454"/>
      <c r="G51" s="497"/>
      <c r="H51" s="421"/>
      <c r="I51" s="415"/>
      <c r="J51" s="431"/>
      <c r="K51" s="423"/>
      <c r="L51" s="503"/>
      <c r="M51" s="424"/>
      <c r="N51" s="421"/>
      <c r="O51" s="425"/>
      <c r="P51" s="422"/>
    </row>
    <row r="52" spans="1:16" ht="13.5" thickBot="1" x14ac:dyDescent="0.25">
      <c r="A52" s="545"/>
      <c r="B52" s="546"/>
      <c r="C52" s="238"/>
      <c r="D52" s="239"/>
      <c r="E52" s="281"/>
      <c r="F52" s="454"/>
      <c r="G52" s="497"/>
      <c r="H52" s="421"/>
      <c r="I52" s="415"/>
      <c r="J52" s="431"/>
      <c r="K52" s="423"/>
      <c r="L52" s="503"/>
      <c r="M52" s="424"/>
      <c r="N52" s="421"/>
      <c r="O52" s="425"/>
      <c r="P52" s="422"/>
    </row>
    <row r="53" spans="1:16" ht="13.5" thickBot="1" x14ac:dyDescent="0.25">
      <c r="A53" s="553"/>
      <c r="B53" s="554"/>
      <c r="C53" s="244"/>
      <c r="D53" s="245"/>
      <c r="E53" s="282"/>
      <c r="F53" s="432"/>
      <c r="G53" s="453"/>
      <c r="H53" s="433"/>
      <c r="I53" s="434"/>
      <c r="J53" s="435"/>
      <c r="K53" s="436"/>
      <c r="L53" s="504"/>
      <c r="M53" s="424"/>
      <c r="N53" s="433"/>
      <c r="O53" s="438"/>
      <c r="P53" s="439"/>
    </row>
    <row r="54" spans="1:16" x14ac:dyDescent="0.2">
      <c r="A54" s="551"/>
      <c r="B54" s="552"/>
      <c r="C54" s="242"/>
      <c r="D54" s="243"/>
      <c r="E54" s="284"/>
      <c r="F54" s="454"/>
      <c r="G54" s="497"/>
      <c r="H54" s="421"/>
      <c r="I54" s="415"/>
      <c r="J54" s="431"/>
      <c r="K54" s="417"/>
      <c r="L54" s="505"/>
      <c r="M54" s="418"/>
      <c r="N54" s="421"/>
      <c r="O54" s="425"/>
      <c r="P54" s="422"/>
    </row>
    <row r="55" spans="1:16" x14ac:dyDescent="0.2">
      <c r="A55" s="549"/>
      <c r="B55" s="550"/>
      <c r="C55" s="242"/>
      <c r="D55" s="243"/>
      <c r="E55" s="284"/>
      <c r="F55" s="454"/>
      <c r="G55" s="497"/>
      <c r="H55" s="421"/>
      <c r="I55" s="415"/>
      <c r="J55" s="431"/>
      <c r="K55" s="423"/>
      <c r="L55" s="503"/>
      <c r="M55" s="424"/>
      <c r="N55" s="421"/>
      <c r="O55" s="425"/>
      <c r="P55" s="422"/>
    </row>
    <row r="56" spans="1:16" x14ac:dyDescent="0.2">
      <c r="A56" s="549"/>
      <c r="B56" s="550"/>
      <c r="C56" s="242"/>
      <c r="D56" s="243"/>
      <c r="E56" s="284"/>
      <c r="F56" s="454"/>
      <c r="G56" s="497"/>
      <c r="H56" s="421"/>
      <c r="I56" s="415"/>
      <c r="J56" s="431"/>
      <c r="K56" s="423"/>
      <c r="L56" s="503"/>
      <c r="M56" s="424"/>
      <c r="N56" s="421"/>
      <c r="O56" s="425"/>
      <c r="P56" s="422"/>
    </row>
    <row r="57" spans="1:16" ht="12.75" customHeight="1" thickBot="1" x14ac:dyDescent="0.25">
      <c r="A57" s="549"/>
      <c r="B57" s="550"/>
      <c r="C57" s="242"/>
      <c r="D57" s="243"/>
      <c r="E57" s="284"/>
      <c r="F57" s="454"/>
      <c r="G57" s="497"/>
      <c r="H57" s="421"/>
      <c r="I57" s="415"/>
      <c r="J57" s="431"/>
      <c r="K57" s="423"/>
      <c r="L57" s="503"/>
      <c r="M57" s="424"/>
      <c r="N57" s="421"/>
      <c r="O57" s="425"/>
      <c r="P57" s="422"/>
    </row>
    <row r="58" spans="1:16" ht="13.5" thickBot="1" x14ac:dyDescent="0.25">
      <c r="A58" s="555"/>
      <c r="B58" s="556"/>
      <c r="C58" s="246"/>
      <c r="D58" s="247"/>
      <c r="E58" s="285"/>
      <c r="F58" s="432"/>
      <c r="G58" s="453"/>
      <c r="H58" s="433"/>
      <c r="I58" s="434"/>
      <c r="J58" s="435"/>
      <c r="K58" s="436"/>
      <c r="L58" s="504"/>
      <c r="M58" s="437"/>
      <c r="N58" s="433"/>
      <c r="O58" s="438"/>
      <c r="P58" s="439"/>
    </row>
    <row r="59" spans="1:16" x14ac:dyDescent="0.2">
      <c r="A59" s="557"/>
      <c r="B59" s="558"/>
      <c r="C59" s="498"/>
      <c r="D59" s="293"/>
      <c r="E59" s="499"/>
      <c r="F59" s="440"/>
      <c r="G59" s="444"/>
      <c r="H59" s="421"/>
      <c r="I59" s="415"/>
      <c r="J59" s="431"/>
      <c r="K59" s="506"/>
      <c r="L59" s="505"/>
      <c r="M59" s="418"/>
      <c r="N59" s="421"/>
      <c r="O59" s="425"/>
      <c r="P59" s="422"/>
    </row>
    <row r="60" spans="1:16" x14ac:dyDescent="0.2">
      <c r="A60" s="559"/>
      <c r="B60" s="560"/>
      <c r="C60" s="498"/>
      <c r="D60" s="293"/>
      <c r="E60" s="499"/>
      <c r="F60" s="440"/>
      <c r="G60" s="444"/>
      <c r="H60" s="421"/>
      <c r="I60" s="415"/>
      <c r="J60" s="431"/>
      <c r="K60" s="532"/>
      <c r="L60" s="503"/>
      <c r="M60" s="424"/>
      <c r="N60" s="421"/>
      <c r="O60" s="425"/>
      <c r="P60" s="422"/>
    </row>
    <row r="61" spans="1:16" x14ac:dyDescent="0.2">
      <c r="A61" s="559"/>
      <c r="B61" s="560"/>
      <c r="C61" s="498"/>
      <c r="D61" s="293"/>
      <c r="E61" s="499"/>
      <c r="F61" s="440"/>
      <c r="G61" s="444"/>
      <c r="H61" s="421"/>
      <c r="I61" s="415"/>
      <c r="J61" s="431"/>
      <c r="K61" s="532"/>
      <c r="L61" s="503"/>
      <c r="M61" s="424"/>
      <c r="N61" s="421"/>
      <c r="O61" s="425"/>
      <c r="P61" s="422"/>
    </row>
    <row r="62" spans="1:16" x14ac:dyDescent="0.2">
      <c r="A62" s="559"/>
      <c r="B62" s="560"/>
      <c r="C62" s="498"/>
      <c r="D62" s="293"/>
      <c r="E62" s="499"/>
      <c r="F62" s="440"/>
      <c r="G62" s="444"/>
      <c r="H62" s="421"/>
      <c r="I62" s="415"/>
      <c r="J62" s="431"/>
      <c r="K62" s="532"/>
      <c r="L62" s="503"/>
      <c r="M62" s="424"/>
      <c r="N62" s="421"/>
      <c r="O62" s="425"/>
      <c r="P62" s="422"/>
    </row>
    <row r="63" spans="1:16" ht="9" customHeight="1" thickBot="1" x14ac:dyDescent="0.25">
      <c r="A63" s="561"/>
      <c r="B63" s="562"/>
      <c r="C63" s="500"/>
      <c r="D63" s="294"/>
      <c r="E63" s="501"/>
      <c r="F63" s="502"/>
      <c r="G63" s="449"/>
      <c r="H63" s="433"/>
      <c r="I63" s="434"/>
      <c r="J63" s="435"/>
      <c r="K63" s="507"/>
      <c r="L63" s="504"/>
      <c r="M63" s="437"/>
      <c r="N63" s="433"/>
      <c r="O63" s="438"/>
      <c r="P63" s="439"/>
    </row>
    <row r="64" spans="1:16" ht="13.5" thickBot="1" x14ac:dyDescent="0.25">
      <c r="A64" s="440"/>
      <c r="B64" s="440"/>
      <c r="C64" s="440"/>
      <c r="D64" s="440"/>
      <c r="E64" s="440"/>
    </row>
    <row r="65" spans="3:16" ht="13.5" thickBot="1" x14ac:dyDescent="0.25">
      <c r="C65" s="533" t="s">
        <v>107</v>
      </c>
      <c r="D65" s="534">
        <v>0</v>
      </c>
    </row>
    <row r="66" spans="3:16" x14ac:dyDescent="0.2">
      <c r="C66" s="440"/>
      <c r="D66" s="440"/>
      <c r="E66" s="440"/>
      <c r="F66" s="440"/>
      <c r="G66" s="440"/>
      <c r="H66" s="440"/>
      <c r="I66" s="440"/>
      <c r="J66" s="440"/>
      <c r="K66" s="440"/>
      <c r="L66" s="440"/>
      <c r="M66" s="440"/>
      <c r="N66" s="440"/>
      <c r="O66" s="440"/>
      <c r="P66" s="440"/>
    </row>
    <row r="67" spans="3:16" ht="15.75" x14ac:dyDescent="0.2">
      <c r="C67" s="440"/>
      <c r="D67" s="440"/>
      <c r="E67" s="565"/>
      <c r="F67" s="440"/>
      <c r="G67" s="440"/>
      <c r="H67" s="440"/>
      <c r="I67" s="440"/>
      <c r="J67" s="440"/>
      <c r="K67" s="440"/>
      <c r="L67" s="440"/>
      <c r="M67" s="440"/>
      <c r="N67" s="440"/>
      <c r="O67" s="440"/>
    </row>
    <row r="68" spans="3:16" x14ac:dyDescent="0.2">
      <c r="P68" s="604" t="s">
        <v>200</v>
      </c>
    </row>
  </sheetData>
  <mergeCells count="7">
    <mergeCell ref="C1:N1"/>
    <mergeCell ref="J5:P5"/>
    <mergeCell ref="O1:P1"/>
    <mergeCell ref="O2:P2"/>
    <mergeCell ref="A1:B3"/>
    <mergeCell ref="C2:N3"/>
    <mergeCell ref="O3:P3"/>
  </mergeCells>
  <conditionalFormatting sqref="L9:L63">
    <cfRule type="cellIs" dxfId="2" priority="103" operator="equal">
      <formula>"SE ABRE SOLO UN GRUPO"</formula>
    </cfRule>
    <cfRule type="cellIs" dxfId="1" priority="104" operator="equal">
      <formula>"SE ABRE SOLO UN GRUPO"</formula>
    </cfRule>
    <cfRule type="cellIs" dxfId="0" priority="105" operator="equal">
      <formula>"SE BRE SOLO UN GRUPO"</formula>
    </cfRule>
  </conditionalFormatting>
  <pageMargins left="0.39370078740157483" right="0.19685039370078741" top="0.19685039370078741" bottom="0.19685039370078741" header="0.31496062992125984" footer="0.31496062992125984"/>
  <pageSetup scale="91"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7"/>
  <sheetViews>
    <sheetView showGridLines="0" workbookViewId="0">
      <selection activeCell="M13" sqref="M13"/>
    </sheetView>
  </sheetViews>
  <sheetFormatPr baseColWidth="10" defaultRowHeight="12.75" x14ac:dyDescent="0.2"/>
  <cols>
    <col min="13" max="13" width="12.28515625" customWidth="1"/>
  </cols>
  <sheetData>
    <row r="1" spans="1:16" ht="27.6" customHeight="1" x14ac:dyDescent="0.2">
      <c r="A1" s="605"/>
      <c r="B1" s="605"/>
      <c r="C1" s="613"/>
      <c r="D1" s="613"/>
      <c r="E1" s="613"/>
      <c r="F1" s="613"/>
      <c r="G1" s="613"/>
      <c r="H1" s="613"/>
      <c r="I1" s="613"/>
      <c r="J1" s="613"/>
      <c r="K1" s="613"/>
      <c r="L1" s="608"/>
      <c r="M1" s="608"/>
      <c r="N1" s="536"/>
      <c r="O1" s="684"/>
      <c r="P1" s="684"/>
    </row>
    <row r="2" spans="1:16" ht="27.6" customHeight="1" x14ac:dyDescent="0.2">
      <c r="A2" s="605"/>
      <c r="B2" s="605"/>
      <c r="C2" s="613"/>
      <c r="D2" s="613"/>
      <c r="E2" s="613"/>
      <c r="F2" s="613"/>
      <c r="G2" s="613"/>
      <c r="H2" s="613"/>
      <c r="I2" s="613"/>
      <c r="J2" s="613"/>
      <c r="K2" s="613"/>
      <c r="L2" s="608"/>
      <c r="M2" s="608"/>
      <c r="N2" s="537"/>
      <c r="O2" s="684"/>
      <c r="P2" s="684"/>
    </row>
    <row r="3" spans="1:16" ht="42" customHeight="1" x14ac:dyDescent="0.2">
      <c r="A3" s="605"/>
      <c r="B3" s="605"/>
      <c r="C3" s="613"/>
      <c r="D3" s="613"/>
      <c r="E3" s="613"/>
      <c r="F3" s="613"/>
      <c r="G3" s="613"/>
      <c r="H3" s="613"/>
      <c r="I3" s="613"/>
      <c r="J3" s="613"/>
      <c r="K3" s="613"/>
      <c r="L3" s="609"/>
      <c r="M3" s="609"/>
    </row>
    <row r="4" spans="1:16" x14ac:dyDescent="0.2">
      <c r="A4" s="580"/>
      <c r="B4" s="564"/>
      <c r="C4" s="564"/>
      <c r="D4" s="564"/>
      <c r="E4" s="564"/>
      <c r="F4" s="564"/>
      <c r="G4" s="564"/>
      <c r="H4" s="564"/>
      <c r="I4" s="564"/>
      <c r="J4" s="564"/>
      <c r="K4" s="564"/>
      <c r="L4" s="564"/>
      <c r="M4" s="581"/>
    </row>
    <row r="5" spans="1:16" x14ac:dyDescent="0.2">
      <c r="A5" s="681" t="s">
        <v>198</v>
      </c>
      <c r="B5" s="682"/>
      <c r="C5" s="682"/>
      <c r="D5" s="682"/>
      <c r="E5" s="682"/>
      <c r="F5" s="682"/>
      <c r="G5" s="682"/>
      <c r="H5" s="682"/>
      <c r="I5" s="682"/>
      <c r="J5" s="682"/>
      <c r="K5" s="682"/>
      <c r="L5" s="682"/>
      <c r="M5" s="683"/>
    </row>
    <row r="6" spans="1:16" x14ac:dyDescent="0.2">
      <c r="A6" s="582"/>
      <c r="B6" s="456"/>
      <c r="C6" s="456"/>
      <c r="D6" s="456"/>
      <c r="E6" s="456"/>
      <c r="F6" s="456"/>
      <c r="G6" s="456"/>
      <c r="H6" s="456"/>
      <c r="I6" s="456"/>
      <c r="J6" s="456"/>
      <c r="K6" s="456"/>
      <c r="L6" s="456"/>
      <c r="M6" s="583"/>
    </row>
    <row r="7" spans="1:16" ht="15" x14ac:dyDescent="0.25">
      <c r="A7" s="353" t="s">
        <v>14</v>
      </c>
      <c r="B7" s="353" t="s">
        <v>96</v>
      </c>
      <c r="C7" s="353" t="s">
        <v>108</v>
      </c>
      <c r="D7" s="353" t="s">
        <v>109</v>
      </c>
      <c r="E7" s="353" t="s">
        <v>110</v>
      </c>
      <c r="F7" s="353" t="s">
        <v>111</v>
      </c>
      <c r="G7" s="353" t="s">
        <v>112</v>
      </c>
      <c r="H7" s="353" t="s">
        <v>136</v>
      </c>
      <c r="I7" s="353" t="s">
        <v>137</v>
      </c>
      <c r="J7" s="353" t="s">
        <v>138</v>
      </c>
      <c r="K7" s="353" t="s">
        <v>39</v>
      </c>
      <c r="L7" s="353" t="s">
        <v>139</v>
      </c>
      <c r="M7" s="353" t="s">
        <v>140</v>
      </c>
    </row>
    <row r="8" spans="1:16" x14ac:dyDescent="0.2">
      <c r="A8" s="535"/>
      <c r="B8" s="535"/>
      <c r="C8" s="535"/>
      <c r="D8" s="535"/>
      <c r="E8" s="535"/>
      <c r="F8" s="535"/>
      <c r="G8" s="535"/>
      <c r="H8" s="535"/>
      <c r="I8" s="535"/>
      <c r="J8" s="535"/>
      <c r="K8" s="535"/>
      <c r="L8" s="535"/>
      <c r="M8" s="535"/>
    </row>
    <row r="9" spans="1:16" x14ac:dyDescent="0.2">
      <c r="A9" s="535"/>
      <c r="B9" s="535"/>
      <c r="C9" s="535"/>
      <c r="D9" s="535"/>
      <c r="E9" s="535"/>
      <c r="F9" s="535"/>
      <c r="G9" s="535"/>
      <c r="H9" s="535"/>
      <c r="I9" s="535"/>
      <c r="J9" s="535"/>
      <c r="K9" s="535"/>
      <c r="L9" s="535"/>
      <c r="M9" s="535"/>
    </row>
    <row r="10" spans="1:16" x14ac:dyDescent="0.2">
      <c r="A10" s="535"/>
      <c r="B10" s="535"/>
      <c r="C10" s="535"/>
      <c r="D10" s="535"/>
      <c r="E10" s="535"/>
      <c r="F10" s="535"/>
      <c r="G10" s="535"/>
      <c r="H10" s="535"/>
      <c r="I10" s="535"/>
      <c r="J10" s="535"/>
      <c r="K10" s="535"/>
      <c r="L10" s="535"/>
      <c r="M10" s="535"/>
    </row>
    <row r="11" spans="1:16" x14ac:dyDescent="0.2">
      <c r="A11" s="535"/>
      <c r="B11" s="535"/>
      <c r="C11" s="535"/>
      <c r="D11" s="535"/>
      <c r="E11" s="535"/>
      <c r="F11" s="535"/>
      <c r="G11" s="535"/>
      <c r="H11" s="535"/>
      <c r="I11" s="535"/>
      <c r="J11" s="535"/>
      <c r="K11" s="535"/>
      <c r="L11" s="535"/>
      <c r="M11" s="535"/>
    </row>
    <row r="12" spans="1:16" x14ac:dyDescent="0.2">
      <c r="A12" s="535"/>
      <c r="B12" s="535"/>
      <c r="C12" s="535"/>
      <c r="D12" s="535"/>
      <c r="E12" s="535"/>
      <c r="F12" s="535"/>
      <c r="G12" s="535"/>
      <c r="H12" s="535"/>
      <c r="I12" s="535"/>
      <c r="J12" s="535"/>
      <c r="K12" s="535"/>
      <c r="L12" s="535"/>
      <c r="M12" s="535"/>
    </row>
    <row r="13" spans="1:16" x14ac:dyDescent="0.2">
      <c r="A13" s="535"/>
      <c r="B13" s="535"/>
      <c r="C13" s="535"/>
      <c r="D13" s="535"/>
      <c r="E13" s="535"/>
      <c r="F13" s="535"/>
      <c r="G13" s="535"/>
      <c r="H13" s="535"/>
      <c r="I13" s="535"/>
      <c r="J13" s="535"/>
      <c r="K13" s="535"/>
      <c r="L13" s="535"/>
      <c r="M13" s="535"/>
    </row>
    <row r="14" spans="1:16" x14ac:dyDescent="0.2">
      <c r="A14" s="535"/>
      <c r="B14" s="535"/>
      <c r="C14" s="535"/>
      <c r="D14" s="535"/>
      <c r="E14" s="535"/>
      <c r="F14" s="535"/>
      <c r="G14" s="535"/>
      <c r="H14" s="535"/>
      <c r="I14" s="535"/>
      <c r="J14" s="535"/>
      <c r="K14" s="535"/>
      <c r="L14" s="535"/>
      <c r="M14" s="535"/>
    </row>
    <row r="15" spans="1:16" x14ac:dyDescent="0.2">
      <c r="A15" s="535"/>
      <c r="B15" s="535"/>
      <c r="C15" s="535"/>
      <c r="D15" s="535"/>
      <c r="E15" s="535"/>
      <c r="F15" s="535"/>
      <c r="G15" s="535"/>
      <c r="H15" s="535"/>
      <c r="I15" s="535"/>
      <c r="J15" s="535"/>
      <c r="K15" s="535"/>
      <c r="L15" s="535"/>
      <c r="M15" s="535"/>
    </row>
    <row r="16" spans="1:16" x14ac:dyDescent="0.2">
      <c r="A16" s="535"/>
      <c r="B16" s="535"/>
      <c r="C16" s="535"/>
      <c r="D16" s="535"/>
      <c r="E16" s="535"/>
      <c r="F16" s="535"/>
      <c r="G16" s="535"/>
      <c r="H16" s="535"/>
      <c r="I16" s="535"/>
      <c r="J16" s="535"/>
      <c r="K16" s="535"/>
      <c r="L16" s="535"/>
      <c r="M16" s="535"/>
    </row>
    <row r="17" spans="1:13" x14ac:dyDescent="0.2">
      <c r="A17" s="535"/>
      <c r="B17" s="535"/>
      <c r="C17" s="535"/>
      <c r="D17" s="535"/>
      <c r="E17" s="535"/>
      <c r="F17" s="535"/>
      <c r="G17" s="535"/>
      <c r="H17" s="535"/>
      <c r="I17" s="535"/>
      <c r="J17" s="535"/>
      <c r="K17" s="535"/>
      <c r="L17" s="535"/>
      <c r="M17" s="535"/>
    </row>
    <row r="18" spans="1:13" x14ac:dyDescent="0.2">
      <c r="A18" s="535"/>
      <c r="B18" s="535"/>
      <c r="C18" s="535"/>
      <c r="D18" s="535"/>
      <c r="E18" s="535"/>
      <c r="F18" s="535"/>
      <c r="G18" s="535"/>
      <c r="H18" s="535"/>
      <c r="I18" s="535"/>
      <c r="J18" s="535"/>
      <c r="K18" s="535"/>
      <c r="L18" s="535"/>
      <c r="M18" s="535"/>
    </row>
    <row r="19" spans="1:13" x14ac:dyDescent="0.2">
      <c r="A19" s="535"/>
      <c r="B19" s="535"/>
      <c r="C19" s="535"/>
      <c r="D19" s="535"/>
      <c r="E19" s="535"/>
      <c r="F19" s="535"/>
      <c r="G19" s="535"/>
      <c r="H19" s="535"/>
      <c r="I19" s="535"/>
      <c r="J19" s="535"/>
      <c r="K19" s="535"/>
      <c r="L19" s="535"/>
      <c r="M19" s="535"/>
    </row>
    <row r="20" spans="1:13" x14ac:dyDescent="0.2">
      <c r="A20" s="535"/>
      <c r="B20" s="535"/>
      <c r="C20" s="535"/>
      <c r="D20" s="535"/>
      <c r="E20" s="535"/>
      <c r="F20" s="535"/>
      <c r="G20" s="535"/>
      <c r="H20" s="535"/>
      <c r="I20" s="535"/>
      <c r="J20" s="535"/>
      <c r="K20" s="535"/>
      <c r="L20" s="535"/>
      <c r="M20" s="535"/>
    </row>
    <row r="21" spans="1:13" x14ac:dyDescent="0.2">
      <c r="A21" s="535"/>
      <c r="B21" s="535"/>
      <c r="C21" s="535"/>
      <c r="D21" s="535"/>
      <c r="E21" s="535"/>
      <c r="F21" s="535"/>
      <c r="G21" s="535"/>
      <c r="H21" s="535"/>
      <c r="I21" s="535"/>
      <c r="J21" s="535"/>
      <c r="K21" s="535"/>
      <c r="L21" s="535"/>
      <c r="M21" s="535"/>
    </row>
    <row r="22" spans="1:13" x14ac:dyDescent="0.2">
      <c r="A22" s="535"/>
      <c r="B22" s="535"/>
      <c r="C22" s="535"/>
      <c r="D22" s="535"/>
      <c r="E22" s="535"/>
      <c r="F22" s="535"/>
      <c r="G22" s="535"/>
      <c r="H22" s="535"/>
      <c r="I22" s="535"/>
      <c r="J22" s="535"/>
      <c r="K22" s="535"/>
      <c r="L22" s="535"/>
      <c r="M22" s="535"/>
    </row>
    <row r="23" spans="1:13" x14ac:dyDescent="0.2">
      <c r="A23" s="535"/>
      <c r="B23" s="535"/>
      <c r="C23" s="535"/>
      <c r="D23" s="535"/>
      <c r="E23" s="535"/>
      <c r="F23" s="535"/>
      <c r="G23" s="535"/>
      <c r="H23" s="535"/>
      <c r="I23" s="535"/>
      <c r="J23" s="535"/>
      <c r="K23" s="535"/>
      <c r="L23" s="535"/>
      <c r="M23" s="535"/>
    </row>
    <row r="24" spans="1:13" x14ac:dyDescent="0.2">
      <c r="A24" s="535"/>
      <c r="B24" s="535"/>
      <c r="C24" s="535"/>
      <c r="D24" s="535"/>
      <c r="E24" s="535"/>
      <c r="F24" s="535"/>
      <c r="G24" s="535"/>
      <c r="H24" s="535"/>
      <c r="I24" s="535"/>
      <c r="J24" s="535"/>
      <c r="K24" s="535"/>
      <c r="L24" s="535"/>
      <c r="M24" s="535"/>
    </row>
    <row r="25" spans="1:13" x14ac:dyDescent="0.2">
      <c r="A25" s="535"/>
      <c r="B25" s="535"/>
      <c r="C25" s="535"/>
      <c r="D25" s="535"/>
      <c r="E25" s="535"/>
      <c r="F25" s="535"/>
      <c r="G25" s="535"/>
      <c r="H25" s="535"/>
      <c r="I25" s="535"/>
      <c r="J25" s="535"/>
      <c r="K25" s="535"/>
      <c r="L25" s="535"/>
      <c r="M25" s="535"/>
    </row>
    <row r="26" spans="1:13" x14ac:dyDescent="0.2">
      <c r="A26" s="535"/>
      <c r="B26" s="535"/>
      <c r="C26" s="535"/>
      <c r="D26" s="535"/>
      <c r="E26" s="535"/>
      <c r="F26" s="535"/>
      <c r="G26" s="535"/>
      <c r="H26" s="535"/>
      <c r="I26" s="535"/>
      <c r="J26" s="535"/>
      <c r="K26" s="535"/>
      <c r="L26" s="535"/>
      <c r="M26" s="535"/>
    </row>
    <row r="27" spans="1:13" x14ac:dyDescent="0.2">
      <c r="A27" s="535"/>
      <c r="B27" s="535"/>
      <c r="C27" s="535"/>
      <c r="D27" s="535"/>
      <c r="E27" s="535"/>
      <c r="F27" s="535"/>
      <c r="G27" s="535"/>
      <c r="H27" s="535"/>
      <c r="I27" s="535"/>
      <c r="J27" s="535"/>
      <c r="K27" s="535"/>
      <c r="L27" s="535"/>
      <c r="M27" s="535"/>
    </row>
    <row r="28" spans="1:13" x14ac:dyDescent="0.2">
      <c r="A28" s="535"/>
      <c r="B28" s="535"/>
      <c r="C28" s="535"/>
      <c r="D28" s="535"/>
      <c r="E28" s="535"/>
      <c r="F28" s="535"/>
      <c r="G28" s="535"/>
      <c r="H28" s="535"/>
      <c r="I28" s="535"/>
      <c r="J28" s="535"/>
      <c r="K28" s="535"/>
      <c r="L28" s="535"/>
      <c r="M28" s="535"/>
    </row>
    <row r="29" spans="1:13" x14ac:dyDescent="0.2">
      <c r="A29" s="535"/>
      <c r="B29" s="535"/>
      <c r="C29" s="535"/>
      <c r="D29" s="535"/>
      <c r="E29" s="535"/>
      <c r="F29" s="535"/>
      <c r="G29" s="535"/>
      <c r="H29" s="535"/>
      <c r="I29" s="535"/>
      <c r="J29" s="535"/>
      <c r="K29" s="535"/>
      <c r="L29" s="535"/>
      <c r="M29" s="535"/>
    </row>
    <row r="30" spans="1:13" x14ac:dyDescent="0.2">
      <c r="A30" s="535"/>
      <c r="B30" s="535"/>
      <c r="C30" s="535"/>
      <c r="D30" s="535"/>
      <c r="E30" s="535"/>
      <c r="F30" s="535"/>
      <c r="G30" s="535"/>
      <c r="H30" s="535"/>
      <c r="I30" s="535"/>
      <c r="J30" s="535"/>
      <c r="K30" s="535"/>
      <c r="L30" s="535"/>
      <c r="M30" s="535"/>
    </row>
    <row r="31" spans="1:13" x14ac:dyDescent="0.2">
      <c r="A31" s="535"/>
      <c r="B31" s="535"/>
      <c r="C31" s="535"/>
      <c r="D31" s="535"/>
      <c r="E31" s="535"/>
      <c r="F31" s="535"/>
      <c r="G31" s="535"/>
      <c r="H31" s="535"/>
      <c r="I31" s="535"/>
      <c r="J31" s="535"/>
      <c r="K31" s="535"/>
      <c r="L31" s="535"/>
      <c r="M31" s="535"/>
    </row>
    <row r="32" spans="1:13" x14ac:dyDescent="0.2">
      <c r="A32" s="535"/>
      <c r="B32" s="535"/>
      <c r="C32" s="535"/>
      <c r="D32" s="535"/>
      <c r="E32" s="535"/>
      <c r="F32" s="535"/>
      <c r="G32" s="535"/>
      <c r="H32" s="535"/>
      <c r="I32" s="535"/>
      <c r="J32" s="535"/>
      <c r="K32" s="535"/>
      <c r="L32" s="535"/>
      <c r="M32" s="535"/>
    </row>
    <row r="33" spans="1:13" x14ac:dyDescent="0.2">
      <c r="A33" s="535"/>
      <c r="B33" s="535"/>
      <c r="C33" s="535"/>
      <c r="D33" s="535"/>
      <c r="E33" s="535"/>
      <c r="F33" s="535"/>
      <c r="G33" s="535"/>
      <c r="H33" s="535"/>
      <c r="I33" s="535"/>
      <c r="J33" s="535"/>
      <c r="K33" s="535"/>
      <c r="L33" s="535"/>
      <c r="M33" s="535"/>
    </row>
    <row r="34" spans="1:13" x14ac:dyDescent="0.2">
      <c r="A34" s="535"/>
      <c r="B34" s="535"/>
      <c r="C34" s="535"/>
      <c r="D34" s="535"/>
      <c r="E34" s="535"/>
      <c r="F34" s="535"/>
      <c r="G34" s="535"/>
      <c r="H34" s="535"/>
      <c r="I34" s="535"/>
      <c r="J34" s="535"/>
      <c r="K34" s="535"/>
      <c r="L34" s="535"/>
      <c r="M34" s="535"/>
    </row>
    <row r="35" spans="1:13" x14ac:dyDescent="0.2">
      <c r="A35" s="535"/>
      <c r="B35" s="535"/>
      <c r="C35" s="535"/>
      <c r="D35" s="535"/>
      <c r="E35" s="535"/>
      <c r="F35" s="535"/>
      <c r="G35" s="535"/>
      <c r="H35" s="535"/>
      <c r="I35" s="535"/>
      <c r="J35" s="535"/>
      <c r="K35" s="535"/>
      <c r="L35" s="535"/>
      <c r="M35" s="535"/>
    </row>
    <row r="36" spans="1:13" x14ac:dyDescent="0.2">
      <c r="A36" s="535"/>
      <c r="B36" s="535"/>
      <c r="C36" s="535"/>
      <c r="D36" s="535"/>
      <c r="E36" s="535"/>
      <c r="F36" s="535"/>
      <c r="G36" s="535"/>
      <c r="H36" s="535"/>
      <c r="I36" s="535"/>
      <c r="J36" s="535"/>
      <c r="K36" s="535"/>
      <c r="L36" s="535"/>
      <c r="M36" s="535"/>
    </row>
    <row r="37" spans="1:13" x14ac:dyDescent="0.2">
      <c r="A37" s="535"/>
      <c r="B37" s="535"/>
      <c r="C37" s="535"/>
      <c r="D37" s="535"/>
      <c r="E37" s="535"/>
      <c r="F37" s="535"/>
      <c r="G37" s="535"/>
      <c r="H37" s="535"/>
      <c r="I37" s="535"/>
      <c r="J37" s="535"/>
      <c r="K37" s="535"/>
      <c r="L37" s="535"/>
      <c r="M37" s="535"/>
    </row>
    <row r="38" spans="1:13" x14ac:dyDescent="0.2">
      <c r="A38" s="535"/>
      <c r="B38" s="535"/>
      <c r="C38" s="535"/>
      <c r="D38" s="535"/>
      <c r="E38" s="535"/>
      <c r="F38" s="535"/>
      <c r="G38" s="535"/>
      <c r="H38" s="535"/>
      <c r="I38" s="535"/>
      <c r="J38" s="535"/>
      <c r="K38" s="535"/>
      <c r="L38" s="535"/>
      <c r="M38" s="535"/>
    </row>
    <row r="39" spans="1:13" x14ac:dyDescent="0.2">
      <c r="A39" s="535"/>
      <c r="B39" s="535"/>
      <c r="C39" s="535"/>
      <c r="D39" s="535"/>
      <c r="E39" s="535"/>
      <c r="F39" s="535"/>
      <c r="G39" s="535"/>
      <c r="H39" s="535"/>
      <c r="I39" s="535"/>
      <c r="J39" s="535"/>
      <c r="K39" s="535"/>
      <c r="L39" s="535"/>
      <c r="M39" s="535"/>
    </row>
    <row r="40" spans="1:13" x14ac:dyDescent="0.2">
      <c r="A40" s="535"/>
      <c r="B40" s="535"/>
      <c r="C40" s="535"/>
      <c r="D40" s="535"/>
      <c r="E40" s="535"/>
      <c r="F40" s="535"/>
      <c r="G40" s="535"/>
      <c r="H40" s="535"/>
      <c r="I40" s="535"/>
      <c r="J40" s="535"/>
      <c r="K40" s="535"/>
      <c r="L40" s="535"/>
      <c r="M40" s="535"/>
    </row>
    <row r="41" spans="1:13" x14ac:dyDescent="0.2">
      <c r="A41" s="535"/>
      <c r="B41" s="535"/>
      <c r="C41" s="535"/>
      <c r="D41" s="535"/>
      <c r="E41" s="535"/>
      <c r="F41" s="535"/>
      <c r="G41" s="535"/>
      <c r="H41" s="535"/>
      <c r="I41" s="535"/>
      <c r="J41" s="535"/>
      <c r="K41" s="535"/>
      <c r="L41" s="535"/>
      <c r="M41" s="535"/>
    </row>
    <row r="42" spans="1:13" x14ac:dyDescent="0.2">
      <c r="A42" s="535"/>
      <c r="B42" s="535"/>
      <c r="C42" s="535"/>
      <c r="D42" s="535"/>
      <c r="E42" s="535"/>
      <c r="F42" s="535"/>
      <c r="G42" s="535"/>
      <c r="H42" s="535"/>
      <c r="I42" s="535"/>
      <c r="J42" s="535"/>
      <c r="K42" s="535"/>
      <c r="L42" s="535"/>
      <c r="M42" s="535"/>
    </row>
    <row r="43" spans="1:13" x14ac:dyDescent="0.2">
      <c r="A43" s="535"/>
      <c r="B43" s="535"/>
      <c r="C43" s="535"/>
      <c r="D43" s="535"/>
      <c r="E43" s="535"/>
      <c r="F43" s="535"/>
      <c r="G43" s="535"/>
      <c r="H43" s="535"/>
      <c r="I43" s="535"/>
      <c r="J43" s="535"/>
      <c r="K43" s="535"/>
      <c r="L43" s="535"/>
      <c r="M43" s="535"/>
    </row>
    <row r="44" spans="1:13" x14ac:dyDescent="0.2">
      <c r="A44" s="535"/>
      <c r="B44" s="535"/>
      <c r="C44" s="535"/>
      <c r="D44" s="535"/>
      <c r="E44" s="535"/>
      <c r="F44" s="535"/>
      <c r="G44" s="535"/>
      <c r="H44" s="535"/>
      <c r="I44" s="535"/>
      <c r="J44" s="535"/>
      <c r="K44" s="535"/>
      <c r="L44" s="535"/>
      <c r="M44" s="535"/>
    </row>
    <row r="45" spans="1:13" x14ac:dyDescent="0.2">
      <c r="A45" s="535"/>
      <c r="B45" s="535"/>
      <c r="C45" s="535"/>
      <c r="D45" s="535"/>
      <c r="E45" s="535"/>
      <c r="F45" s="535"/>
      <c r="G45" s="535"/>
      <c r="H45" s="535"/>
      <c r="I45" s="535"/>
      <c r="J45" s="535"/>
      <c r="K45" s="535"/>
      <c r="L45" s="535"/>
      <c r="M45" s="535"/>
    </row>
    <row r="46" spans="1:13" x14ac:dyDescent="0.2">
      <c r="A46" s="535"/>
      <c r="B46" s="535"/>
      <c r="C46" s="535"/>
      <c r="D46" s="535"/>
      <c r="E46" s="535"/>
      <c r="F46" s="535"/>
      <c r="G46" s="535"/>
      <c r="H46" s="535"/>
      <c r="I46" s="535"/>
      <c r="J46" s="535"/>
      <c r="K46" s="535"/>
      <c r="L46" s="535"/>
      <c r="M46" s="535"/>
    </row>
    <row r="47" spans="1:13" x14ac:dyDescent="0.2">
      <c r="A47" s="535"/>
      <c r="B47" s="535"/>
      <c r="C47" s="535"/>
      <c r="D47" s="535"/>
      <c r="E47" s="535"/>
      <c r="F47" s="535"/>
      <c r="G47" s="535"/>
      <c r="H47" s="535"/>
      <c r="I47" s="535"/>
      <c r="J47" s="535"/>
      <c r="K47" s="535"/>
      <c r="L47" s="535"/>
      <c r="M47" s="535"/>
    </row>
    <row r="48" spans="1:13" x14ac:dyDescent="0.2">
      <c r="A48" s="535"/>
      <c r="B48" s="535"/>
      <c r="C48" s="535"/>
      <c r="D48" s="535"/>
      <c r="E48" s="535"/>
      <c r="F48" s="535"/>
      <c r="G48" s="535"/>
      <c r="H48" s="535"/>
      <c r="I48" s="535"/>
      <c r="J48" s="535"/>
      <c r="K48" s="535"/>
      <c r="L48" s="535"/>
      <c r="M48" s="535"/>
    </row>
    <row r="49" spans="1:13" x14ac:dyDescent="0.2">
      <c r="A49" s="535"/>
      <c r="B49" s="535"/>
      <c r="C49" s="535"/>
      <c r="D49" s="535"/>
      <c r="E49" s="535"/>
      <c r="F49" s="535"/>
      <c r="G49" s="535"/>
      <c r="H49" s="535"/>
      <c r="I49" s="535"/>
      <c r="J49" s="535"/>
      <c r="K49" s="535"/>
      <c r="L49" s="535"/>
      <c r="M49" s="535"/>
    </row>
    <row r="50" spans="1:13" x14ac:dyDescent="0.2">
      <c r="A50" s="535"/>
      <c r="B50" s="535"/>
      <c r="C50" s="535"/>
      <c r="D50" s="535"/>
      <c r="E50" s="535"/>
      <c r="F50" s="535"/>
      <c r="G50" s="535"/>
      <c r="H50" s="535"/>
      <c r="I50" s="535"/>
      <c r="J50" s="535"/>
      <c r="K50" s="535"/>
      <c r="L50" s="535"/>
      <c r="M50" s="535"/>
    </row>
    <row r="51" spans="1:13" x14ac:dyDescent="0.2">
      <c r="A51" s="535"/>
      <c r="B51" s="535"/>
      <c r="C51" s="535"/>
      <c r="D51" s="535"/>
      <c r="E51" s="535"/>
      <c r="F51" s="535"/>
      <c r="G51" s="535"/>
      <c r="H51" s="535"/>
      <c r="I51" s="535"/>
      <c r="J51" s="535"/>
      <c r="K51" s="535"/>
      <c r="L51" s="535"/>
      <c r="M51" s="535"/>
    </row>
    <row r="52" spans="1:13" x14ac:dyDescent="0.2">
      <c r="A52" s="535"/>
      <c r="B52" s="535"/>
      <c r="C52" s="535"/>
      <c r="D52" s="535"/>
      <c r="E52" s="535"/>
      <c r="F52" s="535"/>
      <c r="G52" s="535"/>
      <c r="H52" s="535"/>
      <c r="I52" s="535"/>
      <c r="J52" s="535"/>
      <c r="K52" s="535"/>
      <c r="L52" s="535"/>
      <c r="M52" s="535"/>
    </row>
    <row r="53" spans="1:13" x14ac:dyDescent="0.2">
      <c r="A53" s="535"/>
      <c r="B53" s="535"/>
      <c r="C53" s="535"/>
      <c r="D53" s="535"/>
      <c r="E53" s="535"/>
      <c r="F53" s="535"/>
      <c r="G53" s="535"/>
      <c r="H53" s="535"/>
      <c r="I53" s="535"/>
      <c r="J53" s="535"/>
      <c r="K53" s="535"/>
      <c r="L53" s="535"/>
      <c r="M53" s="535"/>
    </row>
    <row r="54" spans="1:13" x14ac:dyDescent="0.2">
      <c r="A54" s="535"/>
      <c r="B54" s="535"/>
      <c r="C54" s="535"/>
      <c r="D54" s="535"/>
      <c r="E54" s="535"/>
      <c r="F54" s="535"/>
      <c r="G54" s="535"/>
      <c r="H54" s="535"/>
      <c r="I54" s="535"/>
      <c r="J54" s="535"/>
      <c r="K54" s="535"/>
      <c r="L54" s="535"/>
      <c r="M54" s="535"/>
    </row>
    <row r="55" spans="1:13" x14ac:dyDescent="0.2">
      <c r="A55" s="535"/>
      <c r="B55" s="535"/>
      <c r="C55" s="535"/>
      <c r="D55" s="535"/>
      <c r="E55" s="535"/>
      <c r="F55" s="535"/>
      <c r="G55" s="535"/>
      <c r="H55" s="535"/>
      <c r="I55" s="535"/>
      <c r="J55" s="535"/>
      <c r="K55" s="535"/>
      <c r="L55" s="535"/>
      <c r="M55" s="535"/>
    </row>
    <row r="56" spans="1:13" x14ac:dyDescent="0.2">
      <c r="A56" s="535"/>
      <c r="B56" s="535"/>
      <c r="C56" s="535"/>
      <c r="D56" s="535"/>
      <c r="E56" s="535"/>
      <c r="F56" s="535"/>
      <c r="G56" s="535"/>
      <c r="H56" s="535"/>
      <c r="I56" s="535"/>
      <c r="J56" s="535"/>
      <c r="K56" s="535"/>
      <c r="L56" s="535"/>
      <c r="M56" s="535"/>
    </row>
    <row r="57" spans="1:13" x14ac:dyDescent="0.2">
      <c r="A57" s="535"/>
      <c r="B57" s="535"/>
      <c r="C57" s="535"/>
      <c r="D57" s="535"/>
      <c r="E57" s="535"/>
      <c r="F57" s="535"/>
      <c r="G57" s="535"/>
      <c r="H57" s="535"/>
      <c r="I57" s="535"/>
      <c r="J57" s="535"/>
      <c r="K57" s="535"/>
      <c r="L57" s="535"/>
      <c r="M57" s="535"/>
    </row>
    <row r="58" spans="1:13" x14ac:dyDescent="0.2">
      <c r="A58" s="535"/>
      <c r="B58" s="535"/>
      <c r="C58" s="535"/>
      <c r="D58" s="535"/>
      <c r="E58" s="535"/>
      <c r="F58" s="535"/>
      <c r="G58" s="535"/>
      <c r="H58" s="535"/>
      <c r="I58" s="535"/>
      <c r="J58" s="535"/>
      <c r="K58" s="535"/>
      <c r="L58" s="535"/>
      <c r="M58" s="535"/>
    </row>
    <row r="59" spans="1:13" x14ac:dyDescent="0.2">
      <c r="A59" s="535"/>
      <c r="B59" s="535"/>
      <c r="C59" s="535"/>
      <c r="D59" s="535"/>
      <c r="E59" s="535"/>
      <c r="F59" s="535"/>
      <c r="G59" s="535"/>
      <c r="H59" s="535"/>
      <c r="I59" s="535"/>
      <c r="J59" s="535"/>
      <c r="K59" s="535"/>
      <c r="L59" s="535"/>
      <c r="M59" s="535"/>
    </row>
    <row r="60" spans="1:13" x14ac:dyDescent="0.2">
      <c r="A60" s="535"/>
      <c r="B60" s="535"/>
      <c r="C60" s="535"/>
      <c r="D60" s="535"/>
      <c r="E60" s="535"/>
      <c r="F60" s="535"/>
      <c r="G60" s="535"/>
      <c r="H60" s="535"/>
      <c r="I60" s="535"/>
      <c r="J60" s="535"/>
      <c r="K60" s="535"/>
      <c r="L60" s="535"/>
      <c r="M60" s="535"/>
    </row>
    <row r="61" spans="1:13" x14ac:dyDescent="0.2">
      <c r="A61" s="535"/>
      <c r="B61" s="535"/>
      <c r="C61" s="535"/>
      <c r="D61" s="535"/>
      <c r="E61" s="535"/>
      <c r="F61" s="535"/>
      <c r="G61" s="535"/>
      <c r="H61" s="535"/>
      <c r="I61" s="535"/>
      <c r="J61" s="535"/>
      <c r="K61" s="535"/>
      <c r="L61" s="535"/>
      <c r="M61" s="535"/>
    </row>
    <row r="62" spans="1:13" x14ac:dyDescent="0.2">
      <c r="A62" s="535"/>
      <c r="B62" s="535"/>
      <c r="C62" s="535"/>
      <c r="D62" s="535"/>
      <c r="E62" s="535"/>
      <c r="F62" s="535"/>
      <c r="G62" s="535"/>
      <c r="H62" s="535"/>
      <c r="I62" s="535"/>
      <c r="J62" s="535"/>
      <c r="K62" s="535"/>
      <c r="L62" s="535"/>
      <c r="M62" s="535"/>
    </row>
    <row r="63" spans="1:13" x14ac:dyDescent="0.2">
      <c r="A63" s="535"/>
      <c r="B63" s="535"/>
      <c r="C63" s="535"/>
      <c r="D63" s="535"/>
      <c r="E63" s="535"/>
      <c r="F63" s="535"/>
      <c r="G63" s="535"/>
      <c r="H63" s="535"/>
      <c r="I63" s="535"/>
      <c r="J63" s="535"/>
      <c r="K63" s="535"/>
      <c r="L63" s="535"/>
      <c r="M63" s="535"/>
    </row>
    <row r="64" spans="1:13" x14ac:dyDescent="0.2">
      <c r="A64" s="535"/>
      <c r="B64" s="535"/>
      <c r="C64" s="535"/>
      <c r="D64" s="535"/>
      <c r="E64" s="535"/>
      <c r="F64" s="535"/>
      <c r="G64" s="535"/>
      <c r="H64" s="535"/>
      <c r="I64" s="535"/>
      <c r="J64" s="535"/>
      <c r="K64" s="535"/>
      <c r="L64" s="535"/>
      <c r="M64" s="535"/>
    </row>
    <row r="65" spans="1:13" x14ac:dyDescent="0.2">
      <c r="A65" s="535"/>
      <c r="B65" s="535"/>
      <c r="C65" s="535"/>
      <c r="D65" s="535"/>
      <c r="E65" s="535"/>
      <c r="F65" s="535"/>
      <c r="G65" s="535"/>
      <c r="H65" s="535"/>
      <c r="I65" s="535"/>
      <c r="J65" s="535"/>
      <c r="K65" s="535"/>
      <c r="L65" s="535"/>
      <c r="M65" s="535"/>
    </row>
    <row r="66" spans="1:13" x14ac:dyDescent="0.2">
      <c r="A66" s="535"/>
      <c r="B66" s="535"/>
      <c r="C66" s="535"/>
      <c r="D66" s="535"/>
      <c r="E66" s="535"/>
      <c r="F66" s="535"/>
      <c r="G66" s="535"/>
      <c r="H66" s="535"/>
      <c r="I66" s="535"/>
      <c r="J66" s="535"/>
      <c r="K66" s="535"/>
      <c r="L66" s="535"/>
      <c r="M66" s="535"/>
    </row>
    <row r="67" spans="1:13" x14ac:dyDescent="0.2">
      <c r="A67" s="535"/>
      <c r="B67" s="535"/>
      <c r="C67" s="535"/>
      <c r="D67" s="535"/>
      <c r="E67" s="535"/>
      <c r="F67" s="535"/>
      <c r="G67" s="535"/>
      <c r="H67" s="535"/>
      <c r="I67" s="535"/>
      <c r="J67" s="535"/>
      <c r="K67" s="535"/>
      <c r="L67" s="535"/>
      <c r="M67" s="535"/>
    </row>
    <row r="68" spans="1:13" x14ac:dyDescent="0.2">
      <c r="A68" s="535"/>
      <c r="B68" s="535"/>
      <c r="C68" s="535"/>
      <c r="D68" s="535"/>
      <c r="E68" s="535"/>
      <c r="F68" s="535"/>
      <c r="G68" s="535"/>
      <c r="H68" s="535"/>
      <c r="I68" s="535"/>
      <c r="J68" s="535"/>
      <c r="K68" s="535"/>
      <c r="L68" s="535"/>
      <c r="M68" s="535"/>
    </row>
    <row r="69" spans="1:13" x14ac:dyDescent="0.2">
      <c r="A69" s="535"/>
      <c r="B69" s="535"/>
      <c r="C69" s="535"/>
      <c r="D69" s="535"/>
      <c r="E69" s="535"/>
      <c r="F69" s="535"/>
      <c r="G69" s="535"/>
      <c r="H69" s="535"/>
      <c r="I69" s="535"/>
      <c r="J69" s="535"/>
      <c r="K69" s="535"/>
      <c r="L69" s="535"/>
      <c r="M69" s="535"/>
    </row>
    <row r="70" spans="1:13" x14ac:dyDescent="0.2">
      <c r="A70" s="535"/>
      <c r="B70" s="535"/>
      <c r="C70" s="535"/>
      <c r="D70" s="535"/>
      <c r="E70" s="535"/>
      <c r="F70" s="535"/>
      <c r="G70" s="535"/>
      <c r="H70" s="535"/>
      <c r="I70" s="535"/>
      <c r="J70" s="535"/>
      <c r="K70" s="535"/>
      <c r="L70" s="535"/>
      <c r="M70" s="535"/>
    </row>
    <row r="71" spans="1:13" x14ac:dyDescent="0.2">
      <c r="A71" s="535"/>
      <c r="B71" s="535"/>
      <c r="C71" s="535"/>
      <c r="D71" s="535"/>
      <c r="E71" s="535"/>
      <c r="F71" s="535"/>
      <c r="G71" s="535"/>
      <c r="H71" s="535"/>
      <c r="I71" s="535"/>
      <c r="J71" s="535"/>
      <c r="K71" s="535"/>
      <c r="L71" s="535"/>
      <c r="M71" s="535"/>
    </row>
    <row r="72" spans="1:13" x14ac:dyDescent="0.2">
      <c r="A72" s="535"/>
      <c r="B72" s="535"/>
      <c r="C72" s="535"/>
      <c r="D72" s="535"/>
      <c r="E72" s="535"/>
      <c r="F72" s="535"/>
      <c r="G72" s="535"/>
      <c r="H72" s="535"/>
      <c r="I72" s="535"/>
      <c r="J72" s="535"/>
      <c r="K72" s="535"/>
      <c r="L72" s="535"/>
      <c r="M72" s="535"/>
    </row>
    <row r="73" spans="1:13" x14ac:dyDescent="0.2">
      <c r="A73" s="535"/>
      <c r="B73" s="535"/>
      <c r="C73" s="535"/>
      <c r="D73" s="535"/>
      <c r="E73" s="535"/>
      <c r="F73" s="535"/>
      <c r="G73" s="535"/>
      <c r="H73" s="535"/>
      <c r="I73" s="535"/>
      <c r="J73" s="535"/>
      <c r="K73" s="535"/>
      <c r="L73" s="535"/>
      <c r="M73" s="535"/>
    </row>
    <row r="74" spans="1:13" x14ac:dyDescent="0.2">
      <c r="A74" s="535"/>
      <c r="B74" s="535"/>
      <c r="C74" s="535"/>
      <c r="D74" s="535"/>
      <c r="E74" s="535"/>
      <c r="F74" s="535"/>
      <c r="G74" s="535"/>
      <c r="H74" s="535"/>
      <c r="I74" s="535"/>
      <c r="J74" s="535"/>
      <c r="K74" s="535"/>
      <c r="L74" s="535"/>
      <c r="M74" s="535"/>
    </row>
    <row r="75" spans="1:13" x14ac:dyDescent="0.2">
      <c r="A75" s="535"/>
      <c r="B75" s="535"/>
      <c r="C75" s="535"/>
      <c r="D75" s="535"/>
      <c r="E75" s="535"/>
      <c r="F75" s="535"/>
      <c r="G75" s="535"/>
      <c r="H75" s="535"/>
      <c r="I75" s="535"/>
      <c r="J75" s="535"/>
      <c r="K75" s="535"/>
      <c r="L75" s="535"/>
      <c r="M75" s="535"/>
    </row>
    <row r="76" spans="1:13" x14ac:dyDescent="0.2">
      <c r="A76" s="535"/>
      <c r="B76" s="535"/>
      <c r="C76" s="535"/>
      <c r="D76" s="535"/>
      <c r="E76" s="535"/>
      <c r="F76" s="535"/>
      <c r="G76" s="535"/>
      <c r="H76" s="535"/>
      <c r="I76" s="535"/>
      <c r="J76" s="535"/>
      <c r="K76" s="535"/>
      <c r="L76" s="535"/>
      <c r="M76" s="535"/>
    </row>
    <row r="77" spans="1:13" x14ac:dyDescent="0.2">
      <c r="A77" s="535"/>
      <c r="B77" s="535"/>
      <c r="C77" s="535"/>
      <c r="D77" s="535"/>
      <c r="E77" s="535"/>
      <c r="F77" s="535"/>
      <c r="G77" s="535"/>
      <c r="H77" s="535"/>
      <c r="I77" s="535"/>
      <c r="J77" s="535"/>
      <c r="K77" s="535"/>
      <c r="L77" s="535"/>
      <c r="M77" s="535"/>
    </row>
    <row r="78" spans="1:13" x14ac:dyDescent="0.2">
      <c r="A78" s="535"/>
      <c r="B78" s="535"/>
      <c r="C78" s="535"/>
      <c r="D78" s="535"/>
      <c r="E78" s="535"/>
      <c r="F78" s="535"/>
      <c r="G78" s="535"/>
      <c r="H78" s="535"/>
      <c r="I78" s="535"/>
      <c r="J78" s="535"/>
      <c r="K78" s="535"/>
      <c r="L78" s="535"/>
      <c r="M78" s="535"/>
    </row>
    <row r="79" spans="1:13" x14ac:dyDescent="0.2">
      <c r="A79" s="535"/>
      <c r="B79" s="535"/>
      <c r="C79" s="535"/>
      <c r="D79" s="535"/>
      <c r="E79" s="535"/>
      <c r="F79" s="535"/>
      <c r="G79" s="535"/>
      <c r="H79" s="535"/>
      <c r="I79" s="535"/>
      <c r="J79" s="535"/>
      <c r="K79" s="535"/>
      <c r="L79" s="535"/>
      <c r="M79" s="535"/>
    </row>
    <row r="80" spans="1:13" x14ac:dyDescent="0.2">
      <c r="A80" s="535"/>
      <c r="B80" s="535"/>
      <c r="C80" s="535"/>
      <c r="D80" s="535"/>
      <c r="E80" s="535"/>
      <c r="F80" s="535"/>
      <c r="G80" s="535"/>
      <c r="H80" s="535"/>
      <c r="I80" s="535"/>
      <c r="J80" s="535"/>
      <c r="K80" s="535"/>
      <c r="L80" s="535"/>
      <c r="M80" s="535"/>
    </row>
    <row r="81" spans="1:13" x14ac:dyDescent="0.2">
      <c r="A81" s="535"/>
      <c r="B81" s="535"/>
      <c r="C81" s="535"/>
      <c r="D81" s="535"/>
      <c r="E81" s="535"/>
      <c r="F81" s="535"/>
      <c r="G81" s="535"/>
      <c r="H81" s="535"/>
      <c r="I81" s="535"/>
      <c r="J81" s="535"/>
      <c r="K81" s="535"/>
      <c r="L81" s="535"/>
      <c r="M81" s="535"/>
    </row>
    <row r="82" spans="1:13" x14ac:dyDescent="0.2">
      <c r="A82" s="535"/>
      <c r="B82" s="535"/>
      <c r="C82" s="535"/>
      <c r="D82" s="535"/>
      <c r="E82" s="535"/>
      <c r="F82" s="535"/>
      <c r="G82" s="535"/>
      <c r="H82" s="535"/>
      <c r="I82" s="535"/>
      <c r="J82" s="535"/>
      <c r="K82" s="535"/>
      <c r="L82" s="535"/>
      <c r="M82" s="535"/>
    </row>
    <row r="83" spans="1:13" x14ac:dyDescent="0.2">
      <c r="A83" s="535"/>
      <c r="B83" s="535"/>
      <c r="C83" s="535"/>
      <c r="D83" s="535"/>
      <c r="E83" s="535"/>
      <c r="F83" s="535"/>
      <c r="G83" s="535"/>
      <c r="H83" s="535"/>
      <c r="I83" s="535"/>
      <c r="J83" s="535"/>
      <c r="K83" s="535"/>
      <c r="L83" s="535"/>
      <c r="M83" s="535"/>
    </row>
    <row r="84" spans="1:13" x14ac:dyDescent="0.2">
      <c r="A84" s="535"/>
      <c r="B84" s="535"/>
      <c r="C84" s="535"/>
      <c r="D84" s="535"/>
      <c r="E84" s="535"/>
      <c r="F84" s="535"/>
      <c r="G84" s="535"/>
      <c r="H84" s="535"/>
      <c r="I84" s="535"/>
      <c r="J84" s="535"/>
      <c r="K84" s="535"/>
      <c r="L84" s="535"/>
      <c r="M84" s="535"/>
    </row>
    <row r="85" spans="1:13" x14ac:dyDescent="0.2">
      <c r="A85" s="535"/>
      <c r="B85" s="535"/>
      <c r="C85" s="535"/>
      <c r="D85" s="535"/>
      <c r="E85" s="535"/>
      <c r="F85" s="535"/>
      <c r="G85" s="535"/>
      <c r="H85" s="535"/>
      <c r="I85" s="535"/>
      <c r="J85" s="535"/>
      <c r="K85" s="535"/>
      <c r="L85" s="535"/>
      <c r="M85" s="535"/>
    </row>
    <row r="86" spans="1:13" x14ac:dyDescent="0.2">
      <c r="A86" s="535"/>
      <c r="B86" s="535"/>
      <c r="C86" s="535"/>
      <c r="D86" s="535"/>
      <c r="E86" s="535"/>
      <c r="F86" s="535"/>
      <c r="G86" s="535"/>
      <c r="H86" s="535"/>
      <c r="I86" s="535"/>
      <c r="J86" s="535"/>
      <c r="K86" s="535"/>
      <c r="L86" s="535"/>
      <c r="M86" s="535"/>
    </row>
    <row r="87" spans="1:13" x14ac:dyDescent="0.2">
      <c r="A87" s="535"/>
      <c r="B87" s="535"/>
      <c r="C87" s="535"/>
      <c r="D87" s="535"/>
      <c r="E87" s="535"/>
      <c r="F87" s="535"/>
      <c r="G87" s="535"/>
      <c r="H87" s="535"/>
      <c r="I87" s="535"/>
      <c r="J87" s="535"/>
      <c r="K87" s="535"/>
      <c r="L87" s="535"/>
      <c r="M87" s="535"/>
    </row>
    <row r="88" spans="1:13" x14ac:dyDescent="0.2">
      <c r="A88" s="535"/>
      <c r="B88" s="535"/>
      <c r="C88" s="535"/>
      <c r="D88" s="535"/>
      <c r="E88" s="535"/>
      <c r="F88" s="535"/>
      <c r="G88" s="535"/>
      <c r="H88" s="535"/>
      <c r="I88" s="535"/>
      <c r="J88" s="535"/>
      <c r="K88" s="535"/>
      <c r="L88" s="535"/>
      <c r="M88" s="535"/>
    </row>
    <row r="89" spans="1:13" x14ac:dyDescent="0.2">
      <c r="A89" s="535"/>
      <c r="B89" s="535"/>
      <c r="C89" s="535"/>
      <c r="D89" s="535"/>
      <c r="E89" s="535"/>
      <c r="F89" s="535"/>
      <c r="G89" s="535"/>
      <c r="H89" s="535"/>
      <c r="I89" s="535"/>
      <c r="J89" s="535"/>
      <c r="K89" s="535"/>
      <c r="L89" s="535"/>
      <c r="M89" s="535"/>
    </row>
    <row r="90" spans="1:13" x14ac:dyDescent="0.2">
      <c r="A90" s="535"/>
      <c r="B90" s="535"/>
      <c r="C90" s="535"/>
      <c r="D90" s="535"/>
      <c r="E90" s="535"/>
      <c r="F90" s="535"/>
      <c r="G90" s="535"/>
      <c r="H90" s="535"/>
      <c r="I90" s="535"/>
      <c r="J90" s="535"/>
      <c r="K90" s="535"/>
      <c r="L90" s="535"/>
      <c r="M90" s="535"/>
    </row>
    <row r="91" spans="1:13" x14ac:dyDescent="0.2">
      <c r="A91" s="535"/>
      <c r="B91" s="535"/>
      <c r="C91" s="535"/>
      <c r="D91" s="535"/>
      <c r="E91" s="535"/>
      <c r="F91" s="535"/>
      <c r="G91" s="535"/>
      <c r="H91" s="535"/>
      <c r="I91" s="535"/>
      <c r="J91" s="535"/>
      <c r="K91" s="535"/>
      <c r="L91" s="535"/>
      <c r="M91" s="535"/>
    </row>
    <row r="92" spans="1:13" x14ac:dyDescent="0.2">
      <c r="A92" s="535"/>
      <c r="B92" s="535"/>
      <c r="C92" s="535"/>
      <c r="D92" s="535"/>
      <c r="E92" s="535"/>
      <c r="F92" s="535"/>
      <c r="G92" s="535"/>
      <c r="H92" s="535"/>
      <c r="I92" s="535"/>
      <c r="J92" s="535"/>
      <c r="K92" s="535"/>
      <c r="L92" s="535"/>
      <c r="M92" s="535"/>
    </row>
    <row r="93" spans="1:13" x14ac:dyDescent="0.2">
      <c r="A93" s="535"/>
      <c r="B93" s="535"/>
      <c r="C93" s="535"/>
      <c r="D93" s="535"/>
      <c r="E93" s="535"/>
      <c r="F93" s="535"/>
      <c r="G93" s="535"/>
      <c r="H93" s="535"/>
      <c r="I93" s="535"/>
      <c r="J93" s="535"/>
      <c r="K93" s="535"/>
      <c r="L93" s="535"/>
      <c r="M93" s="535"/>
    </row>
    <row r="94" spans="1:13" x14ac:dyDescent="0.2">
      <c r="A94" s="535"/>
      <c r="B94" s="535"/>
      <c r="C94" s="535"/>
      <c r="D94" s="535"/>
      <c r="E94" s="535"/>
      <c r="F94" s="535"/>
      <c r="G94" s="535"/>
      <c r="H94" s="535"/>
      <c r="I94" s="535"/>
      <c r="J94" s="535"/>
      <c r="K94" s="535"/>
      <c r="L94" s="535"/>
      <c r="M94" s="535"/>
    </row>
    <row r="95" spans="1:13" x14ac:dyDescent="0.2">
      <c r="A95" s="535"/>
      <c r="B95" s="535"/>
      <c r="C95" s="535"/>
      <c r="D95" s="535"/>
      <c r="E95" s="535"/>
      <c r="F95" s="535"/>
      <c r="G95" s="535"/>
      <c r="H95" s="535"/>
      <c r="I95" s="535"/>
      <c r="J95" s="535"/>
      <c r="K95" s="535"/>
      <c r="L95" s="535"/>
      <c r="M95" s="535"/>
    </row>
    <row r="96" spans="1:13" x14ac:dyDescent="0.2">
      <c r="A96" s="535"/>
      <c r="B96" s="535"/>
      <c r="C96" s="535"/>
      <c r="D96" s="535"/>
      <c r="E96" s="535"/>
      <c r="F96" s="535"/>
      <c r="G96" s="535"/>
      <c r="H96" s="535"/>
      <c r="I96" s="535"/>
      <c r="J96" s="535"/>
      <c r="K96" s="535"/>
      <c r="L96" s="535"/>
      <c r="M96" s="535"/>
    </row>
    <row r="97" spans="1:13" x14ac:dyDescent="0.2">
      <c r="A97" s="535"/>
      <c r="B97" s="535"/>
      <c r="C97" s="535"/>
      <c r="D97" s="535"/>
      <c r="E97" s="535"/>
      <c r="F97" s="535"/>
      <c r="G97" s="535"/>
      <c r="H97" s="535"/>
      <c r="I97" s="535"/>
      <c r="J97" s="535"/>
      <c r="K97" s="535"/>
      <c r="L97" s="535"/>
      <c r="M97" s="535"/>
    </row>
    <row r="98" spans="1:13" x14ac:dyDescent="0.2">
      <c r="A98" s="535"/>
      <c r="B98" s="535"/>
      <c r="C98" s="535"/>
      <c r="D98" s="535"/>
      <c r="E98" s="535"/>
      <c r="F98" s="535"/>
      <c r="G98" s="535"/>
      <c r="H98" s="535"/>
      <c r="I98" s="535"/>
      <c r="J98" s="535"/>
      <c r="K98" s="535"/>
      <c r="L98" s="535"/>
      <c r="M98" s="535"/>
    </row>
    <row r="99" spans="1:13" x14ac:dyDescent="0.2">
      <c r="A99" s="535"/>
      <c r="B99" s="535"/>
      <c r="C99" s="535"/>
      <c r="D99" s="535"/>
      <c r="E99" s="535"/>
      <c r="F99" s="535"/>
      <c r="G99" s="535"/>
      <c r="H99" s="535"/>
      <c r="I99" s="535"/>
      <c r="J99" s="535"/>
      <c r="K99" s="535"/>
      <c r="L99" s="535"/>
      <c r="M99" s="535"/>
    </row>
    <row r="100" spans="1:13" x14ac:dyDescent="0.2">
      <c r="A100" s="535"/>
      <c r="B100" s="535"/>
      <c r="C100" s="535"/>
      <c r="D100" s="535"/>
      <c r="E100" s="535"/>
      <c r="F100" s="535"/>
      <c r="G100" s="535"/>
      <c r="H100" s="535"/>
      <c r="I100" s="535"/>
      <c r="J100" s="535"/>
      <c r="K100" s="535"/>
      <c r="L100" s="535"/>
      <c r="M100" s="535"/>
    </row>
    <row r="101" spans="1:13" x14ac:dyDescent="0.2">
      <c r="A101" s="535"/>
      <c r="B101" s="535"/>
      <c r="C101" s="535"/>
      <c r="D101" s="535"/>
      <c r="E101" s="535"/>
      <c r="F101" s="535"/>
      <c r="G101" s="535"/>
      <c r="H101" s="535"/>
      <c r="I101" s="535"/>
      <c r="J101" s="535"/>
      <c r="K101" s="535"/>
      <c r="L101" s="535"/>
      <c r="M101" s="535"/>
    </row>
    <row r="102" spans="1:13" x14ac:dyDescent="0.2">
      <c r="A102" s="535"/>
      <c r="B102" s="535"/>
      <c r="C102" s="535"/>
      <c r="D102" s="535"/>
      <c r="E102" s="535"/>
      <c r="F102" s="535"/>
      <c r="G102" s="535"/>
      <c r="H102" s="535"/>
      <c r="I102" s="535"/>
      <c r="J102" s="535"/>
      <c r="K102" s="535"/>
      <c r="L102" s="535"/>
      <c r="M102" s="535"/>
    </row>
    <row r="103" spans="1:13" x14ac:dyDescent="0.2">
      <c r="A103" s="535"/>
      <c r="B103" s="535"/>
      <c r="C103" s="535"/>
      <c r="D103" s="535"/>
      <c r="E103" s="535"/>
      <c r="F103" s="535"/>
      <c r="G103" s="535"/>
      <c r="H103" s="535"/>
      <c r="I103" s="535"/>
      <c r="J103" s="535"/>
      <c r="K103" s="535"/>
      <c r="L103" s="535"/>
      <c r="M103" s="535"/>
    </row>
    <row r="104" spans="1:13" x14ac:dyDescent="0.2">
      <c r="A104" s="535"/>
      <c r="B104" s="535"/>
      <c r="C104" s="535"/>
      <c r="D104" s="535"/>
      <c r="E104" s="535"/>
      <c r="F104" s="535"/>
      <c r="G104" s="535"/>
      <c r="H104" s="535"/>
      <c r="I104" s="535"/>
      <c r="J104" s="535"/>
      <c r="K104" s="535"/>
      <c r="L104" s="535"/>
      <c r="M104" s="535"/>
    </row>
    <row r="105" spans="1:13" x14ac:dyDescent="0.2">
      <c r="A105" s="535"/>
      <c r="B105" s="535"/>
      <c r="C105" s="535"/>
      <c r="D105" s="535"/>
      <c r="E105" s="535"/>
      <c r="F105" s="535"/>
      <c r="G105" s="535"/>
      <c r="H105" s="535"/>
      <c r="I105" s="535"/>
      <c r="J105" s="535"/>
      <c r="K105" s="535"/>
      <c r="L105" s="535"/>
      <c r="M105" s="535"/>
    </row>
    <row r="106" spans="1:13" x14ac:dyDescent="0.2">
      <c r="A106" s="535"/>
      <c r="B106" s="535"/>
      <c r="C106" s="535"/>
      <c r="D106" s="535"/>
      <c r="E106" s="535"/>
      <c r="F106" s="535"/>
      <c r="G106" s="535"/>
      <c r="H106" s="535"/>
      <c r="I106" s="535"/>
      <c r="J106" s="535"/>
      <c r="K106" s="535"/>
      <c r="L106" s="535"/>
      <c r="M106" s="535"/>
    </row>
    <row r="107" spans="1:13" x14ac:dyDescent="0.2">
      <c r="A107" s="535"/>
      <c r="B107" s="535"/>
      <c r="C107" s="535"/>
      <c r="D107" s="535"/>
      <c r="E107" s="535"/>
      <c r="F107" s="535"/>
      <c r="G107" s="535"/>
      <c r="H107" s="535"/>
      <c r="I107" s="535"/>
      <c r="J107" s="535"/>
      <c r="K107" s="535"/>
      <c r="L107" s="535"/>
      <c r="M107" s="535"/>
    </row>
    <row r="108" spans="1:13" x14ac:dyDescent="0.2">
      <c r="A108" s="535"/>
      <c r="B108" s="535"/>
      <c r="C108" s="535"/>
      <c r="D108" s="535"/>
      <c r="E108" s="535"/>
      <c r="F108" s="535"/>
      <c r="G108" s="535"/>
      <c r="H108" s="535"/>
      <c r="I108" s="535"/>
      <c r="J108" s="535"/>
      <c r="K108" s="535"/>
      <c r="L108" s="535"/>
      <c r="M108" s="535"/>
    </row>
    <row r="109" spans="1:13" x14ac:dyDescent="0.2">
      <c r="A109" s="535"/>
      <c r="B109" s="535"/>
      <c r="C109" s="535"/>
      <c r="D109" s="535"/>
      <c r="E109" s="535"/>
      <c r="F109" s="535"/>
      <c r="G109" s="535"/>
      <c r="H109" s="535"/>
      <c r="I109" s="535"/>
      <c r="J109" s="535"/>
      <c r="K109" s="535"/>
      <c r="L109" s="535"/>
      <c r="M109" s="535"/>
    </row>
    <row r="110" spans="1:13" x14ac:dyDescent="0.2">
      <c r="A110" s="535"/>
      <c r="B110" s="535"/>
      <c r="C110" s="535"/>
      <c r="D110" s="535"/>
      <c r="E110" s="535"/>
      <c r="F110" s="535"/>
      <c r="G110" s="535"/>
      <c r="H110" s="535"/>
      <c r="I110" s="535"/>
      <c r="J110" s="535"/>
      <c r="K110" s="535"/>
      <c r="L110" s="535"/>
      <c r="M110" s="535"/>
    </row>
    <row r="111" spans="1:13" x14ac:dyDescent="0.2">
      <c r="A111" s="535"/>
      <c r="B111" s="535"/>
      <c r="C111" s="535"/>
      <c r="D111" s="535"/>
      <c r="E111" s="535"/>
      <c r="F111" s="535"/>
      <c r="G111" s="535"/>
      <c r="H111" s="535"/>
      <c r="I111" s="535"/>
      <c r="J111" s="535"/>
      <c r="K111" s="535"/>
      <c r="L111" s="535"/>
      <c r="M111" s="535"/>
    </row>
    <row r="112" spans="1:13" x14ac:dyDescent="0.2">
      <c r="A112" s="535"/>
      <c r="B112" s="535"/>
      <c r="C112" s="535"/>
      <c r="D112" s="535"/>
      <c r="E112" s="535"/>
      <c r="F112" s="535"/>
      <c r="G112" s="535"/>
      <c r="H112" s="535"/>
      <c r="I112" s="535"/>
      <c r="J112" s="535"/>
      <c r="K112" s="535"/>
      <c r="L112" s="535"/>
      <c r="M112" s="535"/>
    </row>
    <row r="113" spans="1:13" x14ac:dyDescent="0.2">
      <c r="A113" s="535"/>
      <c r="B113" s="535"/>
      <c r="C113" s="535"/>
      <c r="D113" s="535"/>
      <c r="E113" s="535"/>
      <c r="F113" s="535"/>
      <c r="G113" s="535"/>
      <c r="H113" s="535"/>
      <c r="I113" s="535"/>
      <c r="J113" s="535"/>
      <c r="K113" s="535"/>
      <c r="L113" s="535"/>
      <c r="M113" s="535"/>
    </row>
    <row r="114" spans="1:13" x14ac:dyDescent="0.2">
      <c r="A114" s="535"/>
      <c r="B114" s="535"/>
      <c r="C114" s="535"/>
      <c r="D114" s="535"/>
      <c r="E114" s="535"/>
      <c r="F114" s="535"/>
      <c r="G114" s="535"/>
      <c r="H114" s="535"/>
      <c r="I114" s="535"/>
      <c r="J114" s="535"/>
      <c r="K114" s="535"/>
      <c r="L114" s="535"/>
      <c r="M114" s="535"/>
    </row>
    <row r="115" spans="1:13" x14ac:dyDescent="0.2">
      <c r="A115" s="535"/>
      <c r="B115" s="535"/>
      <c r="C115" s="535"/>
      <c r="D115" s="535"/>
      <c r="E115" s="535"/>
      <c r="F115" s="535"/>
      <c r="G115" s="535"/>
      <c r="H115" s="535"/>
      <c r="I115" s="535"/>
      <c r="J115" s="535"/>
      <c r="K115" s="535"/>
      <c r="L115" s="535"/>
      <c r="M115" s="535"/>
    </row>
    <row r="116" spans="1:13" x14ac:dyDescent="0.2">
      <c r="A116" s="535"/>
      <c r="B116" s="535"/>
      <c r="C116" s="535"/>
      <c r="D116" s="535"/>
      <c r="E116" s="535"/>
      <c r="F116" s="535"/>
      <c r="G116" s="535"/>
      <c r="H116" s="535"/>
      <c r="I116" s="535"/>
      <c r="J116" s="535"/>
      <c r="K116" s="535"/>
      <c r="L116" s="535"/>
      <c r="M116" s="535"/>
    </row>
    <row r="117" spans="1:13" x14ac:dyDescent="0.2">
      <c r="A117" s="535"/>
      <c r="B117" s="535"/>
      <c r="C117" s="535"/>
      <c r="D117" s="535"/>
      <c r="E117" s="535"/>
      <c r="F117" s="535"/>
      <c r="G117" s="535"/>
      <c r="H117" s="535"/>
      <c r="I117" s="535"/>
      <c r="J117" s="535"/>
      <c r="K117" s="535"/>
      <c r="L117" s="535"/>
      <c r="M117" s="535"/>
    </row>
    <row r="118" spans="1:13" x14ac:dyDescent="0.2">
      <c r="A118" s="535"/>
      <c r="B118" s="535"/>
      <c r="C118" s="535"/>
      <c r="D118" s="535"/>
      <c r="E118" s="535"/>
      <c r="F118" s="535"/>
      <c r="G118" s="535"/>
      <c r="H118" s="535"/>
      <c r="I118" s="535"/>
      <c r="J118" s="535"/>
      <c r="K118" s="535"/>
      <c r="L118" s="535"/>
      <c r="M118" s="535"/>
    </row>
    <row r="119" spans="1:13" x14ac:dyDescent="0.2">
      <c r="A119" s="535"/>
      <c r="B119" s="535"/>
      <c r="C119" s="535"/>
      <c r="D119" s="535"/>
      <c r="E119" s="535"/>
      <c r="F119" s="535"/>
      <c r="G119" s="535"/>
      <c r="H119" s="535"/>
      <c r="I119" s="535"/>
      <c r="J119" s="535"/>
      <c r="K119" s="535"/>
      <c r="L119" s="535"/>
      <c r="M119" s="535"/>
    </row>
    <row r="120" spans="1:13" x14ac:dyDescent="0.2">
      <c r="A120" s="535"/>
      <c r="B120" s="535"/>
      <c r="C120" s="535"/>
      <c r="D120" s="535"/>
      <c r="E120" s="535"/>
      <c r="F120" s="535"/>
      <c r="G120" s="535"/>
      <c r="H120" s="535"/>
      <c r="I120" s="535"/>
      <c r="J120" s="535"/>
      <c r="K120" s="535"/>
      <c r="L120" s="535"/>
      <c r="M120" s="535"/>
    </row>
    <row r="121" spans="1:13" x14ac:dyDescent="0.2">
      <c r="A121" s="535"/>
      <c r="B121" s="535"/>
      <c r="C121" s="535"/>
      <c r="D121" s="535"/>
      <c r="E121" s="535"/>
      <c r="F121" s="535"/>
      <c r="G121" s="535"/>
      <c r="H121" s="535"/>
      <c r="I121" s="535"/>
      <c r="J121" s="535"/>
      <c r="K121" s="535"/>
      <c r="L121" s="535"/>
      <c r="M121" s="535"/>
    </row>
    <row r="122" spans="1:13" x14ac:dyDescent="0.2">
      <c r="A122" s="535"/>
      <c r="B122" s="535"/>
      <c r="C122" s="535"/>
      <c r="D122" s="535"/>
      <c r="E122" s="535"/>
      <c r="F122" s="535"/>
      <c r="G122" s="535"/>
      <c r="H122" s="535"/>
      <c r="I122" s="535"/>
      <c r="J122" s="535"/>
      <c r="K122" s="535"/>
      <c r="L122" s="535"/>
      <c r="M122" s="535"/>
    </row>
    <row r="123" spans="1:13" x14ac:dyDescent="0.2">
      <c r="A123" s="535"/>
      <c r="B123" s="535"/>
      <c r="C123" s="535"/>
      <c r="D123" s="535"/>
      <c r="E123" s="535"/>
      <c r="F123" s="535"/>
      <c r="G123" s="535"/>
      <c r="H123" s="535"/>
      <c r="I123" s="535"/>
      <c r="J123" s="535"/>
      <c r="K123" s="535"/>
      <c r="L123" s="535"/>
      <c r="M123" s="535"/>
    </row>
    <row r="124" spans="1:13" x14ac:dyDescent="0.2">
      <c r="A124" s="535"/>
      <c r="B124" s="535"/>
      <c r="C124" s="535"/>
      <c r="D124" s="535"/>
      <c r="E124" s="535"/>
      <c r="F124" s="535"/>
      <c r="G124" s="535"/>
      <c r="H124" s="535"/>
      <c r="I124" s="535"/>
      <c r="J124" s="535"/>
      <c r="K124" s="535"/>
      <c r="L124" s="535"/>
      <c r="M124" s="535"/>
    </row>
    <row r="125" spans="1:13" x14ac:dyDescent="0.2">
      <c r="A125" s="535"/>
      <c r="B125" s="535"/>
      <c r="C125" s="535"/>
      <c r="D125" s="535"/>
      <c r="E125" s="535"/>
      <c r="F125" s="535"/>
      <c r="G125" s="535"/>
      <c r="H125" s="535"/>
      <c r="I125" s="535"/>
      <c r="J125" s="535"/>
      <c r="K125" s="535"/>
      <c r="L125" s="535"/>
      <c r="M125" s="535"/>
    </row>
    <row r="126" spans="1:13" x14ac:dyDescent="0.2">
      <c r="A126" s="535"/>
      <c r="B126" s="535"/>
      <c r="C126" s="535"/>
      <c r="D126" s="535"/>
      <c r="E126" s="535"/>
      <c r="F126" s="535"/>
      <c r="G126" s="535"/>
      <c r="H126" s="535"/>
      <c r="I126" s="535"/>
      <c r="J126" s="535"/>
      <c r="K126" s="535"/>
      <c r="L126" s="535"/>
      <c r="M126" s="535"/>
    </row>
    <row r="127" spans="1:13" x14ac:dyDescent="0.2">
      <c r="A127" s="535"/>
      <c r="B127" s="535"/>
      <c r="C127" s="535"/>
      <c r="D127" s="535"/>
      <c r="E127" s="535"/>
      <c r="F127" s="535"/>
      <c r="G127" s="535"/>
      <c r="H127" s="535"/>
      <c r="I127" s="535"/>
      <c r="J127" s="535"/>
      <c r="K127" s="535"/>
      <c r="L127" s="535"/>
      <c r="M127" s="535"/>
    </row>
    <row r="128" spans="1:13" x14ac:dyDescent="0.2">
      <c r="A128" s="535"/>
      <c r="B128" s="535"/>
      <c r="C128" s="535"/>
      <c r="D128" s="535"/>
      <c r="E128" s="535"/>
      <c r="F128" s="535"/>
      <c r="G128" s="535"/>
      <c r="H128" s="535"/>
      <c r="I128" s="535"/>
      <c r="J128" s="535"/>
      <c r="K128" s="535"/>
      <c r="L128" s="535"/>
      <c r="M128" s="535"/>
    </row>
    <row r="129" spans="1:13" x14ac:dyDescent="0.2">
      <c r="A129" s="535"/>
      <c r="B129" s="535"/>
      <c r="C129" s="535"/>
      <c r="D129" s="535"/>
      <c r="E129" s="535"/>
      <c r="F129" s="535"/>
      <c r="G129" s="535"/>
      <c r="H129" s="535"/>
      <c r="I129" s="535"/>
      <c r="J129" s="535"/>
      <c r="K129" s="535"/>
      <c r="L129" s="535"/>
      <c r="M129" s="535"/>
    </row>
    <row r="130" spans="1:13" x14ac:dyDescent="0.2">
      <c r="A130" s="535"/>
      <c r="B130" s="535"/>
      <c r="C130" s="535"/>
      <c r="D130" s="535"/>
      <c r="E130" s="535"/>
      <c r="F130" s="535"/>
      <c r="G130" s="535"/>
      <c r="H130" s="535"/>
      <c r="I130" s="535"/>
      <c r="J130" s="535"/>
      <c r="K130" s="535"/>
      <c r="L130" s="535"/>
      <c r="M130" s="535"/>
    </row>
    <row r="131" spans="1:13" x14ac:dyDescent="0.2">
      <c r="A131" s="535"/>
      <c r="B131" s="535"/>
      <c r="C131" s="535"/>
      <c r="D131" s="535"/>
      <c r="E131" s="535"/>
      <c r="F131" s="535"/>
      <c r="G131" s="535"/>
      <c r="H131" s="535"/>
      <c r="I131" s="535"/>
      <c r="J131" s="535"/>
      <c r="K131" s="535"/>
      <c r="L131" s="535"/>
      <c r="M131" s="535"/>
    </row>
    <row r="132" spans="1:13" x14ac:dyDescent="0.2">
      <c r="A132" s="535"/>
      <c r="B132" s="535"/>
      <c r="C132" s="535"/>
      <c r="D132" s="535"/>
      <c r="E132" s="535"/>
      <c r="F132" s="535"/>
      <c r="G132" s="535"/>
      <c r="H132" s="535"/>
      <c r="I132" s="535"/>
      <c r="J132" s="535"/>
      <c r="K132" s="535"/>
      <c r="L132" s="535"/>
      <c r="M132" s="535"/>
    </row>
    <row r="133" spans="1:13" x14ac:dyDescent="0.2">
      <c r="A133" s="535"/>
      <c r="B133" s="535"/>
      <c r="C133" s="535"/>
      <c r="D133" s="535"/>
      <c r="E133" s="535"/>
      <c r="F133" s="535"/>
      <c r="G133" s="535"/>
      <c r="H133" s="535"/>
      <c r="I133" s="535"/>
      <c r="J133" s="535"/>
      <c r="K133" s="535"/>
      <c r="L133" s="535"/>
      <c r="M133" s="535"/>
    </row>
    <row r="134" spans="1:13" x14ac:dyDescent="0.2">
      <c r="A134" s="535"/>
      <c r="B134" s="535"/>
      <c r="C134" s="535"/>
      <c r="D134" s="535"/>
      <c r="E134" s="535"/>
      <c r="F134" s="535"/>
      <c r="G134" s="535"/>
      <c r="H134" s="535"/>
      <c r="I134" s="535"/>
      <c r="J134" s="535"/>
      <c r="K134" s="535"/>
      <c r="L134" s="535"/>
      <c r="M134" s="535"/>
    </row>
    <row r="135" spans="1:13" x14ac:dyDescent="0.2">
      <c r="A135" s="535"/>
      <c r="B135" s="535"/>
      <c r="C135" s="535"/>
      <c r="D135" s="535"/>
      <c r="E135" s="535"/>
      <c r="F135" s="535"/>
      <c r="G135" s="535"/>
      <c r="H135" s="535"/>
      <c r="I135" s="535"/>
      <c r="J135" s="535"/>
      <c r="K135" s="535"/>
      <c r="L135" s="535"/>
      <c r="M135" s="535"/>
    </row>
    <row r="136" spans="1:13" x14ac:dyDescent="0.2">
      <c r="A136" s="535"/>
      <c r="B136" s="535"/>
      <c r="C136" s="535"/>
      <c r="D136" s="535"/>
      <c r="E136" s="535"/>
      <c r="F136" s="535"/>
      <c r="G136" s="535"/>
      <c r="H136" s="535"/>
      <c r="I136" s="535"/>
      <c r="J136" s="535"/>
      <c r="K136" s="535"/>
      <c r="L136" s="535"/>
      <c r="M136" s="535"/>
    </row>
    <row r="137" spans="1:13" x14ac:dyDescent="0.2">
      <c r="A137" s="535"/>
      <c r="B137" s="535"/>
      <c r="C137" s="535"/>
      <c r="D137" s="535"/>
      <c r="E137" s="535"/>
      <c r="F137" s="535"/>
      <c r="G137" s="535"/>
      <c r="H137" s="535"/>
      <c r="I137" s="535"/>
      <c r="J137" s="535"/>
      <c r="K137" s="535"/>
      <c r="L137" s="535"/>
      <c r="M137" s="535"/>
    </row>
    <row r="138" spans="1:13" x14ac:dyDescent="0.2">
      <c r="A138" s="535"/>
      <c r="B138" s="535"/>
      <c r="C138" s="535"/>
      <c r="D138" s="535"/>
      <c r="E138" s="535"/>
      <c r="F138" s="535"/>
      <c r="G138" s="535"/>
      <c r="H138" s="535"/>
      <c r="I138" s="535"/>
      <c r="J138" s="535"/>
      <c r="K138" s="535"/>
      <c r="L138" s="535"/>
      <c r="M138" s="535"/>
    </row>
    <row r="139" spans="1:13" x14ac:dyDescent="0.2">
      <c r="A139" s="535"/>
      <c r="B139" s="535"/>
      <c r="C139" s="535"/>
      <c r="D139" s="535"/>
      <c r="E139" s="535"/>
      <c r="F139" s="535"/>
      <c r="G139" s="535"/>
      <c r="H139" s="535"/>
      <c r="I139" s="535"/>
      <c r="J139" s="535"/>
      <c r="K139" s="535"/>
      <c r="L139" s="535"/>
      <c r="M139" s="535"/>
    </row>
    <row r="140" spans="1:13" x14ac:dyDescent="0.2">
      <c r="A140" s="535"/>
      <c r="B140" s="535"/>
      <c r="C140" s="535"/>
      <c r="D140" s="535"/>
      <c r="E140" s="535"/>
      <c r="F140" s="535"/>
      <c r="G140" s="535"/>
      <c r="H140" s="535"/>
      <c r="I140" s="535"/>
      <c r="J140" s="535"/>
      <c r="K140" s="535"/>
      <c r="L140" s="535"/>
      <c r="M140" s="535"/>
    </row>
    <row r="141" spans="1:13" x14ac:dyDescent="0.2">
      <c r="A141" s="535"/>
      <c r="B141" s="535"/>
      <c r="C141" s="535"/>
      <c r="D141" s="535"/>
      <c r="E141" s="535"/>
      <c r="F141" s="535"/>
      <c r="G141" s="535"/>
      <c r="H141" s="535"/>
      <c r="I141" s="535"/>
      <c r="J141" s="535"/>
      <c r="K141" s="535"/>
      <c r="L141" s="535"/>
      <c r="M141" s="535"/>
    </row>
    <row r="142" spans="1:13" x14ac:dyDescent="0.2">
      <c r="A142" s="535"/>
      <c r="B142" s="535"/>
      <c r="C142" s="535"/>
      <c r="D142" s="535"/>
      <c r="E142" s="535"/>
      <c r="F142" s="535"/>
      <c r="G142" s="535"/>
      <c r="H142" s="535"/>
      <c r="I142" s="535"/>
      <c r="J142" s="535"/>
      <c r="K142" s="535"/>
      <c r="L142" s="535"/>
      <c r="M142" s="535"/>
    </row>
    <row r="143" spans="1:13" x14ac:dyDescent="0.2">
      <c r="A143" s="535"/>
      <c r="B143" s="535"/>
      <c r="C143" s="535"/>
      <c r="D143" s="535"/>
      <c r="E143" s="535"/>
      <c r="F143" s="535"/>
      <c r="G143" s="535"/>
      <c r="H143" s="535"/>
      <c r="I143" s="535"/>
      <c r="J143" s="535"/>
      <c r="K143" s="535"/>
      <c r="L143" s="535"/>
      <c r="M143" s="535"/>
    </row>
    <row r="144" spans="1:13" x14ac:dyDescent="0.2">
      <c r="A144" s="535"/>
      <c r="B144" s="535"/>
      <c r="C144" s="535"/>
      <c r="D144" s="535"/>
      <c r="E144" s="535"/>
      <c r="F144" s="535"/>
      <c r="G144" s="535"/>
      <c r="H144" s="535"/>
      <c r="I144" s="535"/>
      <c r="J144" s="535"/>
      <c r="K144" s="535"/>
      <c r="L144" s="535"/>
      <c r="M144" s="535"/>
    </row>
    <row r="145" spans="1:13" x14ac:dyDescent="0.2">
      <c r="A145" s="535"/>
      <c r="B145" s="535"/>
      <c r="C145" s="535"/>
      <c r="D145" s="535"/>
      <c r="E145" s="535"/>
      <c r="F145" s="535"/>
      <c r="G145" s="535"/>
      <c r="H145" s="535"/>
      <c r="I145" s="535"/>
      <c r="J145" s="535"/>
      <c r="K145" s="535"/>
      <c r="L145" s="535"/>
      <c r="M145" s="535"/>
    </row>
    <row r="146" spans="1:13" x14ac:dyDescent="0.2">
      <c r="A146" s="535"/>
      <c r="B146" s="535"/>
      <c r="C146" s="535"/>
      <c r="D146" s="535"/>
      <c r="E146" s="535"/>
      <c r="F146" s="535"/>
      <c r="G146" s="535"/>
      <c r="H146" s="535"/>
      <c r="I146" s="535"/>
      <c r="J146" s="535"/>
      <c r="K146" s="535"/>
      <c r="L146" s="535"/>
      <c r="M146" s="535"/>
    </row>
    <row r="147" spans="1:13" x14ac:dyDescent="0.2">
      <c r="A147" s="535"/>
      <c r="B147" s="535"/>
      <c r="C147" s="535"/>
      <c r="D147" s="535"/>
      <c r="E147" s="535"/>
      <c r="F147" s="535"/>
      <c r="G147" s="535"/>
      <c r="H147" s="535"/>
      <c r="I147" s="535"/>
      <c r="J147" s="535"/>
      <c r="K147" s="535"/>
      <c r="L147" s="535"/>
      <c r="M147" s="535"/>
    </row>
    <row r="148" spans="1:13" x14ac:dyDescent="0.2">
      <c r="A148" s="535"/>
      <c r="B148" s="535"/>
      <c r="C148" s="535"/>
      <c r="D148" s="535"/>
      <c r="E148" s="535"/>
      <c r="F148" s="535"/>
      <c r="G148" s="535"/>
      <c r="H148" s="535"/>
      <c r="I148" s="535"/>
      <c r="J148" s="535"/>
      <c r="K148" s="535"/>
      <c r="L148" s="535"/>
      <c r="M148" s="535"/>
    </row>
    <row r="149" spans="1:13" x14ac:dyDescent="0.2">
      <c r="A149" s="535"/>
      <c r="B149" s="535"/>
      <c r="C149" s="535"/>
      <c r="D149" s="535"/>
      <c r="E149" s="535"/>
      <c r="F149" s="535"/>
      <c r="G149" s="535"/>
      <c r="H149" s="535"/>
      <c r="I149" s="535"/>
      <c r="J149" s="535"/>
      <c r="K149" s="535"/>
      <c r="L149" s="535"/>
      <c r="M149" s="535"/>
    </row>
    <row r="150" spans="1:13" x14ac:dyDescent="0.2">
      <c r="A150" s="535"/>
      <c r="B150" s="535"/>
      <c r="C150" s="535"/>
      <c r="D150" s="535"/>
      <c r="E150" s="535"/>
      <c r="F150" s="535"/>
      <c r="G150" s="535"/>
      <c r="H150" s="535"/>
      <c r="I150" s="535"/>
      <c r="J150" s="535"/>
      <c r="K150" s="535"/>
      <c r="L150" s="535"/>
      <c r="M150" s="535"/>
    </row>
    <row r="151" spans="1:13" x14ac:dyDescent="0.2">
      <c r="A151" s="535"/>
      <c r="B151" s="535"/>
      <c r="C151" s="535"/>
      <c r="D151" s="535"/>
      <c r="E151" s="535"/>
      <c r="F151" s="535"/>
      <c r="G151" s="535"/>
      <c r="H151" s="535"/>
      <c r="I151" s="535"/>
      <c r="J151" s="535"/>
      <c r="K151" s="535"/>
      <c r="L151" s="535"/>
      <c r="M151" s="535"/>
    </row>
    <row r="152" spans="1:13" x14ac:dyDescent="0.2">
      <c r="A152" s="535"/>
      <c r="B152" s="535"/>
      <c r="C152" s="535"/>
      <c r="D152" s="535"/>
      <c r="E152" s="535"/>
      <c r="F152" s="535"/>
      <c r="G152" s="535"/>
      <c r="H152" s="535"/>
      <c r="I152" s="535"/>
      <c r="J152" s="535"/>
      <c r="K152" s="535"/>
      <c r="L152" s="535"/>
      <c r="M152" s="535"/>
    </row>
    <row r="153" spans="1:13" x14ac:dyDescent="0.2">
      <c r="A153" s="535"/>
      <c r="B153" s="535"/>
      <c r="C153" s="535"/>
      <c r="D153" s="535"/>
      <c r="E153" s="535"/>
      <c r="F153" s="535"/>
      <c r="G153" s="535"/>
      <c r="H153" s="535"/>
      <c r="I153" s="535"/>
      <c r="J153" s="535"/>
      <c r="K153" s="535"/>
      <c r="L153" s="535"/>
      <c r="M153" s="535"/>
    </row>
    <row r="154" spans="1:13" x14ac:dyDescent="0.2">
      <c r="A154" s="535"/>
      <c r="B154" s="535"/>
      <c r="C154" s="535"/>
      <c r="D154" s="535"/>
      <c r="E154" s="535"/>
      <c r="F154" s="535"/>
      <c r="G154" s="535"/>
      <c r="H154" s="535"/>
      <c r="I154" s="535"/>
      <c r="J154" s="535"/>
      <c r="K154" s="535"/>
      <c r="L154" s="535"/>
      <c r="M154" s="535"/>
    </row>
    <row r="155" spans="1:13" x14ac:dyDescent="0.2">
      <c r="A155" s="535"/>
      <c r="B155" s="535"/>
      <c r="C155" s="535"/>
      <c r="D155" s="535"/>
      <c r="E155" s="535"/>
      <c r="F155" s="535"/>
      <c r="G155" s="535"/>
      <c r="H155" s="535"/>
      <c r="I155" s="535"/>
      <c r="J155" s="535"/>
      <c r="K155" s="535"/>
      <c r="L155" s="535"/>
      <c r="M155" s="535"/>
    </row>
    <row r="156" spans="1:13" x14ac:dyDescent="0.2">
      <c r="A156" s="535"/>
      <c r="B156" s="535"/>
      <c r="C156" s="535"/>
      <c r="D156" s="535"/>
      <c r="E156" s="535"/>
      <c r="F156" s="535"/>
      <c r="G156" s="535"/>
      <c r="H156" s="535"/>
      <c r="I156" s="535"/>
      <c r="J156" s="535"/>
      <c r="K156" s="535"/>
      <c r="L156" s="535"/>
      <c r="M156" s="535"/>
    </row>
    <row r="157" spans="1:13" x14ac:dyDescent="0.2">
      <c r="A157" s="535"/>
      <c r="B157" s="535"/>
      <c r="C157" s="535"/>
      <c r="D157" s="535"/>
      <c r="E157" s="535"/>
      <c r="F157" s="535"/>
      <c r="G157" s="535"/>
      <c r="H157" s="535"/>
      <c r="I157" s="535"/>
      <c r="J157" s="535"/>
      <c r="K157" s="535"/>
      <c r="L157" s="535"/>
      <c r="M157" s="535"/>
    </row>
    <row r="158" spans="1:13" x14ac:dyDescent="0.2">
      <c r="A158" s="535"/>
      <c r="B158" s="535"/>
      <c r="C158" s="535"/>
      <c r="D158" s="535"/>
      <c r="E158" s="535"/>
      <c r="F158" s="535"/>
      <c r="G158" s="535"/>
      <c r="H158" s="535"/>
      <c r="I158" s="535"/>
      <c r="J158" s="535"/>
      <c r="K158" s="535"/>
      <c r="L158" s="535"/>
      <c r="M158" s="535"/>
    </row>
    <row r="159" spans="1:13" x14ac:dyDescent="0.2">
      <c r="A159" s="535"/>
      <c r="B159" s="535"/>
      <c r="C159" s="535"/>
      <c r="D159" s="535"/>
      <c r="E159" s="535"/>
      <c r="F159" s="535"/>
      <c r="G159" s="535"/>
      <c r="H159" s="535"/>
      <c r="I159" s="535"/>
      <c r="J159" s="535"/>
      <c r="K159" s="535"/>
      <c r="L159" s="535"/>
      <c r="M159" s="535"/>
    </row>
    <row r="160" spans="1:13" x14ac:dyDescent="0.2">
      <c r="A160" s="535"/>
      <c r="B160" s="535"/>
      <c r="C160" s="535"/>
      <c r="D160" s="535"/>
      <c r="E160" s="535"/>
      <c r="F160" s="535"/>
      <c r="G160" s="535"/>
      <c r="H160" s="535"/>
      <c r="I160" s="535"/>
      <c r="J160" s="535"/>
      <c r="K160" s="535"/>
      <c r="L160" s="535"/>
      <c r="M160" s="535"/>
    </row>
    <row r="161" spans="1:13" x14ac:dyDescent="0.2">
      <c r="A161" s="535"/>
      <c r="B161" s="535"/>
      <c r="C161" s="535"/>
      <c r="D161" s="535"/>
      <c r="E161" s="535"/>
      <c r="F161" s="535"/>
      <c r="G161" s="535"/>
      <c r="H161" s="535"/>
      <c r="I161" s="535"/>
      <c r="J161" s="535"/>
      <c r="K161" s="535"/>
      <c r="L161" s="535"/>
      <c r="M161" s="535"/>
    </row>
    <row r="162" spans="1:13" x14ac:dyDescent="0.2">
      <c r="A162" s="535"/>
      <c r="B162" s="535"/>
      <c r="C162" s="535"/>
      <c r="D162" s="535"/>
      <c r="E162" s="535"/>
      <c r="F162" s="535"/>
      <c r="G162" s="535"/>
      <c r="H162" s="535"/>
      <c r="I162" s="535"/>
      <c r="J162" s="535"/>
      <c r="K162" s="535"/>
      <c r="L162" s="535"/>
      <c r="M162" s="535"/>
    </row>
    <row r="163" spans="1:13" x14ac:dyDescent="0.2">
      <c r="A163" s="535"/>
      <c r="B163" s="535"/>
      <c r="C163" s="535"/>
      <c r="D163" s="535"/>
      <c r="E163" s="535"/>
      <c r="F163" s="535"/>
      <c r="G163" s="535"/>
      <c r="H163" s="535"/>
      <c r="I163" s="535"/>
      <c r="J163" s="535"/>
      <c r="K163" s="535"/>
      <c r="L163" s="535"/>
      <c r="M163" s="535"/>
    </row>
    <row r="164" spans="1:13" x14ac:dyDescent="0.2">
      <c r="A164" s="535"/>
      <c r="B164" s="535"/>
      <c r="C164" s="535"/>
      <c r="D164" s="535"/>
      <c r="E164" s="535"/>
      <c r="F164" s="535"/>
      <c r="G164" s="535"/>
      <c r="H164" s="535"/>
      <c r="I164" s="535"/>
      <c r="J164" s="535"/>
      <c r="K164" s="535"/>
      <c r="L164" s="535"/>
      <c r="M164" s="535"/>
    </row>
    <row r="165" spans="1:13" x14ac:dyDescent="0.2">
      <c r="A165" s="535"/>
      <c r="B165" s="535"/>
      <c r="C165" s="535"/>
      <c r="D165" s="535"/>
      <c r="E165" s="535"/>
      <c r="F165" s="535"/>
      <c r="G165" s="535"/>
      <c r="H165" s="535"/>
      <c r="I165" s="535"/>
      <c r="J165" s="535"/>
      <c r="K165" s="535"/>
      <c r="L165" s="535"/>
      <c r="M165" s="535"/>
    </row>
    <row r="166" spans="1:13" x14ac:dyDescent="0.2">
      <c r="A166" s="535"/>
      <c r="B166" s="535"/>
      <c r="C166" s="535"/>
      <c r="D166" s="535"/>
      <c r="E166" s="535"/>
      <c r="F166" s="535"/>
      <c r="G166" s="535"/>
      <c r="H166" s="535"/>
      <c r="I166" s="535"/>
      <c r="J166" s="535"/>
      <c r="K166" s="535"/>
      <c r="L166" s="535"/>
      <c r="M166" s="535"/>
    </row>
    <row r="167" spans="1:13" x14ac:dyDescent="0.2">
      <c r="A167" s="535"/>
      <c r="B167" s="535"/>
      <c r="C167" s="535"/>
      <c r="D167" s="535"/>
      <c r="E167" s="535"/>
      <c r="F167" s="535"/>
      <c r="G167" s="535"/>
      <c r="H167" s="535"/>
      <c r="I167" s="535"/>
      <c r="J167" s="535"/>
      <c r="K167" s="535"/>
      <c r="L167" s="535"/>
      <c r="M167" s="535"/>
    </row>
    <row r="168" spans="1:13" x14ac:dyDescent="0.2">
      <c r="A168" s="535"/>
      <c r="B168" s="535"/>
      <c r="C168" s="535"/>
      <c r="D168" s="535"/>
      <c r="E168" s="535"/>
      <c r="F168" s="535"/>
      <c r="G168" s="535"/>
      <c r="H168" s="535"/>
      <c r="I168" s="535"/>
      <c r="J168" s="535"/>
      <c r="K168" s="535"/>
      <c r="L168" s="535"/>
      <c r="M168" s="535"/>
    </row>
    <row r="169" spans="1:13" x14ac:dyDescent="0.2">
      <c r="A169" s="535"/>
      <c r="B169" s="535"/>
      <c r="C169" s="535"/>
      <c r="D169" s="535"/>
      <c r="E169" s="535"/>
      <c r="F169" s="535"/>
      <c r="G169" s="535"/>
      <c r="H169" s="535"/>
      <c r="I169" s="535"/>
      <c r="J169" s="535"/>
      <c r="K169" s="535"/>
      <c r="L169" s="535"/>
      <c r="M169" s="535"/>
    </row>
    <row r="170" spans="1:13" x14ac:dyDescent="0.2">
      <c r="A170" s="535"/>
      <c r="B170" s="535"/>
      <c r="C170" s="535"/>
      <c r="D170" s="535"/>
      <c r="E170" s="535"/>
      <c r="F170" s="535"/>
      <c r="G170" s="535"/>
      <c r="H170" s="535"/>
      <c r="I170" s="535"/>
      <c r="J170" s="535"/>
      <c r="K170" s="535"/>
      <c r="L170" s="535"/>
      <c r="M170" s="535"/>
    </row>
    <row r="171" spans="1:13" x14ac:dyDescent="0.2">
      <c r="A171" s="535"/>
      <c r="B171" s="535"/>
      <c r="C171" s="535"/>
      <c r="D171" s="535"/>
      <c r="E171" s="535"/>
      <c r="F171" s="535"/>
      <c r="G171" s="535"/>
      <c r="H171" s="535"/>
      <c r="I171" s="535"/>
      <c r="J171" s="535"/>
      <c r="K171" s="535"/>
      <c r="L171" s="535"/>
      <c r="M171" s="535"/>
    </row>
    <row r="172" spans="1:13" x14ac:dyDescent="0.2">
      <c r="A172" s="535"/>
      <c r="B172" s="535"/>
      <c r="C172" s="535"/>
      <c r="D172" s="535"/>
      <c r="E172" s="535"/>
      <c r="F172" s="535"/>
      <c r="G172" s="535"/>
      <c r="H172" s="535"/>
      <c r="I172" s="535"/>
      <c r="J172" s="535"/>
      <c r="K172" s="535"/>
      <c r="L172" s="535"/>
      <c r="M172" s="535"/>
    </row>
    <row r="173" spans="1:13" x14ac:dyDescent="0.2">
      <c r="A173" s="535"/>
      <c r="B173" s="535"/>
      <c r="C173" s="535"/>
      <c r="D173" s="535"/>
      <c r="E173" s="535"/>
      <c r="F173" s="535"/>
      <c r="G173" s="535"/>
      <c r="H173" s="535"/>
      <c r="I173" s="535"/>
      <c r="J173" s="535"/>
      <c r="K173" s="535"/>
      <c r="L173" s="535"/>
      <c r="M173" s="535"/>
    </row>
    <row r="174" spans="1:13" x14ac:dyDescent="0.2">
      <c r="A174" s="535"/>
      <c r="B174" s="535"/>
      <c r="C174" s="535"/>
      <c r="D174" s="535"/>
      <c r="E174" s="535"/>
      <c r="F174" s="535"/>
      <c r="G174" s="535"/>
      <c r="H174" s="535"/>
      <c r="I174" s="535"/>
      <c r="J174" s="535"/>
      <c r="K174" s="535"/>
      <c r="L174" s="535"/>
      <c r="M174" s="535"/>
    </row>
    <row r="175" spans="1:13" x14ac:dyDescent="0.2">
      <c r="A175" s="535"/>
      <c r="B175" s="535"/>
      <c r="C175" s="535"/>
      <c r="D175" s="535"/>
      <c r="E175" s="535"/>
      <c r="F175" s="535"/>
      <c r="G175" s="535"/>
      <c r="H175" s="535"/>
      <c r="I175" s="535"/>
      <c r="J175" s="535"/>
      <c r="K175" s="535"/>
      <c r="L175" s="535"/>
      <c r="M175" s="535"/>
    </row>
    <row r="176" spans="1:13" x14ac:dyDescent="0.2">
      <c r="A176" s="535"/>
      <c r="B176" s="535"/>
      <c r="C176" s="535"/>
      <c r="D176" s="535"/>
      <c r="E176" s="535"/>
      <c r="F176" s="535"/>
      <c r="G176" s="535"/>
      <c r="H176" s="535"/>
      <c r="I176" s="535"/>
      <c r="J176" s="535"/>
      <c r="K176" s="535"/>
      <c r="L176" s="535"/>
      <c r="M176" s="535"/>
    </row>
    <row r="177" spans="1:13" x14ac:dyDescent="0.2">
      <c r="A177" s="535"/>
      <c r="B177" s="535"/>
      <c r="C177" s="535"/>
      <c r="D177" s="535"/>
      <c r="E177" s="535"/>
      <c r="F177" s="535"/>
      <c r="G177" s="535"/>
      <c r="H177" s="535"/>
      <c r="I177" s="535"/>
      <c r="J177" s="535"/>
      <c r="K177" s="535"/>
      <c r="L177" s="535"/>
      <c r="M177" s="535"/>
    </row>
    <row r="178" spans="1:13" x14ac:dyDescent="0.2">
      <c r="A178" s="535"/>
      <c r="B178" s="535"/>
      <c r="C178" s="535"/>
      <c r="D178" s="535"/>
      <c r="E178" s="535"/>
      <c r="F178" s="535"/>
      <c r="G178" s="535"/>
      <c r="H178" s="535"/>
      <c r="I178" s="535"/>
      <c r="J178" s="535"/>
      <c r="K178" s="535"/>
      <c r="L178" s="535"/>
      <c r="M178" s="535"/>
    </row>
    <row r="179" spans="1:13" x14ac:dyDescent="0.2">
      <c r="A179" s="535"/>
      <c r="B179" s="535"/>
      <c r="C179" s="535"/>
      <c r="D179" s="535"/>
      <c r="E179" s="535"/>
      <c r="F179" s="535"/>
      <c r="G179" s="535"/>
      <c r="H179" s="535"/>
      <c r="I179" s="535"/>
      <c r="J179" s="535"/>
      <c r="K179" s="535"/>
      <c r="L179" s="535"/>
      <c r="M179" s="535"/>
    </row>
    <row r="180" spans="1:13" x14ac:dyDescent="0.2">
      <c r="A180" s="535"/>
      <c r="B180" s="535"/>
      <c r="C180" s="535"/>
      <c r="D180" s="535"/>
      <c r="E180" s="535"/>
      <c r="F180" s="535"/>
      <c r="G180" s="535"/>
      <c r="H180" s="535"/>
      <c r="I180" s="535"/>
      <c r="J180" s="535"/>
      <c r="K180" s="535"/>
      <c r="L180" s="535"/>
      <c r="M180" s="535"/>
    </row>
    <row r="181" spans="1:13" x14ac:dyDescent="0.2">
      <c r="A181" s="535"/>
      <c r="B181" s="535"/>
      <c r="C181" s="535"/>
      <c r="D181" s="535"/>
      <c r="E181" s="535"/>
      <c r="F181" s="535"/>
      <c r="G181" s="535"/>
      <c r="H181" s="535"/>
      <c r="I181" s="535"/>
      <c r="J181" s="535"/>
      <c r="K181" s="535"/>
      <c r="L181" s="535"/>
      <c r="M181" s="535"/>
    </row>
    <row r="182" spans="1:13" x14ac:dyDescent="0.2">
      <c r="A182" s="535"/>
      <c r="B182" s="535"/>
      <c r="C182" s="535"/>
      <c r="D182" s="535"/>
      <c r="E182" s="535"/>
      <c r="F182" s="535"/>
      <c r="G182" s="535"/>
      <c r="H182" s="535"/>
      <c r="I182" s="535"/>
      <c r="J182" s="535"/>
      <c r="K182" s="535"/>
      <c r="L182" s="535"/>
      <c r="M182" s="535"/>
    </row>
    <row r="183" spans="1:13" x14ac:dyDescent="0.2">
      <c r="A183" s="535"/>
      <c r="B183" s="535"/>
      <c r="C183" s="535"/>
      <c r="D183" s="535"/>
      <c r="E183" s="535"/>
      <c r="F183" s="535"/>
      <c r="G183" s="535"/>
      <c r="H183" s="535"/>
      <c r="I183" s="535"/>
      <c r="J183" s="535"/>
      <c r="K183" s="535"/>
      <c r="L183" s="535"/>
      <c r="M183" s="535"/>
    </row>
    <row r="184" spans="1:13" x14ac:dyDescent="0.2">
      <c r="A184" s="535"/>
      <c r="B184" s="535"/>
      <c r="C184" s="535"/>
      <c r="D184" s="535"/>
      <c r="E184" s="535"/>
      <c r="F184" s="535"/>
      <c r="G184" s="535"/>
      <c r="H184" s="535"/>
      <c r="I184" s="535"/>
      <c r="J184" s="535"/>
      <c r="K184" s="535"/>
      <c r="L184" s="535"/>
      <c r="M184" s="535"/>
    </row>
    <row r="185" spans="1:13" x14ac:dyDescent="0.2">
      <c r="A185" s="535"/>
      <c r="B185" s="535"/>
      <c r="C185" s="535"/>
      <c r="D185" s="535"/>
      <c r="E185" s="535"/>
      <c r="F185" s="535"/>
      <c r="G185" s="535"/>
      <c r="H185" s="535"/>
      <c r="I185" s="535"/>
      <c r="J185" s="535"/>
      <c r="K185" s="535"/>
      <c r="L185" s="535"/>
      <c r="M185" s="535"/>
    </row>
    <row r="186" spans="1:13" x14ac:dyDescent="0.2">
      <c r="A186" s="535"/>
      <c r="B186" s="535"/>
      <c r="C186" s="535"/>
      <c r="D186" s="535"/>
      <c r="E186" s="535"/>
      <c r="F186" s="535"/>
      <c r="G186" s="535"/>
      <c r="H186" s="535"/>
      <c r="I186" s="535"/>
      <c r="J186" s="535"/>
      <c r="K186" s="535"/>
      <c r="L186" s="535"/>
      <c r="M186" s="535"/>
    </row>
    <row r="187" spans="1:13" x14ac:dyDescent="0.2">
      <c r="A187" s="535"/>
      <c r="B187" s="535"/>
      <c r="C187" s="535"/>
      <c r="D187" s="535"/>
      <c r="E187" s="535"/>
      <c r="F187" s="535"/>
      <c r="G187" s="535"/>
      <c r="H187" s="535"/>
      <c r="I187" s="535"/>
      <c r="J187" s="535"/>
      <c r="K187" s="535"/>
      <c r="L187" s="535"/>
      <c r="M187" s="535"/>
    </row>
    <row r="188" spans="1:13" x14ac:dyDescent="0.2">
      <c r="A188" s="535"/>
      <c r="B188" s="535"/>
      <c r="C188" s="535"/>
      <c r="D188" s="535"/>
      <c r="E188" s="535"/>
      <c r="F188" s="535"/>
      <c r="G188" s="535"/>
      <c r="H188" s="535"/>
      <c r="I188" s="535"/>
      <c r="J188" s="535"/>
      <c r="K188" s="535"/>
      <c r="L188" s="535"/>
      <c r="M188" s="535"/>
    </row>
    <row r="189" spans="1:13" x14ac:dyDescent="0.2">
      <c r="A189" s="535"/>
      <c r="B189" s="535"/>
      <c r="C189" s="535"/>
      <c r="D189" s="535"/>
      <c r="E189" s="535"/>
      <c r="F189" s="535"/>
      <c r="G189" s="535"/>
      <c r="H189" s="535"/>
      <c r="I189" s="535"/>
      <c r="J189" s="535"/>
      <c r="K189" s="535"/>
      <c r="L189" s="535"/>
      <c r="M189" s="535"/>
    </row>
    <row r="190" spans="1:13" x14ac:dyDescent="0.2">
      <c r="A190" s="535"/>
      <c r="B190" s="535"/>
      <c r="C190" s="535"/>
      <c r="D190" s="535"/>
      <c r="E190" s="535"/>
      <c r="F190" s="535"/>
      <c r="G190" s="535"/>
      <c r="H190" s="535"/>
      <c r="I190" s="535"/>
      <c r="J190" s="535"/>
      <c r="K190" s="535"/>
      <c r="L190" s="535"/>
      <c r="M190" s="535"/>
    </row>
    <row r="191" spans="1:13" x14ac:dyDescent="0.2">
      <c r="A191" s="535"/>
      <c r="B191" s="535"/>
      <c r="C191" s="535"/>
      <c r="D191" s="535"/>
      <c r="E191" s="535"/>
      <c r="F191" s="535"/>
      <c r="G191" s="535"/>
      <c r="H191" s="535"/>
      <c r="I191" s="535"/>
      <c r="J191" s="535"/>
      <c r="K191" s="535"/>
      <c r="L191" s="535"/>
      <c r="M191" s="535"/>
    </row>
    <row r="192" spans="1:13" x14ac:dyDescent="0.2">
      <c r="A192" s="535"/>
      <c r="B192" s="535"/>
      <c r="C192" s="535"/>
      <c r="D192" s="535"/>
      <c r="E192" s="535"/>
      <c r="F192" s="535"/>
      <c r="G192" s="535"/>
      <c r="H192" s="535"/>
      <c r="I192" s="535"/>
      <c r="J192" s="535"/>
      <c r="K192" s="535"/>
      <c r="L192" s="535"/>
      <c r="M192" s="535"/>
    </row>
    <row r="193" spans="1:13" x14ac:dyDescent="0.2">
      <c r="A193" s="535"/>
      <c r="B193" s="535"/>
      <c r="C193" s="535"/>
      <c r="D193" s="535"/>
      <c r="E193" s="535"/>
      <c r="F193" s="535"/>
      <c r="G193" s="535"/>
      <c r="H193" s="535"/>
      <c r="I193" s="535"/>
      <c r="J193" s="535"/>
      <c r="K193" s="535"/>
      <c r="L193" s="535"/>
      <c r="M193" s="535"/>
    </row>
    <row r="194" spans="1:13" x14ac:dyDescent="0.2">
      <c r="A194" s="535"/>
      <c r="B194" s="535"/>
      <c r="C194" s="535"/>
      <c r="D194" s="535"/>
      <c r="E194" s="535"/>
      <c r="F194" s="535"/>
      <c r="G194" s="535"/>
      <c r="H194" s="535"/>
      <c r="I194" s="535"/>
      <c r="J194" s="535"/>
      <c r="K194" s="535"/>
      <c r="L194" s="535"/>
      <c r="M194" s="535"/>
    </row>
    <row r="195" spans="1:13" x14ac:dyDescent="0.2">
      <c r="A195" s="535"/>
      <c r="B195" s="535"/>
      <c r="C195" s="535"/>
      <c r="D195" s="535"/>
      <c r="E195" s="535"/>
      <c r="F195" s="535"/>
      <c r="G195" s="535"/>
      <c r="H195" s="535"/>
      <c r="I195" s="535"/>
      <c r="J195" s="535"/>
      <c r="K195" s="535"/>
      <c r="L195" s="535"/>
      <c r="M195" s="535"/>
    </row>
    <row r="196" spans="1:13" x14ac:dyDescent="0.2">
      <c r="A196" s="535"/>
      <c r="B196" s="535"/>
      <c r="C196" s="535"/>
      <c r="D196" s="535"/>
      <c r="E196" s="535"/>
      <c r="F196" s="535"/>
      <c r="G196" s="535"/>
      <c r="H196" s="535"/>
      <c r="I196" s="535"/>
      <c r="J196" s="535"/>
      <c r="K196" s="535"/>
      <c r="L196" s="535"/>
      <c r="M196" s="535"/>
    </row>
    <row r="197" spans="1:13" x14ac:dyDescent="0.2">
      <c r="A197" s="535"/>
      <c r="B197" s="535"/>
      <c r="C197" s="535"/>
      <c r="D197" s="535"/>
      <c r="E197" s="535"/>
      <c r="F197" s="535"/>
      <c r="G197" s="535"/>
      <c r="H197" s="535"/>
      <c r="I197" s="535"/>
      <c r="J197" s="535"/>
      <c r="K197" s="535"/>
      <c r="L197" s="535"/>
      <c r="M197" s="535"/>
    </row>
    <row r="198" spans="1:13" x14ac:dyDescent="0.2">
      <c r="A198" s="535"/>
      <c r="B198" s="535"/>
      <c r="C198" s="535"/>
      <c r="D198" s="535"/>
      <c r="E198" s="535"/>
      <c r="F198" s="535"/>
      <c r="G198" s="535"/>
      <c r="H198" s="535"/>
      <c r="I198" s="535"/>
      <c r="J198" s="535"/>
      <c r="K198" s="535"/>
      <c r="L198" s="535"/>
      <c r="M198" s="535"/>
    </row>
    <row r="199" spans="1:13" x14ac:dyDescent="0.2">
      <c r="A199" s="535"/>
      <c r="B199" s="535"/>
      <c r="C199" s="535"/>
      <c r="D199" s="535"/>
      <c r="E199" s="535"/>
      <c r="F199" s="535"/>
      <c r="G199" s="535"/>
      <c r="H199" s="535"/>
      <c r="I199" s="535"/>
      <c r="J199" s="535"/>
      <c r="K199" s="535"/>
      <c r="L199" s="535"/>
      <c r="M199" s="535"/>
    </row>
    <row r="200" spans="1:13" x14ac:dyDescent="0.2">
      <c r="A200" s="535"/>
      <c r="B200" s="535"/>
      <c r="C200" s="535"/>
      <c r="D200" s="535"/>
      <c r="E200" s="535"/>
      <c r="F200" s="535"/>
      <c r="G200" s="535"/>
      <c r="H200" s="535"/>
      <c r="I200" s="535"/>
      <c r="J200" s="535"/>
      <c r="K200" s="535"/>
      <c r="L200" s="535"/>
      <c r="M200" s="535"/>
    </row>
    <row r="201" spans="1:13" x14ac:dyDescent="0.2">
      <c r="A201" s="535"/>
      <c r="B201" s="535"/>
      <c r="C201" s="535"/>
      <c r="D201" s="535"/>
      <c r="E201" s="535"/>
      <c r="F201" s="535"/>
      <c r="G201" s="535"/>
      <c r="H201" s="535"/>
      <c r="I201" s="535"/>
      <c r="J201" s="535"/>
      <c r="K201" s="535"/>
      <c r="L201" s="535"/>
      <c r="M201" s="535"/>
    </row>
    <row r="202" spans="1:13" x14ac:dyDescent="0.2">
      <c r="A202" s="535"/>
      <c r="B202" s="535"/>
      <c r="C202" s="535"/>
      <c r="D202" s="535"/>
      <c r="E202" s="535"/>
      <c r="F202" s="535"/>
      <c r="G202" s="535"/>
      <c r="H202" s="535"/>
      <c r="I202" s="535"/>
      <c r="J202" s="535"/>
      <c r="K202" s="535"/>
      <c r="L202" s="535"/>
      <c r="M202" s="535"/>
    </row>
    <row r="203" spans="1:13" x14ac:dyDescent="0.2">
      <c r="A203" s="535"/>
      <c r="B203" s="535"/>
      <c r="C203" s="535"/>
      <c r="D203" s="535"/>
      <c r="E203" s="535"/>
      <c r="F203" s="535"/>
      <c r="G203" s="535"/>
      <c r="H203" s="535"/>
      <c r="I203" s="535"/>
      <c r="J203" s="535"/>
      <c r="K203" s="535"/>
      <c r="L203" s="535"/>
      <c r="M203" s="535"/>
    </row>
    <row r="204" spans="1:13" x14ac:dyDescent="0.2">
      <c r="A204" s="535"/>
      <c r="B204" s="535"/>
      <c r="C204" s="535"/>
      <c r="D204" s="535"/>
      <c r="E204" s="535"/>
      <c r="F204" s="535"/>
      <c r="G204" s="535"/>
      <c r="H204" s="535"/>
      <c r="I204" s="535"/>
      <c r="J204" s="535"/>
      <c r="K204" s="535"/>
      <c r="L204" s="535"/>
      <c r="M204" s="535"/>
    </row>
    <row r="205" spans="1:13" x14ac:dyDescent="0.2">
      <c r="A205" s="535"/>
      <c r="B205" s="535"/>
      <c r="C205" s="535"/>
      <c r="D205" s="535"/>
      <c r="E205" s="535"/>
      <c r="F205" s="535"/>
      <c r="G205" s="535"/>
      <c r="H205" s="535"/>
      <c r="I205" s="535"/>
      <c r="J205" s="535"/>
      <c r="K205" s="535"/>
      <c r="L205" s="535"/>
      <c r="M205" s="535"/>
    </row>
    <row r="206" spans="1:13" x14ac:dyDescent="0.2">
      <c r="A206" s="535"/>
      <c r="B206" s="535"/>
      <c r="C206" s="535"/>
      <c r="D206" s="535"/>
      <c r="E206" s="535"/>
      <c r="F206" s="535"/>
      <c r="G206" s="535"/>
      <c r="H206" s="535"/>
      <c r="I206" s="535"/>
      <c r="J206" s="535"/>
      <c r="K206" s="535"/>
      <c r="L206" s="535"/>
      <c r="M206" s="535"/>
    </row>
    <row r="207" spans="1:13" x14ac:dyDescent="0.2">
      <c r="A207" s="535"/>
      <c r="B207" s="535"/>
      <c r="C207" s="535"/>
      <c r="D207" s="535"/>
      <c r="E207" s="535"/>
      <c r="F207" s="535"/>
      <c r="G207" s="535"/>
      <c r="H207" s="535"/>
      <c r="I207" s="535"/>
      <c r="J207" s="535"/>
      <c r="K207" s="535"/>
      <c r="L207" s="535"/>
      <c r="M207" s="535"/>
    </row>
    <row r="208" spans="1:13" x14ac:dyDescent="0.2">
      <c r="A208" s="535"/>
      <c r="B208" s="535"/>
      <c r="C208" s="535"/>
      <c r="D208" s="535"/>
      <c r="E208" s="535"/>
      <c r="F208" s="535"/>
      <c r="G208" s="535"/>
      <c r="H208" s="535"/>
      <c r="I208" s="535"/>
      <c r="J208" s="535"/>
      <c r="K208" s="535"/>
      <c r="L208" s="535"/>
      <c r="M208" s="535"/>
    </row>
    <row r="209" spans="1:13" x14ac:dyDescent="0.2">
      <c r="A209" s="535"/>
      <c r="B209" s="535"/>
      <c r="C209" s="535"/>
      <c r="D209" s="535"/>
      <c r="E209" s="535"/>
      <c r="F209" s="535"/>
      <c r="G209" s="535"/>
      <c r="H209" s="535"/>
      <c r="I209" s="535"/>
      <c r="J209" s="535"/>
      <c r="K209" s="535"/>
      <c r="L209" s="535"/>
      <c r="M209" s="535"/>
    </row>
    <row r="210" spans="1:13" x14ac:dyDescent="0.2">
      <c r="A210" s="535"/>
      <c r="B210" s="535"/>
      <c r="C210" s="535"/>
      <c r="D210" s="535"/>
      <c r="E210" s="535"/>
      <c r="F210" s="535"/>
      <c r="G210" s="535"/>
      <c r="H210" s="535"/>
      <c r="I210" s="535"/>
      <c r="J210" s="535"/>
      <c r="K210" s="535"/>
      <c r="L210" s="535"/>
      <c r="M210" s="535"/>
    </row>
    <row r="211" spans="1:13" x14ac:dyDescent="0.2">
      <c r="A211" s="535"/>
      <c r="B211" s="535"/>
      <c r="C211" s="535"/>
      <c r="D211" s="535"/>
      <c r="E211" s="535"/>
      <c r="F211" s="535"/>
      <c r="G211" s="535"/>
      <c r="H211" s="535"/>
      <c r="I211" s="535"/>
      <c r="J211" s="535"/>
      <c r="K211" s="535"/>
      <c r="L211" s="535"/>
      <c r="M211" s="535"/>
    </row>
    <row r="212" spans="1:13" x14ac:dyDescent="0.2">
      <c r="A212" s="535"/>
      <c r="B212" s="535"/>
      <c r="C212" s="535"/>
      <c r="D212" s="535"/>
      <c r="E212" s="535"/>
      <c r="F212" s="535"/>
      <c r="G212" s="535"/>
      <c r="H212" s="535"/>
      <c r="I212" s="535"/>
      <c r="J212" s="535"/>
      <c r="K212" s="535"/>
      <c r="L212" s="535"/>
      <c r="M212" s="535"/>
    </row>
    <row r="213" spans="1:13" x14ac:dyDescent="0.2">
      <c r="A213" s="535"/>
      <c r="B213" s="535"/>
      <c r="C213" s="535"/>
      <c r="D213" s="535"/>
      <c r="E213" s="535"/>
      <c r="F213" s="535"/>
      <c r="G213" s="535"/>
      <c r="H213" s="535"/>
      <c r="I213" s="535"/>
      <c r="J213" s="535"/>
      <c r="K213" s="535"/>
      <c r="L213" s="535"/>
      <c r="M213" s="535"/>
    </row>
    <row r="214" spans="1:13" x14ac:dyDescent="0.2">
      <c r="A214" s="535"/>
      <c r="B214" s="535"/>
      <c r="C214" s="535"/>
      <c r="D214" s="535"/>
      <c r="E214" s="535"/>
      <c r="F214" s="535"/>
      <c r="G214" s="535"/>
      <c r="H214" s="535"/>
      <c r="I214" s="535"/>
      <c r="J214" s="535"/>
      <c r="K214" s="535"/>
      <c r="L214" s="535"/>
      <c r="M214" s="535"/>
    </row>
    <row r="215" spans="1:13" x14ac:dyDescent="0.2">
      <c r="A215" s="535"/>
      <c r="B215" s="535"/>
      <c r="C215" s="535"/>
      <c r="D215" s="535"/>
      <c r="E215" s="535"/>
      <c r="F215" s="535"/>
      <c r="G215" s="535"/>
      <c r="H215" s="535"/>
      <c r="I215" s="535"/>
      <c r="J215" s="535"/>
      <c r="K215" s="535"/>
      <c r="L215" s="535"/>
      <c r="M215" s="535"/>
    </row>
    <row r="216" spans="1:13" x14ac:dyDescent="0.2">
      <c r="A216" s="535"/>
      <c r="B216" s="535"/>
      <c r="C216" s="535"/>
      <c r="D216" s="535"/>
      <c r="E216" s="535"/>
      <c r="F216" s="535"/>
      <c r="G216" s="535"/>
      <c r="H216" s="535"/>
      <c r="I216" s="535"/>
      <c r="J216" s="535"/>
      <c r="K216" s="535"/>
      <c r="L216" s="535"/>
      <c r="M216" s="535"/>
    </row>
    <row r="217" spans="1:13" x14ac:dyDescent="0.2">
      <c r="A217" s="535"/>
      <c r="B217" s="535"/>
      <c r="C217" s="535"/>
      <c r="D217" s="535"/>
      <c r="E217" s="535"/>
      <c r="F217" s="535"/>
      <c r="G217" s="535"/>
      <c r="H217" s="535"/>
      <c r="I217" s="535"/>
      <c r="J217" s="535"/>
      <c r="K217" s="535"/>
      <c r="L217" s="535"/>
      <c r="M217" s="535"/>
    </row>
    <row r="218" spans="1:13" x14ac:dyDescent="0.2">
      <c r="A218" s="535"/>
      <c r="B218" s="535"/>
      <c r="C218" s="535"/>
      <c r="D218" s="535"/>
      <c r="E218" s="535"/>
      <c r="F218" s="535"/>
      <c r="G218" s="535"/>
      <c r="H218" s="535"/>
      <c r="I218" s="535"/>
      <c r="J218" s="535"/>
      <c r="K218" s="535"/>
      <c r="L218" s="535"/>
      <c r="M218" s="535"/>
    </row>
    <row r="219" spans="1:13" x14ac:dyDescent="0.2">
      <c r="A219" s="535"/>
      <c r="B219" s="535"/>
      <c r="C219" s="535"/>
      <c r="D219" s="535"/>
      <c r="E219" s="535"/>
      <c r="F219" s="535"/>
      <c r="G219" s="535"/>
      <c r="H219" s="535"/>
      <c r="I219" s="535"/>
      <c r="J219" s="535"/>
      <c r="K219" s="535"/>
      <c r="L219" s="535"/>
      <c r="M219" s="535"/>
    </row>
    <row r="220" spans="1:13" x14ac:dyDescent="0.2">
      <c r="A220" s="535"/>
      <c r="B220" s="535"/>
      <c r="C220" s="535"/>
      <c r="D220" s="535"/>
      <c r="E220" s="535"/>
      <c r="F220" s="535"/>
      <c r="G220" s="535"/>
      <c r="H220" s="535"/>
      <c r="I220" s="535"/>
      <c r="J220" s="535"/>
      <c r="K220" s="535"/>
      <c r="L220" s="535"/>
      <c r="M220" s="535"/>
    </row>
    <row r="221" spans="1:13" x14ac:dyDescent="0.2">
      <c r="A221" s="535"/>
      <c r="B221" s="535"/>
      <c r="C221" s="535"/>
      <c r="D221" s="535"/>
      <c r="E221" s="535"/>
      <c r="F221" s="535"/>
      <c r="G221" s="535"/>
      <c r="H221" s="535"/>
      <c r="I221" s="535"/>
      <c r="J221" s="535"/>
      <c r="K221" s="535"/>
      <c r="L221" s="535"/>
      <c r="M221" s="535"/>
    </row>
    <row r="222" spans="1:13" x14ac:dyDescent="0.2">
      <c r="A222" s="535"/>
      <c r="B222" s="535"/>
      <c r="C222" s="535"/>
      <c r="D222" s="535"/>
      <c r="E222" s="535"/>
      <c r="F222" s="535"/>
      <c r="G222" s="535"/>
      <c r="H222" s="535"/>
      <c r="I222" s="535"/>
      <c r="J222" s="535"/>
      <c r="K222" s="535"/>
      <c r="L222" s="535"/>
      <c r="M222" s="535"/>
    </row>
    <row r="223" spans="1:13" x14ac:dyDescent="0.2">
      <c r="A223" s="535"/>
      <c r="B223" s="535"/>
      <c r="C223" s="535"/>
      <c r="D223" s="535"/>
      <c r="E223" s="535"/>
      <c r="F223" s="535"/>
      <c r="G223" s="535"/>
      <c r="H223" s="535"/>
      <c r="I223" s="535"/>
      <c r="J223" s="535"/>
      <c r="K223" s="535"/>
      <c r="L223" s="535"/>
      <c r="M223" s="535"/>
    </row>
    <row r="224" spans="1:13" x14ac:dyDescent="0.2">
      <c r="A224" s="535"/>
      <c r="B224" s="535"/>
      <c r="C224" s="535"/>
      <c r="D224" s="535"/>
      <c r="E224" s="535"/>
      <c r="F224" s="535"/>
      <c r="G224" s="535"/>
      <c r="H224" s="535"/>
      <c r="I224" s="535"/>
      <c r="J224" s="535"/>
      <c r="K224" s="535"/>
      <c r="L224" s="535"/>
      <c r="M224" s="535"/>
    </row>
    <row r="225" spans="1:13" x14ac:dyDescent="0.2">
      <c r="A225" s="535"/>
      <c r="B225" s="535"/>
      <c r="C225" s="535"/>
      <c r="D225" s="535"/>
      <c r="E225" s="535"/>
      <c r="F225" s="535"/>
      <c r="G225" s="535"/>
      <c r="H225" s="535"/>
      <c r="I225" s="535"/>
      <c r="J225" s="535"/>
      <c r="K225" s="535"/>
      <c r="L225" s="535"/>
      <c r="M225" s="535"/>
    </row>
    <row r="226" spans="1:13" x14ac:dyDescent="0.2">
      <c r="A226" s="535"/>
      <c r="B226" s="535"/>
      <c r="C226" s="535"/>
      <c r="D226" s="535"/>
      <c r="E226" s="535"/>
      <c r="F226" s="535"/>
      <c r="G226" s="535"/>
      <c r="H226" s="535"/>
      <c r="I226" s="535"/>
      <c r="J226" s="535"/>
      <c r="K226" s="535"/>
      <c r="L226" s="535"/>
      <c r="M226" s="535"/>
    </row>
    <row r="227" spans="1:13" x14ac:dyDescent="0.2">
      <c r="A227" s="535"/>
      <c r="B227" s="535"/>
      <c r="C227" s="535"/>
      <c r="D227" s="535"/>
      <c r="E227" s="535"/>
      <c r="F227" s="535"/>
      <c r="G227" s="535"/>
      <c r="H227" s="535"/>
      <c r="I227" s="535"/>
      <c r="J227" s="535"/>
      <c r="K227" s="535"/>
      <c r="L227" s="535"/>
      <c r="M227" s="535"/>
    </row>
    <row r="228" spans="1:13" x14ac:dyDescent="0.2">
      <c r="A228" s="535"/>
      <c r="B228" s="535"/>
      <c r="C228" s="535"/>
      <c r="D228" s="535"/>
      <c r="E228" s="535"/>
      <c r="F228" s="535"/>
      <c r="G228" s="535"/>
      <c r="H228" s="535"/>
      <c r="I228" s="535"/>
      <c r="J228" s="535"/>
      <c r="K228" s="535"/>
      <c r="L228" s="535"/>
      <c r="M228" s="535"/>
    </row>
    <row r="229" spans="1:13" x14ac:dyDescent="0.2">
      <c r="A229" s="535"/>
      <c r="B229" s="535"/>
      <c r="C229" s="535"/>
      <c r="D229" s="535"/>
      <c r="E229" s="535"/>
      <c r="F229" s="535"/>
      <c r="G229" s="535"/>
      <c r="H229" s="535"/>
      <c r="I229" s="535"/>
      <c r="J229" s="535"/>
      <c r="K229" s="535"/>
      <c r="L229" s="535"/>
      <c r="M229" s="535"/>
    </row>
    <row r="230" spans="1:13" x14ac:dyDescent="0.2">
      <c r="A230" s="535"/>
      <c r="B230" s="535"/>
      <c r="C230" s="535"/>
      <c r="D230" s="535"/>
      <c r="E230" s="535"/>
      <c r="F230" s="535"/>
      <c r="G230" s="535"/>
      <c r="H230" s="535"/>
      <c r="I230" s="535"/>
      <c r="J230" s="535"/>
      <c r="K230" s="535"/>
      <c r="L230" s="535"/>
      <c r="M230" s="535"/>
    </row>
    <row r="231" spans="1:13" x14ac:dyDescent="0.2">
      <c r="A231" s="535"/>
      <c r="B231" s="535"/>
      <c r="C231" s="535"/>
      <c r="D231" s="535"/>
      <c r="E231" s="535"/>
      <c r="F231" s="535"/>
      <c r="G231" s="535"/>
      <c r="H231" s="535"/>
      <c r="I231" s="535"/>
      <c r="J231" s="535"/>
      <c r="K231" s="535"/>
      <c r="L231" s="535"/>
      <c r="M231" s="535"/>
    </row>
    <row r="232" spans="1:13" x14ac:dyDescent="0.2">
      <c r="A232" s="535"/>
      <c r="B232" s="535"/>
      <c r="C232" s="535"/>
      <c r="D232" s="535"/>
      <c r="E232" s="535"/>
      <c r="F232" s="535"/>
      <c r="G232" s="535"/>
      <c r="H232" s="535"/>
      <c r="I232" s="535"/>
      <c r="J232" s="535"/>
      <c r="K232" s="535"/>
      <c r="L232" s="535"/>
      <c r="M232" s="535"/>
    </row>
    <row r="233" spans="1:13" x14ac:dyDescent="0.2">
      <c r="A233" s="535"/>
      <c r="B233" s="535"/>
      <c r="C233" s="535"/>
      <c r="D233" s="535"/>
      <c r="E233" s="535"/>
      <c r="F233" s="535"/>
      <c r="G233" s="535"/>
      <c r="H233" s="535"/>
      <c r="I233" s="535"/>
      <c r="J233" s="535"/>
      <c r="K233" s="535"/>
      <c r="L233" s="535"/>
      <c r="M233" s="535"/>
    </row>
    <row r="234" spans="1:13" x14ac:dyDescent="0.2">
      <c r="A234" s="535"/>
      <c r="B234" s="535"/>
      <c r="C234" s="535"/>
      <c r="D234" s="535"/>
      <c r="E234" s="535"/>
      <c r="F234" s="535"/>
      <c r="G234" s="535"/>
      <c r="H234" s="535"/>
      <c r="I234" s="535"/>
      <c r="J234" s="535"/>
      <c r="K234" s="535"/>
      <c r="L234" s="535"/>
      <c r="M234" s="535"/>
    </row>
    <row r="235" spans="1:13" x14ac:dyDescent="0.2">
      <c r="A235" s="535"/>
      <c r="B235" s="535"/>
      <c r="C235" s="535"/>
      <c r="D235" s="535"/>
      <c r="E235" s="535"/>
      <c r="F235" s="535"/>
      <c r="G235" s="535"/>
      <c r="H235" s="535"/>
      <c r="I235" s="535"/>
      <c r="J235" s="535"/>
      <c r="K235" s="535"/>
      <c r="L235" s="535"/>
      <c r="M235" s="535"/>
    </row>
    <row r="236" spans="1:13" x14ac:dyDescent="0.2">
      <c r="A236" s="535"/>
      <c r="B236" s="535"/>
      <c r="C236" s="535"/>
      <c r="D236" s="535"/>
      <c r="E236" s="535"/>
      <c r="F236" s="535"/>
      <c r="G236" s="535"/>
      <c r="H236" s="535"/>
      <c r="I236" s="535"/>
      <c r="J236" s="535"/>
      <c r="K236" s="535"/>
      <c r="L236" s="535"/>
      <c r="M236" s="535"/>
    </row>
    <row r="237" spans="1:13" x14ac:dyDescent="0.2">
      <c r="A237" s="535"/>
      <c r="B237" s="535"/>
      <c r="C237" s="535"/>
      <c r="D237" s="535"/>
      <c r="E237" s="535"/>
      <c r="F237" s="535"/>
      <c r="G237" s="535"/>
      <c r="H237" s="535"/>
      <c r="I237" s="535"/>
      <c r="J237" s="535"/>
      <c r="K237" s="535"/>
      <c r="L237" s="535"/>
      <c r="M237" s="535"/>
    </row>
    <row r="238" spans="1:13" x14ac:dyDescent="0.2">
      <c r="A238" s="535"/>
      <c r="B238" s="535"/>
      <c r="C238" s="535"/>
      <c r="D238" s="535"/>
      <c r="E238" s="535"/>
      <c r="F238" s="535"/>
      <c r="G238" s="535"/>
      <c r="H238" s="535"/>
      <c r="I238" s="535"/>
      <c r="J238" s="535"/>
      <c r="K238" s="535"/>
      <c r="L238" s="535"/>
      <c r="M238" s="535"/>
    </row>
    <row r="239" spans="1:13" x14ac:dyDescent="0.2">
      <c r="A239" s="535"/>
      <c r="B239" s="535"/>
      <c r="C239" s="535"/>
      <c r="D239" s="535"/>
      <c r="E239" s="535"/>
      <c r="F239" s="535"/>
      <c r="G239" s="535"/>
      <c r="H239" s="535"/>
      <c r="I239" s="535"/>
      <c r="J239" s="535"/>
      <c r="K239" s="535"/>
      <c r="L239" s="535"/>
      <c r="M239" s="535"/>
    </row>
    <row r="240" spans="1:13" x14ac:dyDescent="0.2">
      <c r="A240" s="535"/>
      <c r="B240" s="535"/>
      <c r="C240" s="535"/>
      <c r="D240" s="535"/>
      <c r="E240" s="535"/>
      <c r="F240" s="535"/>
      <c r="G240" s="535"/>
      <c r="H240" s="535"/>
      <c r="I240" s="535"/>
      <c r="J240" s="535"/>
      <c r="K240" s="535"/>
      <c r="L240" s="535"/>
      <c r="M240" s="535"/>
    </row>
    <row r="241" spans="1:13" x14ac:dyDescent="0.2">
      <c r="A241" s="535"/>
      <c r="B241" s="535"/>
      <c r="C241" s="535"/>
      <c r="D241" s="535"/>
      <c r="E241" s="535"/>
      <c r="F241" s="535"/>
      <c r="G241" s="535"/>
      <c r="H241" s="535"/>
      <c r="I241" s="535"/>
      <c r="J241" s="535"/>
      <c r="K241" s="535"/>
      <c r="L241" s="535"/>
      <c r="M241" s="535"/>
    </row>
    <row r="242" spans="1:13" x14ac:dyDescent="0.2">
      <c r="A242" s="535"/>
      <c r="B242" s="535"/>
      <c r="C242" s="535"/>
      <c r="D242" s="535"/>
      <c r="E242" s="535"/>
      <c r="F242" s="535"/>
      <c r="G242" s="535"/>
      <c r="H242" s="535"/>
      <c r="I242" s="535"/>
      <c r="J242" s="535"/>
      <c r="K242" s="535"/>
      <c r="L242" s="535"/>
      <c r="M242" s="535"/>
    </row>
    <row r="243" spans="1:13" x14ac:dyDescent="0.2">
      <c r="A243" s="535"/>
      <c r="B243" s="535"/>
      <c r="C243" s="535"/>
      <c r="D243" s="535"/>
      <c r="E243" s="535"/>
      <c r="F243" s="535"/>
      <c r="G243" s="535"/>
      <c r="H243" s="535"/>
      <c r="I243" s="535"/>
      <c r="J243" s="535"/>
      <c r="K243" s="535"/>
      <c r="L243" s="535"/>
      <c r="M243" s="535"/>
    </row>
    <row r="244" spans="1:13" x14ac:dyDescent="0.2">
      <c r="A244" s="535"/>
      <c r="B244" s="535"/>
      <c r="C244" s="535"/>
      <c r="D244" s="535"/>
      <c r="E244" s="535"/>
      <c r="F244" s="535"/>
      <c r="G244" s="535"/>
      <c r="H244" s="535"/>
      <c r="I244" s="535"/>
      <c r="J244" s="535"/>
      <c r="K244" s="535"/>
      <c r="L244" s="535"/>
      <c r="M244" s="535"/>
    </row>
    <row r="245" spans="1:13" x14ac:dyDescent="0.2">
      <c r="A245" s="535"/>
      <c r="B245" s="535"/>
      <c r="C245" s="535"/>
      <c r="D245" s="535"/>
      <c r="E245" s="535"/>
      <c r="F245" s="535"/>
      <c r="G245" s="535"/>
      <c r="H245" s="535"/>
      <c r="I245" s="535"/>
      <c r="J245" s="535"/>
      <c r="K245" s="535"/>
      <c r="L245" s="535"/>
      <c r="M245" s="535"/>
    </row>
    <row r="246" spans="1:13" x14ac:dyDescent="0.2">
      <c r="A246" s="535"/>
      <c r="B246" s="535"/>
      <c r="C246" s="535"/>
      <c r="D246" s="535"/>
      <c r="E246" s="535"/>
      <c r="F246" s="535"/>
      <c r="G246" s="535"/>
      <c r="H246" s="535"/>
      <c r="I246" s="535"/>
      <c r="J246" s="535"/>
      <c r="K246" s="535"/>
      <c r="L246" s="535"/>
      <c r="M246" s="535"/>
    </row>
    <row r="247" spans="1:13" x14ac:dyDescent="0.2">
      <c r="A247" s="535"/>
      <c r="B247" s="535"/>
      <c r="C247" s="535"/>
      <c r="D247" s="535"/>
      <c r="E247" s="535"/>
      <c r="F247" s="535"/>
      <c r="G247" s="535"/>
      <c r="H247" s="535"/>
      <c r="I247" s="535"/>
      <c r="J247" s="535"/>
      <c r="K247" s="535"/>
      <c r="L247" s="535"/>
      <c r="M247" s="535"/>
    </row>
    <row r="248" spans="1:13" x14ac:dyDescent="0.2">
      <c r="A248" s="535"/>
      <c r="B248" s="535"/>
      <c r="C248" s="535"/>
      <c r="D248" s="535"/>
      <c r="E248" s="535"/>
      <c r="F248" s="535"/>
      <c r="G248" s="535"/>
      <c r="H248" s="535"/>
      <c r="I248" s="535"/>
      <c r="J248" s="535"/>
      <c r="K248" s="535"/>
      <c r="L248" s="535"/>
      <c r="M248" s="535"/>
    </row>
    <row r="249" spans="1:13" x14ac:dyDescent="0.2">
      <c r="A249" s="535"/>
      <c r="B249" s="535"/>
      <c r="C249" s="535"/>
      <c r="D249" s="535"/>
      <c r="E249" s="535"/>
      <c r="F249" s="535"/>
      <c r="G249" s="535"/>
      <c r="H249" s="535"/>
      <c r="I249" s="535"/>
      <c r="J249" s="535"/>
      <c r="K249" s="535"/>
      <c r="L249" s="535"/>
      <c r="M249" s="535"/>
    </row>
    <row r="250" spans="1:13" x14ac:dyDescent="0.2">
      <c r="A250" s="535"/>
      <c r="B250" s="535"/>
      <c r="C250" s="535"/>
      <c r="D250" s="535"/>
      <c r="E250" s="535"/>
      <c r="F250" s="535"/>
      <c r="G250" s="535"/>
      <c r="H250" s="535"/>
      <c r="I250" s="535"/>
      <c r="J250" s="535"/>
      <c r="K250" s="535"/>
      <c r="L250" s="535"/>
      <c r="M250" s="535"/>
    </row>
    <row r="251" spans="1:13" x14ac:dyDescent="0.2">
      <c r="A251" s="535"/>
      <c r="B251" s="535"/>
      <c r="C251" s="535"/>
      <c r="D251" s="535"/>
      <c r="E251" s="535"/>
      <c r="F251" s="535"/>
      <c r="G251" s="535"/>
      <c r="H251" s="535"/>
      <c r="I251" s="535"/>
      <c r="J251" s="535"/>
      <c r="K251" s="535"/>
      <c r="L251" s="535"/>
      <c r="M251" s="535"/>
    </row>
    <row r="252" spans="1:13" x14ac:dyDescent="0.2">
      <c r="A252" s="535"/>
      <c r="B252" s="535"/>
      <c r="C252" s="535"/>
      <c r="D252" s="535"/>
      <c r="E252" s="535"/>
      <c r="F252" s="535"/>
      <c r="G252" s="535"/>
      <c r="H252" s="535"/>
      <c r="I252" s="535"/>
      <c r="J252" s="535"/>
      <c r="K252" s="535"/>
      <c r="L252" s="535"/>
      <c r="M252" s="535"/>
    </row>
    <row r="253" spans="1:13" x14ac:dyDescent="0.2">
      <c r="A253" s="535"/>
      <c r="B253" s="535"/>
      <c r="C253" s="535"/>
      <c r="D253" s="535"/>
      <c r="E253" s="535"/>
      <c r="F253" s="535"/>
      <c r="G253" s="535"/>
      <c r="H253" s="535"/>
      <c r="I253" s="535"/>
      <c r="J253" s="535"/>
      <c r="K253" s="535"/>
      <c r="L253" s="535"/>
      <c r="M253" s="535"/>
    </row>
    <row r="254" spans="1:13" x14ac:dyDescent="0.2">
      <c r="A254" s="535"/>
      <c r="B254" s="535"/>
      <c r="C254" s="535"/>
      <c r="D254" s="535"/>
      <c r="E254" s="535"/>
      <c r="F254" s="535"/>
      <c r="G254" s="535"/>
      <c r="H254" s="535"/>
      <c r="I254" s="535"/>
      <c r="J254" s="535"/>
      <c r="K254" s="535"/>
      <c r="L254" s="535"/>
      <c r="M254" s="535"/>
    </row>
    <row r="255" spans="1:13" x14ac:dyDescent="0.2">
      <c r="A255" s="535"/>
      <c r="B255" s="535"/>
      <c r="C255" s="535"/>
      <c r="D255" s="535"/>
      <c r="E255" s="535"/>
      <c r="F255" s="535"/>
      <c r="G255" s="535"/>
      <c r="H255" s="535"/>
      <c r="I255" s="535"/>
      <c r="J255" s="535"/>
      <c r="K255" s="535"/>
      <c r="L255" s="535"/>
      <c r="M255" s="535"/>
    </row>
    <row r="256" spans="1:13" x14ac:dyDescent="0.2">
      <c r="A256" s="535"/>
      <c r="B256" s="535"/>
      <c r="C256" s="535"/>
      <c r="D256" s="535"/>
      <c r="E256" s="535"/>
      <c r="F256" s="535"/>
      <c r="G256" s="535"/>
      <c r="H256" s="535"/>
      <c r="I256" s="535"/>
      <c r="J256" s="535"/>
      <c r="K256" s="535"/>
      <c r="L256" s="535"/>
      <c r="M256" s="535"/>
    </row>
    <row r="257" spans="1:13" x14ac:dyDescent="0.2">
      <c r="A257" s="535"/>
      <c r="B257" s="535"/>
      <c r="C257" s="535"/>
      <c r="D257" s="535"/>
      <c r="E257" s="535"/>
      <c r="F257" s="535"/>
      <c r="G257" s="535"/>
      <c r="H257" s="535"/>
      <c r="I257" s="535"/>
      <c r="J257" s="535"/>
      <c r="K257" s="535"/>
      <c r="L257" s="535"/>
      <c r="M257" s="535"/>
    </row>
    <row r="258" spans="1:13" x14ac:dyDescent="0.2">
      <c r="A258" s="535"/>
      <c r="B258" s="535"/>
      <c r="C258" s="535"/>
      <c r="D258" s="535"/>
      <c r="E258" s="535"/>
      <c r="F258" s="535"/>
      <c r="G258" s="535"/>
      <c r="H258" s="535"/>
      <c r="I258" s="535"/>
      <c r="J258" s="535"/>
      <c r="K258" s="535"/>
      <c r="L258" s="535"/>
      <c r="M258" s="535"/>
    </row>
    <row r="259" spans="1:13" x14ac:dyDescent="0.2">
      <c r="A259" s="535"/>
      <c r="B259" s="535"/>
      <c r="C259" s="535"/>
      <c r="D259" s="535"/>
      <c r="E259" s="535"/>
      <c r="F259" s="535"/>
      <c r="G259" s="535"/>
      <c r="H259" s="535"/>
      <c r="I259" s="535"/>
      <c r="J259" s="535"/>
      <c r="K259" s="535"/>
      <c r="L259" s="535"/>
      <c r="M259" s="535"/>
    </row>
    <row r="260" spans="1:13" x14ac:dyDescent="0.2">
      <c r="A260" s="535"/>
      <c r="B260" s="535"/>
      <c r="C260" s="535"/>
      <c r="D260" s="535"/>
      <c r="E260" s="535"/>
      <c r="F260" s="535"/>
      <c r="G260" s="535"/>
      <c r="H260" s="535"/>
      <c r="I260" s="535"/>
      <c r="J260" s="535"/>
      <c r="K260" s="535"/>
      <c r="L260" s="535"/>
      <c r="M260" s="535"/>
    </row>
    <row r="261" spans="1:13" x14ac:dyDescent="0.2">
      <c r="A261" s="535"/>
      <c r="B261" s="535"/>
      <c r="C261" s="535"/>
      <c r="D261" s="535"/>
      <c r="E261" s="535"/>
      <c r="F261" s="535"/>
      <c r="G261" s="535"/>
      <c r="H261" s="535"/>
      <c r="I261" s="535"/>
      <c r="J261" s="535"/>
      <c r="K261" s="535"/>
      <c r="L261" s="535"/>
      <c r="M261" s="535"/>
    </row>
    <row r="262" spans="1:13" x14ac:dyDescent="0.2">
      <c r="A262" s="535"/>
      <c r="B262" s="535"/>
      <c r="C262" s="535"/>
      <c r="D262" s="535"/>
      <c r="E262" s="535"/>
      <c r="F262" s="535"/>
      <c r="G262" s="535"/>
      <c r="H262" s="535"/>
      <c r="I262" s="535"/>
      <c r="J262" s="535"/>
      <c r="K262" s="535"/>
      <c r="L262" s="535"/>
      <c r="M262" s="535"/>
    </row>
    <row r="263" spans="1:13" x14ac:dyDescent="0.2">
      <c r="A263" s="535"/>
      <c r="B263" s="535"/>
      <c r="C263" s="535"/>
      <c r="D263" s="535"/>
      <c r="E263" s="535"/>
      <c r="F263" s="535"/>
      <c r="G263" s="535"/>
      <c r="H263" s="535"/>
      <c r="I263" s="535"/>
      <c r="J263" s="535"/>
      <c r="K263" s="535"/>
      <c r="L263" s="535"/>
      <c r="M263" s="535"/>
    </row>
    <row r="264" spans="1:13" x14ac:dyDescent="0.2">
      <c r="A264" s="535"/>
      <c r="B264" s="535"/>
      <c r="C264" s="535"/>
      <c r="D264" s="535"/>
      <c r="E264" s="535"/>
      <c r="F264" s="535"/>
      <c r="G264" s="535"/>
      <c r="H264" s="535"/>
      <c r="I264" s="535"/>
      <c r="J264" s="535"/>
      <c r="K264" s="535"/>
      <c r="L264" s="535"/>
      <c r="M264" s="535"/>
    </row>
    <row r="265" spans="1:13" x14ac:dyDescent="0.2">
      <c r="A265" s="535"/>
      <c r="B265" s="535"/>
      <c r="C265" s="535"/>
      <c r="D265" s="535"/>
      <c r="E265" s="535"/>
      <c r="F265" s="535"/>
      <c r="G265" s="535"/>
      <c r="H265" s="535"/>
      <c r="I265" s="535"/>
      <c r="J265" s="535"/>
      <c r="K265" s="535"/>
      <c r="L265" s="535"/>
      <c r="M265" s="535"/>
    </row>
    <row r="266" spans="1:13" x14ac:dyDescent="0.2">
      <c r="A266" s="535"/>
      <c r="B266" s="535"/>
      <c r="C266" s="535"/>
      <c r="D266" s="535"/>
      <c r="E266" s="535"/>
      <c r="F266" s="535"/>
      <c r="G266" s="535"/>
      <c r="H266" s="535"/>
      <c r="I266" s="535"/>
      <c r="J266" s="535"/>
      <c r="K266" s="535"/>
      <c r="L266" s="535"/>
      <c r="M266" s="535"/>
    </row>
    <row r="267" spans="1:13" x14ac:dyDescent="0.2">
      <c r="A267" s="535"/>
      <c r="B267" s="535"/>
      <c r="C267" s="535"/>
      <c r="D267" s="535"/>
      <c r="E267" s="535"/>
      <c r="F267" s="535"/>
      <c r="G267" s="535"/>
      <c r="H267" s="535"/>
      <c r="I267" s="535"/>
      <c r="J267" s="535"/>
      <c r="K267" s="535"/>
      <c r="L267" s="535"/>
      <c r="M267" s="535"/>
    </row>
    <row r="268" spans="1:13" x14ac:dyDescent="0.2">
      <c r="A268" s="535"/>
      <c r="B268" s="535"/>
      <c r="C268" s="535"/>
      <c r="D268" s="535"/>
      <c r="E268" s="535"/>
      <c r="F268" s="535"/>
      <c r="G268" s="535"/>
      <c r="H268" s="535"/>
      <c r="I268" s="535"/>
      <c r="J268" s="535"/>
      <c r="K268" s="535"/>
      <c r="L268" s="535"/>
      <c r="M268" s="535"/>
    </row>
    <row r="269" spans="1:13" x14ac:dyDescent="0.2">
      <c r="A269" s="535"/>
      <c r="B269" s="535"/>
      <c r="C269" s="535"/>
      <c r="D269" s="535"/>
      <c r="E269" s="535"/>
      <c r="F269" s="535"/>
      <c r="G269" s="535"/>
      <c r="H269" s="535"/>
      <c r="I269" s="535"/>
      <c r="J269" s="535"/>
      <c r="K269" s="535"/>
      <c r="L269" s="535"/>
      <c r="M269" s="535"/>
    </row>
    <row r="270" spans="1:13" x14ac:dyDescent="0.2">
      <c r="A270" s="535"/>
      <c r="B270" s="535"/>
      <c r="C270" s="535"/>
      <c r="D270" s="535"/>
      <c r="E270" s="535"/>
      <c r="F270" s="535"/>
      <c r="G270" s="535"/>
      <c r="H270" s="535"/>
      <c r="I270" s="535"/>
      <c r="J270" s="535"/>
      <c r="K270" s="535"/>
      <c r="L270" s="535"/>
      <c r="M270" s="535"/>
    </row>
    <row r="271" spans="1:13" x14ac:dyDescent="0.2">
      <c r="A271" s="535"/>
      <c r="B271" s="535"/>
      <c r="C271" s="535"/>
      <c r="D271" s="535"/>
      <c r="E271" s="535"/>
      <c r="F271" s="535"/>
      <c r="G271" s="535"/>
      <c r="H271" s="535"/>
      <c r="I271" s="535"/>
      <c r="J271" s="535"/>
      <c r="K271" s="535"/>
      <c r="L271" s="535"/>
      <c r="M271" s="535"/>
    </row>
    <row r="272" spans="1:13" x14ac:dyDescent="0.2">
      <c r="A272" s="535"/>
      <c r="B272" s="535"/>
      <c r="C272" s="535"/>
      <c r="D272" s="535"/>
      <c r="E272" s="535"/>
      <c r="F272" s="535"/>
      <c r="G272" s="535"/>
      <c r="H272" s="535"/>
      <c r="I272" s="535"/>
      <c r="J272" s="535"/>
      <c r="K272" s="535"/>
      <c r="L272" s="535"/>
      <c r="M272" s="535"/>
    </row>
    <row r="273" spans="1:13" x14ac:dyDescent="0.2">
      <c r="A273" s="535"/>
      <c r="B273" s="535"/>
      <c r="C273" s="535"/>
      <c r="D273" s="535"/>
      <c r="E273" s="535"/>
      <c r="F273" s="535"/>
      <c r="G273" s="535"/>
      <c r="H273" s="535"/>
      <c r="I273" s="535"/>
      <c r="J273" s="535"/>
      <c r="K273" s="535"/>
      <c r="L273" s="535"/>
      <c r="M273" s="535"/>
    </row>
    <row r="274" spans="1:13" x14ac:dyDescent="0.2">
      <c r="A274" s="535"/>
      <c r="B274" s="535"/>
      <c r="C274" s="535"/>
      <c r="D274" s="535"/>
      <c r="E274" s="535"/>
      <c r="F274" s="535"/>
      <c r="G274" s="535"/>
      <c r="H274" s="535"/>
      <c r="I274" s="535"/>
      <c r="J274" s="535"/>
      <c r="K274" s="535"/>
      <c r="L274" s="535"/>
      <c r="M274" s="535"/>
    </row>
    <row r="275" spans="1:13" x14ac:dyDescent="0.2">
      <c r="A275" s="535"/>
      <c r="B275" s="535"/>
      <c r="C275" s="535"/>
      <c r="D275" s="535"/>
      <c r="E275" s="535"/>
      <c r="F275" s="535"/>
      <c r="G275" s="535"/>
      <c r="H275" s="535"/>
      <c r="I275" s="535"/>
      <c r="J275" s="535"/>
      <c r="K275" s="535"/>
      <c r="L275" s="535"/>
      <c r="M275" s="535"/>
    </row>
    <row r="276" spans="1:13" x14ac:dyDescent="0.2">
      <c r="A276" s="535"/>
      <c r="B276" s="535"/>
      <c r="C276" s="535"/>
      <c r="D276" s="535"/>
      <c r="E276" s="535"/>
      <c r="F276" s="535"/>
      <c r="G276" s="535"/>
      <c r="H276" s="535"/>
      <c r="I276" s="535"/>
      <c r="J276" s="535"/>
      <c r="K276" s="535"/>
      <c r="L276" s="535"/>
      <c r="M276" s="535"/>
    </row>
    <row r="277" spans="1:13" x14ac:dyDescent="0.2">
      <c r="A277" s="535"/>
      <c r="B277" s="535"/>
      <c r="C277" s="535"/>
      <c r="D277" s="535"/>
      <c r="E277" s="535"/>
      <c r="F277" s="535"/>
      <c r="G277" s="535"/>
      <c r="H277" s="535"/>
      <c r="I277" s="535"/>
      <c r="J277" s="535"/>
      <c r="K277" s="535"/>
      <c r="L277" s="535"/>
      <c r="M277" s="535"/>
    </row>
    <row r="278" spans="1:13" x14ac:dyDescent="0.2">
      <c r="A278" s="535"/>
      <c r="B278" s="535"/>
      <c r="C278" s="535"/>
      <c r="D278" s="535"/>
      <c r="E278" s="535"/>
      <c r="F278" s="535"/>
      <c r="G278" s="535"/>
      <c r="H278" s="535"/>
      <c r="I278" s="535"/>
      <c r="J278" s="535"/>
      <c r="K278" s="535"/>
      <c r="L278" s="535"/>
      <c r="M278" s="535"/>
    </row>
    <row r="279" spans="1:13" x14ac:dyDescent="0.2">
      <c r="A279" s="535"/>
      <c r="B279" s="535"/>
      <c r="C279" s="535"/>
      <c r="D279" s="535"/>
      <c r="E279" s="535"/>
      <c r="F279" s="535"/>
      <c r="G279" s="535"/>
      <c r="H279" s="535"/>
      <c r="I279" s="535"/>
      <c r="J279" s="535"/>
      <c r="K279" s="535"/>
      <c r="L279" s="535"/>
      <c r="M279" s="535"/>
    </row>
    <row r="280" spans="1:13" x14ac:dyDescent="0.2">
      <c r="A280" s="535"/>
      <c r="B280" s="535"/>
      <c r="C280" s="535"/>
      <c r="D280" s="535"/>
      <c r="E280" s="535"/>
      <c r="F280" s="535"/>
      <c r="G280" s="535"/>
      <c r="H280" s="535"/>
      <c r="I280" s="535"/>
      <c r="J280" s="535"/>
      <c r="K280" s="535"/>
      <c r="L280" s="535"/>
      <c r="M280" s="535"/>
    </row>
    <row r="281" spans="1:13" x14ac:dyDescent="0.2">
      <c r="A281" s="535"/>
      <c r="B281" s="535"/>
      <c r="C281" s="535"/>
      <c r="D281" s="535"/>
      <c r="E281" s="535"/>
      <c r="F281" s="535"/>
      <c r="G281" s="535"/>
      <c r="H281" s="535"/>
      <c r="I281" s="535"/>
      <c r="J281" s="535"/>
      <c r="K281" s="535"/>
      <c r="L281" s="535"/>
      <c r="M281" s="535"/>
    </row>
    <row r="282" spans="1:13" x14ac:dyDescent="0.2">
      <c r="A282" s="535"/>
      <c r="B282" s="535"/>
      <c r="C282" s="535"/>
      <c r="D282" s="535"/>
      <c r="E282" s="535"/>
      <c r="F282" s="535"/>
      <c r="G282" s="535"/>
      <c r="H282" s="535"/>
      <c r="I282" s="535"/>
      <c r="J282" s="535"/>
      <c r="K282" s="535"/>
      <c r="L282" s="535"/>
      <c r="M282" s="535"/>
    </row>
    <row r="283" spans="1:13" x14ac:dyDescent="0.2">
      <c r="A283" s="535"/>
      <c r="B283" s="535"/>
      <c r="C283" s="535"/>
      <c r="D283" s="535"/>
      <c r="E283" s="535"/>
      <c r="F283" s="535"/>
      <c r="G283" s="535"/>
      <c r="H283" s="535"/>
      <c r="I283" s="535"/>
      <c r="J283" s="535"/>
      <c r="K283" s="535"/>
      <c r="L283" s="535"/>
      <c r="M283" s="535"/>
    </row>
    <row r="284" spans="1:13" x14ac:dyDescent="0.2">
      <c r="A284" s="535"/>
      <c r="B284" s="535"/>
      <c r="C284" s="535"/>
      <c r="D284" s="535"/>
      <c r="E284" s="535"/>
      <c r="F284" s="535"/>
      <c r="G284" s="535"/>
      <c r="H284" s="535"/>
      <c r="I284" s="535"/>
      <c r="J284" s="535"/>
      <c r="K284" s="535"/>
      <c r="L284" s="535"/>
      <c r="M284" s="535"/>
    </row>
    <row r="285" spans="1:13" x14ac:dyDescent="0.2">
      <c r="A285" s="535"/>
      <c r="B285" s="535"/>
      <c r="C285" s="535"/>
      <c r="D285" s="535"/>
      <c r="E285" s="535"/>
      <c r="F285" s="535"/>
      <c r="G285" s="535"/>
      <c r="H285" s="535"/>
      <c r="I285" s="535"/>
      <c r="J285" s="535"/>
      <c r="K285" s="535"/>
      <c r="L285" s="535"/>
      <c r="M285" s="535"/>
    </row>
    <row r="286" spans="1:13" x14ac:dyDescent="0.2">
      <c r="A286" s="535"/>
      <c r="B286" s="535"/>
      <c r="C286" s="535"/>
      <c r="D286" s="535"/>
      <c r="E286" s="535"/>
      <c r="F286" s="535"/>
      <c r="G286" s="535"/>
      <c r="H286" s="535"/>
      <c r="I286" s="535"/>
      <c r="J286" s="535"/>
      <c r="K286" s="535"/>
      <c r="L286" s="535"/>
      <c r="M286" s="535"/>
    </row>
    <row r="287" spans="1:13" x14ac:dyDescent="0.2">
      <c r="A287" s="535"/>
      <c r="B287" s="535"/>
      <c r="C287" s="535"/>
      <c r="D287" s="535"/>
      <c r="E287" s="535"/>
      <c r="F287" s="535"/>
      <c r="G287" s="535"/>
      <c r="H287" s="535"/>
      <c r="I287" s="535"/>
      <c r="J287" s="535"/>
      <c r="K287" s="535"/>
      <c r="L287" s="535"/>
      <c r="M287" s="535"/>
    </row>
    <row r="288" spans="1:13" x14ac:dyDescent="0.2">
      <c r="A288" s="535"/>
      <c r="B288" s="535"/>
      <c r="C288" s="535"/>
      <c r="D288" s="535"/>
      <c r="E288" s="535"/>
      <c r="F288" s="535"/>
      <c r="G288" s="535"/>
      <c r="H288" s="535"/>
      <c r="I288" s="535"/>
      <c r="J288" s="535"/>
      <c r="K288" s="535"/>
      <c r="L288" s="535"/>
      <c r="M288" s="535"/>
    </row>
    <row r="289" spans="1:13" x14ac:dyDescent="0.2">
      <c r="A289" s="535"/>
      <c r="B289" s="535"/>
      <c r="C289" s="535"/>
      <c r="D289" s="535"/>
      <c r="E289" s="535"/>
      <c r="F289" s="535"/>
      <c r="G289" s="535"/>
      <c r="H289" s="535"/>
      <c r="I289" s="535"/>
      <c r="J289" s="535"/>
      <c r="K289" s="535"/>
      <c r="L289" s="535"/>
      <c r="M289" s="535"/>
    </row>
    <row r="290" spans="1:13" x14ac:dyDescent="0.2">
      <c r="A290" s="535"/>
      <c r="B290" s="535"/>
      <c r="C290" s="535"/>
      <c r="D290" s="535"/>
      <c r="E290" s="535"/>
      <c r="F290" s="535"/>
      <c r="G290" s="535"/>
      <c r="H290" s="535"/>
      <c r="I290" s="535"/>
      <c r="J290" s="535"/>
      <c r="K290" s="535"/>
      <c r="L290" s="535"/>
      <c r="M290" s="535"/>
    </row>
    <row r="291" spans="1:13" x14ac:dyDescent="0.2">
      <c r="A291" s="535"/>
      <c r="B291" s="535"/>
      <c r="C291" s="535"/>
      <c r="D291" s="535"/>
      <c r="E291" s="535"/>
      <c r="F291" s="535"/>
      <c r="G291" s="535"/>
      <c r="H291" s="535"/>
      <c r="I291" s="535"/>
      <c r="J291" s="535"/>
      <c r="K291" s="535"/>
      <c r="L291" s="535"/>
      <c r="M291" s="535"/>
    </row>
    <row r="292" spans="1:13" x14ac:dyDescent="0.2">
      <c r="A292" s="535"/>
      <c r="B292" s="535"/>
      <c r="C292" s="535"/>
      <c r="D292" s="535"/>
      <c r="E292" s="535"/>
      <c r="F292" s="535"/>
      <c r="G292" s="535"/>
      <c r="H292" s="535"/>
      <c r="I292" s="535"/>
      <c r="J292" s="535"/>
      <c r="K292" s="535"/>
      <c r="L292" s="535"/>
      <c r="M292" s="535"/>
    </row>
    <row r="293" spans="1:13" x14ac:dyDescent="0.2">
      <c r="A293" s="535"/>
      <c r="B293" s="535"/>
      <c r="C293" s="535"/>
      <c r="D293" s="535"/>
      <c r="E293" s="535"/>
      <c r="F293" s="535"/>
      <c r="G293" s="535"/>
      <c r="H293" s="535"/>
      <c r="I293" s="535"/>
      <c r="J293" s="535"/>
      <c r="K293" s="535"/>
      <c r="L293" s="535"/>
      <c r="M293" s="535"/>
    </row>
    <row r="294" spans="1:13" x14ac:dyDescent="0.2">
      <c r="A294" s="535"/>
      <c r="B294" s="535"/>
      <c r="C294" s="535"/>
      <c r="D294" s="535"/>
      <c r="E294" s="535"/>
      <c r="F294" s="535"/>
      <c r="G294" s="535"/>
      <c r="H294" s="535"/>
      <c r="I294" s="535"/>
      <c r="J294" s="535"/>
      <c r="K294" s="535"/>
      <c r="L294" s="535"/>
      <c r="M294" s="535"/>
    </row>
    <row r="295" spans="1:13" x14ac:dyDescent="0.2">
      <c r="A295" s="535"/>
      <c r="B295" s="535"/>
      <c r="C295" s="535"/>
      <c r="D295" s="535"/>
      <c r="E295" s="535"/>
      <c r="F295" s="535"/>
      <c r="G295" s="535"/>
      <c r="H295" s="535"/>
      <c r="I295" s="535"/>
      <c r="J295" s="535"/>
      <c r="K295" s="535"/>
      <c r="L295" s="535"/>
      <c r="M295" s="535"/>
    </row>
    <row r="296" spans="1:13" x14ac:dyDescent="0.2">
      <c r="A296" s="535"/>
      <c r="B296" s="535"/>
      <c r="C296" s="535"/>
      <c r="D296" s="535"/>
      <c r="E296" s="535"/>
      <c r="F296" s="535"/>
      <c r="G296" s="535"/>
      <c r="H296" s="535"/>
      <c r="I296" s="535"/>
      <c r="J296" s="535"/>
      <c r="K296" s="535"/>
      <c r="L296" s="535"/>
      <c r="M296" s="535"/>
    </row>
    <row r="297" spans="1:13" x14ac:dyDescent="0.2">
      <c r="A297" s="535"/>
      <c r="B297" s="535"/>
      <c r="C297" s="535"/>
      <c r="D297" s="535"/>
      <c r="E297" s="535"/>
      <c r="F297" s="535"/>
      <c r="G297" s="535"/>
      <c r="H297" s="535"/>
      <c r="I297" s="535"/>
      <c r="J297" s="535"/>
      <c r="K297" s="535"/>
      <c r="L297" s="535"/>
      <c r="M297" s="535"/>
    </row>
    <row r="298" spans="1:13" x14ac:dyDescent="0.2">
      <c r="A298" s="535"/>
      <c r="B298" s="535"/>
      <c r="C298" s="535"/>
      <c r="D298" s="535"/>
      <c r="E298" s="535"/>
      <c r="F298" s="535"/>
      <c r="G298" s="535"/>
      <c r="H298" s="535"/>
      <c r="I298" s="535"/>
      <c r="J298" s="535"/>
      <c r="K298" s="535"/>
      <c r="L298" s="535"/>
      <c r="M298" s="535"/>
    </row>
    <row r="299" spans="1:13" x14ac:dyDescent="0.2">
      <c r="A299" s="535"/>
      <c r="B299" s="535"/>
      <c r="C299" s="535"/>
      <c r="D299" s="535"/>
      <c r="E299" s="535"/>
      <c r="F299" s="535"/>
      <c r="G299" s="535"/>
      <c r="H299" s="535"/>
      <c r="I299" s="535"/>
      <c r="J299" s="535"/>
      <c r="K299" s="535"/>
      <c r="L299" s="535"/>
      <c r="M299" s="535"/>
    </row>
    <row r="300" spans="1:13" x14ac:dyDescent="0.2">
      <c r="A300" s="535"/>
      <c r="B300" s="535"/>
      <c r="C300" s="535"/>
      <c r="D300" s="535"/>
      <c r="E300" s="535"/>
      <c r="F300" s="535"/>
      <c r="G300" s="535"/>
      <c r="H300" s="535"/>
      <c r="I300" s="535"/>
      <c r="J300" s="535"/>
      <c r="K300" s="535"/>
      <c r="L300" s="535"/>
      <c r="M300" s="535"/>
    </row>
    <row r="301" spans="1:13" x14ac:dyDescent="0.2">
      <c r="A301" s="535"/>
      <c r="B301" s="535"/>
      <c r="C301" s="535"/>
      <c r="D301" s="535"/>
      <c r="E301" s="535"/>
      <c r="F301" s="535"/>
      <c r="G301" s="535"/>
      <c r="H301" s="535"/>
      <c r="I301" s="535"/>
      <c r="J301" s="535"/>
      <c r="K301" s="535"/>
      <c r="L301" s="535"/>
      <c r="M301" s="535"/>
    </row>
    <row r="302" spans="1:13" x14ac:dyDescent="0.2">
      <c r="A302" s="535"/>
      <c r="B302" s="535"/>
      <c r="C302" s="535"/>
      <c r="D302" s="535"/>
      <c r="E302" s="535"/>
      <c r="F302" s="535"/>
      <c r="G302" s="535"/>
      <c r="H302" s="535"/>
      <c r="I302" s="535"/>
      <c r="J302" s="535"/>
      <c r="K302" s="535"/>
      <c r="L302" s="535"/>
      <c r="M302" s="535"/>
    </row>
    <row r="303" spans="1:13" x14ac:dyDescent="0.2">
      <c r="A303" s="535"/>
      <c r="B303" s="535"/>
      <c r="C303" s="535"/>
      <c r="D303" s="535"/>
      <c r="E303" s="535"/>
      <c r="F303" s="535"/>
      <c r="G303" s="535"/>
      <c r="H303" s="535"/>
      <c r="I303" s="535"/>
      <c r="J303" s="535"/>
      <c r="K303" s="535"/>
      <c r="L303" s="535"/>
      <c r="M303" s="535"/>
    </row>
    <row r="304" spans="1:13" x14ac:dyDescent="0.2">
      <c r="A304" s="535"/>
      <c r="B304" s="535"/>
      <c r="C304" s="535"/>
      <c r="D304" s="535"/>
      <c r="E304" s="535"/>
      <c r="F304" s="535"/>
      <c r="G304" s="535"/>
      <c r="H304" s="535"/>
      <c r="I304" s="535"/>
      <c r="J304" s="535"/>
      <c r="K304" s="535"/>
      <c r="L304" s="535"/>
      <c r="M304" s="535"/>
    </row>
    <row r="305" spans="1:13" x14ac:dyDescent="0.2">
      <c r="A305" s="535"/>
      <c r="B305" s="535"/>
      <c r="C305" s="535"/>
      <c r="D305" s="535"/>
      <c r="E305" s="535"/>
      <c r="F305" s="535"/>
      <c r="G305" s="535"/>
      <c r="H305" s="535"/>
      <c r="I305" s="535"/>
      <c r="J305" s="535"/>
      <c r="K305" s="535"/>
      <c r="L305" s="535"/>
      <c r="M305" s="535"/>
    </row>
    <row r="306" spans="1:13" x14ac:dyDescent="0.2">
      <c r="A306" s="535"/>
      <c r="B306" s="535"/>
      <c r="C306" s="535"/>
      <c r="D306" s="535"/>
      <c r="E306" s="535"/>
      <c r="F306" s="535"/>
      <c r="G306" s="535"/>
      <c r="H306" s="535"/>
      <c r="I306" s="535"/>
      <c r="J306" s="535"/>
      <c r="K306" s="535"/>
      <c r="L306" s="535"/>
      <c r="M306" s="535"/>
    </row>
    <row r="307" spans="1:13" x14ac:dyDescent="0.2">
      <c r="A307" s="535"/>
      <c r="B307" s="535"/>
      <c r="C307" s="535"/>
      <c r="D307" s="535"/>
      <c r="E307" s="535"/>
      <c r="F307" s="535"/>
      <c r="G307" s="535"/>
      <c r="H307" s="535"/>
      <c r="I307" s="535"/>
      <c r="J307" s="535"/>
      <c r="K307" s="535"/>
      <c r="L307" s="535"/>
      <c r="M307" s="535"/>
    </row>
    <row r="308" spans="1:13" x14ac:dyDescent="0.2">
      <c r="A308" s="535"/>
      <c r="B308" s="535"/>
      <c r="C308" s="535"/>
      <c r="D308" s="535"/>
      <c r="E308" s="535"/>
      <c r="F308" s="535"/>
      <c r="G308" s="535"/>
      <c r="H308" s="535"/>
      <c r="I308" s="535"/>
      <c r="J308" s="535"/>
      <c r="K308" s="535"/>
      <c r="L308" s="535"/>
      <c r="M308" s="535"/>
    </row>
    <row r="309" spans="1:13" x14ac:dyDescent="0.2">
      <c r="A309" s="535"/>
      <c r="B309" s="535"/>
      <c r="C309" s="535"/>
      <c r="D309" s="535"/>
      <c r="E309" s="535"/>
      <c r="F309" s="535"/>
      <c r="G309" s="535"/>
      <c r="H309" s="535"/>
      <c r="I309" s="535"/>
      <c r="J309" s="535"/>
      <c r="K309" s="535"/>
      <c r="L309" s="535"/>
      <c r="M309" s="535"/>
    </row>
    <row r="310" spans="1:13" x14ac:dyDescent="0.2">
      <c r="A310" s="535"/>
      <c r="B310" s="535"/>
      <c r="C310" s="535"/>
      <c r="D310" s="535"/>
      <c r="E310" s="535"/>
      <c r="F310" s="535"/>
      <c r="G310" s="535"/>
      <c r="H310" s="535"/>
      <c r="I310" s="535"/>
      <c r="J310" s="535"/>
      <c r="K310" s="535"/>
      <c r="L310" s="535"/>
      <c r="M310" s="535"/>
    </row>
    <row r="311" spans="1:13" x14ac:dyDescent="0.2">
      <c r="A311" s="535"/>
      <c r="B311" s="535"/>
      <c r="C311" s="535"/>
      <c r="D311" s="535"/>
      <c r="E311" s="535"/>
      <c r="F311" s="535"/>
      <c r="G311" s="535"/>
      <c r="H311" s="535"/>
      <c r="I311" s="535"/>
      <c r="J311" s="535"/>
      <c r="K311" s="535"/>
      <c r="L311" s="535"/>
      <c r="M311" s="535"/>
    </row>
    <row r="312" spans="1:13" x14ac:dyDescent="0.2">
      <c r="A312" s="535"/>
      <c r="B312" s="535"/>
      <c r="C312" s="535"/>
      <c r="D312" s="535"/>
      <c r="E312" s="535"/>
      <c r="F312" s="535"/>
      <c r="G312" s="535"/>
      <c r="H312" s="535"/>
      <c r="I312" s="535"/>
      <c r="J312" s="535"/>
      <c r="K312" s="535"/>
      <c r="L312" s="535"/>
      <c r="M312" s="535"/>
    </row>
    <row r="313" spans="1:13" x14ac:dyDescent="0.2">
      <c r="A313" s="535"/>
      <c r="B313" s="535"/>
      <c r="C313" s="535"/>
      <c r="D313" s="535"/>
      <c r="E313" s="535"/>
      <c r="F313" s="535"/>
      <c r="G313" s="535"/>
      <c r="H313" s="535"/>
      <c r="I313" s="535"/>
      <c r="J313" s="535"/>
      <c r="K313" s="535"/>
      <c r="L313" s="535"/>
      <c r="M313" s="535"/>
    </row>
    <row r="314" spans="1:13" x14ac:dyDescent="0.2">
      <c r="A314" s="535"/>
      <c r="B314" s="535"/>
      <c r="C314" s="535"/>
      <c r="D314" s="535"/>
      <c r="E314" s="535"/>
      <c r="F314" s="535"/>
      <c r="G314" s="535"/>
      <c r="H314" s="535"/>
      <c r="I314" s="535"/>
      <c r="J314" s="535"/>
      <c r="K314" s="535"/>
      <c r="L314" s="535"/>
      <c r="M314" s="535"/>
    </row>
    <row r="315" spans="1:13" x14ac:dyDescent="0.2">
      <c r="A315" s="535"/>
      <c r="B315" s="535"/>
      <c r="C315" s="535"/>
      <c r="D315" s="535"/>
      <c r="E315" s="535"/>
      <c r="F315" s="535"/>
      <c r="G315" s="535"/>
      <c r="H315" s="535"/>
      <c r="I315" s="535"/>
      <c r="J315" s="535"/>
      <c r="K315" s="535"/>
      <c r="L315" s="535"/>
      <c r="M315" s="535"/>
    </row>
    <row r="316" spans="1:13" x14ac:dyDescent="0.2">
      <c r="A316" s="535"/>
      <c r="B316" s="535"/>
      <c r="C316" s="535"/>
      <c r="D316" s="535"/>
      <c r="E316" s="535"/>
      <c r="F316" s="535"/>
      <c r="G316" s="535"/>
      <c r="H316" s="535"/>
      <c r="I316" s="535"/>
      <c r="J316" s="535"/>
      <c r="K316" s="535"/>
      <c r="L316" s="535"/>
      <c r="M316" s="535"/>
    </row>
    <row r="317" spans="1:13" x14ac:dyDescent="0.2">
      <c r="A317" s="535"/>
      <c r="B317" s="535"/>
      <c r="C317" s="535"/>
      <c r="D317" s="535"/>
      <c r="E317" s="535"/>
      <c r="F317" s="535"/>
      <c r="G317" s="535"/>
      <c r="H317" s="535"/>
      <c r="I317" s="535"/>
      <c r="J317" s="535"/>
      <c r="K317" s="535"/>
      <c r="L317" s="535"/>
      <c r="M317" s="535"/>
    </row>
    <row r="318" spans="1:13" x14ac:dyDescent="0.2">
      <c r="A318" s="535"/>
      <c r="B318" s="535"/>
      <c r="C318" s="535"/>
      <c r="D318" s="535"/>
      <c r="E318" s="535"/>
      <c r="F318" s="535"/>
      <c r="G318" s="535"/>
      <c r="H318" s="535"/>
      <c r="I318" s="535"/>
      <c r="J318" s="535"/>
      <c r="K318" s="535"/>
      <c r="L318" s="535"/>
      <c r="M318" s="535"/>
    </row>
    <row r="319" spans="1:13" x14ac:dyDescent="0.2">
      <c r="A319" s="535"/>
      <c r="B319" s="535"/>
      <c r="C319" s="535"/>
      <c r="D319" s="535"/>
      <c r="E319" s="535"/>
      <c r="F319" s="535"/>
      <c r="G319" s="535"/>
      <c r="H319" s="535"/>
      <c r="I319" s="535"/>
      <c r="J319" s="535"/>
      <c r="K319" s="535"/>
      <c r="L319" s="535"/>
      <c r="M319" s="535"/>
    </row>
    <row r="320" spans="1:13" x14ac:dyDescent="0.2">
      <c r="A320" s="535"/>
      <c r="B320" s="535"/>
      <c r="C320" s="535"/>
      <c r="D320" s="535"/>
      <c r="E320" s="535"/>
      <c r="F320" s="535"/>
      <c r="G320" s="535"/>
      <c r="H320" s="535"/>
      <c r="I320" s="535"/>
      <c r="J320" s="535"/>
      <c r="K320" s="535"/>
      <c r="L320" s="535"/>
      <c r="M320" s="535"/>
    </row>
    <row r="321" spans="1:13" x14ac:dyDescent="0.2">
      <c r="A321" s="535"/>
      <c r="B321" s="535"/>
      <c r="C321" s="535"/>
      <c r="D321" s="535"/>
      <c r="E321" s="535"/>
      <c r="F321" s="535"/>
      <c r="G321" s="535"/>
      <c r="H321" s="535"/>
      <c r="I321" s="535"/>
      <c r="J321" s="535"/>
      <c r="K321" s="535"/>
      <c r="L321" s="535"/>
      <c r="M321" s="535"/>
    </row>
    <row r="322" spans="1:13" x14ac:dyDescent="0.2">
      <c r="A322" s="535"/>
      <c r="B322" s="535"/>
      <c r="C322" s="535"/>
      <c r="D322" s="535"/>
      <c r="E322" s="535"/>
      <c r="F322" s="535"/>
      <c r="G322" s="535"/>
      <c r="H322" s="535"/>
      <c r="I322" s="535"/>
      <c r="J322" s="535"/>
      <c r="K322" s="535"/>
      <c r="L322" s="535"/>
      <c r="M322" s="535"/>
    </row>
    <row r="323" spans="1:13" x14ac:dyDescent="0.2">
      <c r="A323" s="535"/>
      <c r="B323" s="535"/>
      <c r="C323" s="535"/>
      <c r="D323" s="535"/>
      <c r="E323" s="535"/>
      <c r="F323" s="535"/>
      <c r="G323" s="535"/>
      <c r="H323" s="535"/>
      <c r="I323" s="535"/>
      <c r="J323" s="535"/>
      <c r="K323" s="535"/>
      <c r="L323" s="535"/>
      <c r="M323" s="535"/>
    </row>
    <row r="324" spans="1:13" x14ac:dyDescent="0.2">
      <c r="A324" s="535"/>
      <c r="B324" s="535"/>
      <c r="C324" s="535"/>
      <c r="D324" s="535"/>
      <c r="E324" s="535"/>
      <c r="F324" s="535"/>
      <c r="G324" s="535"/>
      <c r="H324" s="535"/>
      <c r="I324" s="535"/>
      <c r="J324" s="535"/>
      <c r="K324" s="535"/>
      <c r="L324" s="535"/>
      <c r="M324" s="535"/>
    </row>
    <row r="325" spans="1:13" x14ac:dyDescent="0.2">
      <c r="A325" s="535"/>
      <c r="B325" s="535"/>
      <c r="C325" s="535"/>
      <c r="D325" s="535"/>
      <c r="E325" s="535"/>
      <c r="F325" s="535"/>
      <c r="G325" s="535"/>
      <c r="H325" s="535"/>
      <c r="I325" s="535"/>
      <c r="J325" s="535"/>
      <c r="K325" s="535"/>
      <c r="L325" s="535"/>
      <c r="M325" s="535"/>
    </row>
    <row r="326" spans="1:13" x14ac:dyDescent="0.2">
      <c r="A326" s="535"/>
      <c r="B326" s="535"/>
      <c r="C326" s="535"/>
      <c r="D326" s="535"/>
      <c r="E326" s="535"/>
      <c r="F326" s="535"/>
      <c r="G326" s="535"/>
      <c r="H326" s="535"/>
      <c r="I326" s="535"/>
      <c r="J326" s="535"/>
      <c r="K326" s="535"/>
      <c r="L326" s="535"/>
      <c r="M326" s="535"/>
    </row>
    <row r="327" spans="1:13" x14ac:dyDescent="0.2">
      <c r="A327" s="535"/>
      <c r="B327" s="535"/>
      <c r="C327" s="535"/>
      <c r="D327" s="535"/>
      <c r="E327" s="535"/>
      <c r="F327" s="535"/>
      <c r="G327" s="535"/>
      <c r="H327" s="535"/>
      <c r="I327" s="535"/>
      <c r="J327" s="535"/>
      <c r="K327" s="535"/>
      <c r="L327" s="535"/>
      <c r="M327" s="535"/>
    </row>
    <row r="328" spans="1:13" x14ac:dyDescent="0.2">
      <c r="A328" s="535"/>
      <c r="B328" s="535"/>
      <c r="C328" s="535"/>
      <c r="D328" s="535"/>
      <c r="E328" s="535"/>
      <c r="F328" s="535"/>
      <c r="G328" s="535"/>
      <c r="H328" s="535"/>
      <c r="I328" s="535"/>
      <c r="J328" s="535"/>
      <c r="K328" s="535"/>
      <c r="L328" s="535"/>
      <c r="M328" s="535"/>
    </row>
    <row r="329" spans="1:13" x14ac:dyDescent="0.2">
      <c r="A329" s="535"/>
      <c r="B329" s="535"/>
      <c r="C329" s="535"/>
      <c r="D329" s="535"/>
      <c r="E329" s="535"/>
      <c r="F329" s="535"/>
      <c r="G329" s="535"/>
      <c r="H329" s="535"/>
      <c r="I329" s="535"/>
      <c r="J329" s="535"/>
      <c r="K329" s="535"/>
      <c r="L329" s="535"/>
      <c r="M329" s="535"/>
    </row>
    <row r="330" spans="1:13" x14ac:dyDescent="0.2">
      <c r="A330" s="535"/>
      <c r="B330" s="535"/>
      <c r="C330" s="535"/>
      <c r="D330" s="535"/>
      <c r="E330" s="535"/>
      <c r="F330" s="535"/>
      <c r="G330" s="535"/>
      <c r="H330" s="535"/>
      <c r="I330" s="535"/>
      <c r="J330" s="535"/>
      <c r="K330" s="535"/>
      <c r="L330" s="535"/>
      <c r="M330" s="535"/>
    </row>
    <row r="331" spans="1:13" x14ac:dyDescent="0.2">
      <c r="A331" s="535"/>
      <c r="B331" s="535"/>
      <c r="C331" s="535"/>
      <c r="D331" s="535"/>
      <c r="E331" s="535"/>
      <c r="F331" s="535"/>
      <c r="G331" s="535"/>
      <c r="H331" s="535"/>
      <c r="I331" s="535"/>
      <c r="J331" s="535"/>
      <c r="K331" s="535"/>
      <c r="L331" s="535"/>
      <c r="M331" s="535"/>
    </row>
    <row r="332" spans="1:13" x14ac:dyDescent="0.2">
      <c r="A332" s="535"/>
      <c r="B332" s="535"/>
      <c r="C332" s="535"/>
      <c r="D332" s="535"/>
      <c r="E332" s="535"/>
      <c r="F332" s="535"/>
      <c r="G332" s="535"/>
      <c r="H332" s="535"/>
      <c r="I332" s="535"/>
      <c r="J332" s="535"/>
      <c r="K332" s="535"/>
      <c r="L332" s="535"/>
      <c r="M332" s="535"/>
    </row>
    <row r="333" spans="1:13" x14ac:dyDescent="0.2">
      <c r="A333" s="535"/>
      <c r="B333" s="535"/>
      <c r="C333" s="535"/>
      <c r="D333" s="535"/>
      <c r="E333" s="535"/>
      <c r="F333" s="535"/>
      <c r="G333" s="535"/>
      <c r="H333" s="535"/>
      <c r="I333" s="535"/>
      <c r="J333" s="535"/>
      <c r="K333" s="535"/>
      <c r="L333" s="535"/>
      <c r="M333" s="535"/>
    </row>
    <row r="334" spans="1:13" x14ac:dyDescent="0.2">
      <c r="A334" s="535"/>
      <c r="B334" s="535"/>
      <c r="C334" s="535"/>
      <c r="D334" s="535"/>
      <c r="E334" s="535"/>
      <c r="F334" s="535"/>
      <c r="G334" s="535"/>
      <c r="H334" s="535"/>
      <c r="I334" s="535"/>
      <c r="J334" s="535"/>
      <c r="K334" s="535"/>
      <c r="L334" s="535"/>
      <c r="M334" s="535"/>
    </row>
    <row r="335" spans="1:13" x14ac:dyDescent="0.2">
      <c r="A335" s="535"/>
      <c r="B335" s="535"/>
      <c r="C335" s="535"/>
      <c r="D335" s="535"/>
      <c r="E335" s="535"/>
      <c r="F335" s="535"/>
      <c r="G335" s="535"/>
      <c r="H335" s="535"/>
      <c r="I335" s="535"/>
      <c r="J335" s="535"/>
      <c r="K335" s="535"/>
      <c r="L335" s="535"/>
      <c r="M335" s="535"/>
    </row>
    <row r="336" spans="1:13" x14ac:dyDescent="0.2">
      <c r="A336" s="535"/>
      <c r="B336" s="535"/>
      <c r="C336" s="535"/>
      <c r="D336" s="535"/>
      <c r="E336" s="535"/>
      <c r="F336" s="535"/>
      <c r="G336" s="535"/>
      <c r="H336" s="535"/>
      <c r="I336" s="535"/>
      <c r="J336" s="535"/>
      <c r="K336" s="535"/>
      <c r="L336" s="535"/>
      <c r="M336" s="535"/>
    </row>
    <row r="337" spans="1:13" x14ac:dyDescent="0.2">
      <c r="A337" s="535"/>
      <c r="B337" s="535"/>
      <c r="C337" s="535"/>
      <c r="D337" s="535"/>
      <c r="E337" s="535"/>
      <c r="F337" s="535"/>
      <c r="G337" s="535"/>
      <c r="H337" s="535"/>
      <c r="I337" s="535"/>
      <c r="J337" s="535"/>
      <c r="K337" s="535"/>
      <c r="L337" s="535"/>
      <c r="M337" s="535"/>
    </row>
    <row r="338" spans="1:13" x14ac:dyDescent="0.2">
      <c r="A338" s="535"/>
      <c r="B338" s="535"/>
      <c r="C338" s="535"/>
      <c r="D338" s="535"/>
      <c r="E338" s="535"/>
      <c r="F338" s="535"/>
      <c r="G338" s="535"/>
      <c r="H338" s="535"/>
      <c r="I338" s="535"/>
      <c r="J338" s="535"/>
      <c r="K338" s="535"/>
      <c r="L338" s="535"/>
      <c r="M338" s="535"/>
    </row>
    <row r="339" spans="1:13" x14ac:dyDescent="0.2">
      <c r="A339" s="535"/>
      <c r="B339" s="535"/>
      <c r="C339" s="535"/>
      <c r="D339" s="535"/>
      <c r="E339" s="535"/>
      <c r="F339" s="535"/>
      <c r="G339" s="535"/>
      <c r="H339" s="535"/>
      <c r="I339" s="535"/>
      <c r="J339" s="535"/>
      <c r="K339" s="535"/>
      <c r="L339" s="535"/>
      <c r="M339" s="535"/>
    </row>
    <row r="340" spans="1:13" x14ac:dyDescent="0.2">
      <c r="A340" s="535"/>
      <c r="B340" s="535"/>
      <c r="C340" s="535"/>
      <c r="D340" s="535"/>
      <c r="E340" s="535"/>
      <c r="F340" s="535"/>
      <c r="G340" s="535"/>
      <c r="H340" s="535"/>
      <c r="I340" s="535"/>
      <c r="J340" s="535"/>
      <c r="K340" s="535"/>
      <c r="L340" s="535"/>
      <c r="M340" s="535"/>
    </row>
    <row r="341" spans="1:13" x14ac:dyDescent="0.2">
      <c r="A341" s="535"/>
      <c r="B341" s="535"/>
      <c r="C341" s="535"/>
      <c r="D341" s="535"/>
      <c r="E341" s="535"/>
      <c r="F341" s="535"/>
      <c r="G341" s="535"/>
      <c r="H341" s="535"/>
      <c r="I341" s="535"/>
      <c r="J341" s="535"/>
      <c r="K341" s="535"/>
      <c r="L341" s="535"/>
      <c r="M341" s="535"/>
    </row>
    <row r="342" spans="1:13" x14ac:dyDescent="0.2">
      <c r="A342" s="535"/>
      <c r="B342" s="535"/>
      <c r="C342" s="535"/>
      <c r="D342" s="535"/>
      <c r="E342" s="535"/>
      <c r="F342" s="535"/>
      <c r="G342" s="535"/>
      <c r="H342" s="535"/>
      <c r="I342" s="535"/>
      <c r="J342" s="535"/>
      <c r="K342" s="535"/>
      <c r="L342" s="535"/>
      <c r="M342" s="535"/>
    </row>
    <row r="343" spans="1:13" x14ac:dyDescent="0.2">
      <c r="A343" s="535"/>
      <c r="B343" s="535"/>
      <c r="C343" s="535"/>
      <c r="D343" s="535"/>
      <c r="E343" s="535"/>
      <c r="F343" s="535"/>
      <c r="G343" s="535"/>
      <c r="H343" s="535"/>
      <c r="I343" s="535"/>
      <c r="J343" s="535"/>
      <c r="K343" s="535"/>
      <c r="L343" s="535"/>
      <c r="M343" s="535"/>
    </row>
    <row r="344" spans="1:13" x14ac:dyDescent="0.2">
      <c r="A344" s="535"/>
      <c r="B344" s="535"/>
      <c r="C344" s="535"/>
      <c r="D344" s="535"/>
      <c r="E344" s="535"/>
      <c r="F344" s="535"/>
      <c r="G344" s="535"/>
      <c r="H344" s="535"/>
      <c r="I344" s="535"/>
      <c r="J344" s="535"/>
      <c r="K344" s="535"/>
      <c r="L344" s="535"/>
      <c r="M344" s="535"/>
    </row>
    <row r="345" spans="1:13" x14ac:dyDescent="0.2">
      <c r="A345" s="535"/>
      <c r="B345" s="535"/>
      <c r="C345" s="535"/>
      <c r="D345" s="535"/>
      <c r="E345" s="535"/>
      <c r="F345" s="535"/>
      <c r="G345" s="535"/>
      <c r="H345" s="535"/>
      <c r="I345" s="535"/>
      <c r="J345" s="535"/>
      <c r="K345" s="535"/>
      <c r="L345" s="535"/>
      <c r="M345" s="535"/>
    </row>
    <row r="346" spans="1:13" x14ac:dyDescent="0.2">
      <c r="A346" s="535"/>
      <c r="B346" s="535"/>
      <c r="C346" s="535"/>
      <c r="D346" s="535"/>
      <c r="E346" s="535"/>
      <c r="F346" s="535"/>
      <c r="G346" s="535"/>
      <c r="H346" s="535"/>
      <c r="I346" s="535"/>
      <c r="J346" s="535"/>
      <c r="K346" s="535"/>
      <c r="L346" s="535"/>
      <c r="M346" s="535"/>
    </row>
    <row r="347" spans="1:13" x14ac:dyDescent="0.2">
      <c r="A347" s="535"/>
      <c r="B347" s="535"/>
      <c r="C347" s="535"/>
      <c r="D347" s="535"/>
      <c r="E347" s="535"/>
      <c r="F347" s="535"/>
      <c r="G347" s="535"/>
      <c r="H347" s="535"/>
      <c r="I347" s="535"/>
      <c r="J347" s="535"/>
      <c r="K347" s="535"/>
      <c r="L347" s="535"/>
      <c r="M347" s="535"/>
    </row>
    <row r="348" spans="1:13" x14ac:dyDescent="0.2">
      <c r="A348" s="535"/>
      <c r="B348" s="535"/>
      <c r="C348" s="535"/>
      <c r="D348" s="535"/>
      <c r="E348" s="535"/>
      <c r="F348" s="535"/>
      <c r="G348" s="535"/>
      <c r="H348" s="535"/>
      <c r="I348" s="535"/>
      <c r="J348" s="535"/>
      <c r="K348" s="535"/>
      <c r="L348" s="535"/>
      <c r="M348" s="535"/>
    </row>
    <row r="349" spans="1:13" x14ac:dyDescent="0.2">
      <c r="A349" s="535"/>
      <c r="B349" s="535"/>
      <c r="C349" s="535"/>
      <c r="D349" s="535"/>
      <c r="E349" s="535"/>
      <c r="F349" s="535"/>
      <c r="G349" s="535"/>
      <c r="H349" s="535"/>
      <c r="I349" s="535"/>
      <c r="J349" s="535"/>
      <c r="K349" s="535"/>
      <c r="L349" s="535"/>
      <c r="M349" s="535"/>
    </row>
    <row r="350" spans="1:13" x14ac:dyDescent="0.2">
      <c r="A350" s="535"/>
      <c r="B350" s="535"/>
      <c r="C350" s="535"/>
      <c r="D350" s="535"/>
      <c r="E350" s="535"/>
      <c r="F350" s="535"/>
      <c r="G350" s="535"/>
      <c r="H350" s="535"/>
      <c r="I350" s="535"/>
      <c r="J350" s="535"/>
      <c r="K350" s="535"/>
      <c r="L350" s="535"/>
      <c r="M350" s="535"/>
    </row>
    <row r="351" spans="1:13" x14ac:dyDescent="0.2">
      <c r="A351" s="535"/>
      <c r="B351" s="535"/>
      <c r="C351" s="535"/>
      <c r="D351" s="535"/>
      <c r="E351" s="535"/>
      <c r="F351" s="535"/>
      <c r="G351" s="535"/>
      <c r="H351" s="535"/>
      <c r="I351" s="535"/>
      <c r="J351" s="535"/>
      <c r="K351" s="535"/>
      <c r="L351" s="535"/>
      <c r="M351" s="535"/>
    </row>
    <row r="352" spans="1:13" x14ac:dyDescent="0.2">
      <c r="A352" s="535"/>
      <c r="B352" s="535"/>
      <c r="C352" s="535"/>
      <c r="D352" s="535"/>
      <c r="E352" s="535"/>
      <c r="F352" s="535"/>
      <c r="G352" s="535"/>
      <c r="H352" s="535"/>
      <c r="I352" s="535"/>
      <c r="J352" s="535"/>
      <c r="K352" s="535"/>
      <c r="L352" s="535"/>
      <c r="M352" s="535"/>
    </row>
    <row r="353" spans="1:13" x14ac:dyDescent="0.2">
      <c r="A353" s="535"/>
      <c r="B353" s="535"/>
      <c r="C353" s="535"/>
      <c r="D353" s="535"/>
      <c r="E353" s="535"/>
      <c r="F353" s="535"/>
      <c r="G353" s="535"/>
      <c r="H353" s="535"/>
      <c r="I353" s="535"/>
      <c r="J353" s="535"/>
      <c r="K353" s="535"/>
      <c r="L353" s="535"/>
      <c r="M353" s="535"/>
    </row>
    <row r="354" spans="1:13" x14ac:dyDescent="0.2">
      <c r="A354" s="535"/>
      <c r="B354" s="535"/>
      <c r="C354" s="535"/>
      <c r="D354" s="535"/>
      <c r="E354" s="535"/>
      <c r="F354" s="535"/>
      <c r="G354" s="535"/>
      <c r="H354" s="535"/>
      <c r="I354" s="535"/>
      <c r="J354" s="535"/>
      <c r="K354" s="535"/>
      <c r="L354" s="535"/>
      <c r="M354" s="535"/>
    </row>
    <row r="355" spans="1:13" x14ac:dyDescent="0.2">
      <c r="A355" s="535"/>
      <c r="B355" s="535"/>
      <c r="C355" s="535"/>
      <c r="D355" s="535"/>
      <c r="E355" s="535"/>
      <c r="F355" s="535"/>
      <c r="G355" s="535"/>
      <c r="H355" s="535"/>
      <c r="I355" s="535"/>
      <c r="J355" s="535"/>
      <c r="K355" s="535"/>
      <c r="L355" s="535"/>
      <c r="M355" s="535"/>
    </row>
    <row r="356" spans="1:13" x14ac:dyDescent="0.2">
      <c r="A356" s="535"/>
      <c r="B356" s="535"/>
      <c r="C356" s="535"/>
      <c r="D356" s="535"/>
      <c r="E356" s="535"/>
      <c r="F356" s="535"/>
      <c r="G356" s="535"/>
      <c r="H356" s="535"/>
      <c r="I356" s="535"/>
      <c r="J356" s="535"/>
      <c r="K356" s="535"/>
      <c r="L356" s="535"/>
      <c r="M356" s="535"/>
    </row>
    <row r="357" spans="1:13" x14ac:dyDescent="0.2">
      <c r="A357" s="535"/>
      <c r="B357" s="535"/>
      <c r="C357" s="535"/>
      <c r="D357" s="535"/>
      <c r="E357" s="535"/>
      <c r="F357" s="535"/>
      <c r="G357" s="535"/>
      <c r="H357" s="535"/>
      <c r="I357" s="535"/>
      <c r="J357" s="535"/>
      <c r="K357" s="535"/>
      <c r="L357" s="535"/>
      <c r="M357" s="535"/>
    </row>
    <row r="358" spans="1:13" x14ac:dyDescent="0.2">
      <c r="A358" s="535"/>
      <c r="B358" s="535"/>
      <c r="C358" s="535"/>
      <c r="D358" s="535"/>
      <c r="E358" s="535"/>
      <c r="F358" s="535"/>
      <c r="G358" s="535"/>
      <c r="H358" s="535"/>
      <c r="I358" s="535"/>
      <c r="J358" s="535"/>
      <c r="K358" s="535"/>
      <c r="L358" s="535"/>
      <c r="M358" s="535"/>
    </row>
    <row r="359" spans="1:13" x14ac:dyDescent="0.2">
      <c r="A359" s="535"/>
      <c r="B359" s="535"/>
      <c r="C359" s="535"/>
      <c r="D359" s="535"/>
      <c r="E359" s="535"/>
      <c r="F359" s="535"/>
      <c r="G359" s="535"/>
      <c r="H359" s="535"/>
      <c r="I359" s="535"/>
      <c r="J359" s="535"/>
      <c r="K359" s="535"/>
      <c r="L359" s="535"/>
      <c r="M359" s="535"/>
    </row>
    <row r="360" spans="1:13" x14ac:dyDescent="0.2">
      <c r="A360" s="535"/>
      <c r="B360" s="535"/>
      <c r="C360" s="535"/>
      <c r="D360" s="535"/>
      <c r="E360" s="535"/>
      <c r="F360" s="535"/>
      <c r="G360" s="535"/>
      <c r="H360" s="535"/>
      <c r="I360" s="535"/>
      <c r="J360" s="535"/>
      <c r="K360" s="535"/>
      <c r="L360" s="535"/>
      <c r="M360" s="535"/>
    </row>
    <row r="361" spans="1:13" x14ac:dyDescent="0.2">
      <c r="A361" s="535"/>
      <c r="B361" s="535"/>
      <c r="C361" s="535"/>
      <c r="D361" s="535"/>
      <c r="E361" s="535"/>
      <c r="F361" s="535"/>
      <c r="G361" s="535"/>
      <c r="H361" s="535"/>
      <c r="I361" s="535"/>
      <c r="J361" s="535"/>
      <c r="K361" s="535"/>
      <c r="L361" s="535"/>
      <c r="M361" s="535"/>
    </row>
    <row r="362" spans="1:13" x14ac:dyDescent="0.2">
      <c r="A362" s="535"/>
      <c r="B362" s="535"/>
      <c r="C362" s="535"/>
      <c r="D362" s="535"/>
      <c r="E362" s="535"/>
      <c r="F362" s="535"/>
      <c r="G362" s="535"/>
      <c r="H362" s="535"/>
      <c r="I362" s="535"/>
      <c r="J362" s="535"/>
      <c r="K362" s="535"/>
      <c r="L362" s="535"/>
      <c r="M362" s="535"/>
    </row>
    <row r="363" spans="1:13" x14ac:dyDescent="0.2">
      <c r="A363" s="535"/>
      <c r="B363" s="535"/>
      <c r="C363" s="535"/>
      <c r="D363" s="535"/>
      <c r="E363" s="535"/>
      <c r="F363" s="535"/>
      <c r="G363" s="535"/>
      <c r="H363" s="535"/>
      <c r="I363" s="535"/>
      <c r="J363" s="535"/>
      <c r="K363" s="535"/>
      <c r="L363" s="535"/>
      <c r="M363" s="535"/>
    </row>
    <row r="364" spans="1:13" x14ac:dyDescent="0.2">
      <c r="A364" s="535"/>
      <c r="B364" s="535"/>
      <c r="C364" s="535"/>
      <c r="D364" s="535"/>
      <c r="E364" s="535"/>
      <c r="F364" s="535"/>
      <c r="G364" s="535"/>
      <c r="H364" s="535"/>
      <c r="I364" s="535"/>
      <c r="J364" s="535"/>
      <c r="K364" s="535"/>
      <c r="L364" s="535"/>
      <c r="M364" s="535"/>
    </row>
    <row r="365" spans="1:13" x14ac:dyDescent="0.2">
      <c r="A365" s="535"/>
      <c r="B365" s="535"/>
      <c r="C365" s="535"/>
      <c r="D365" s="535"/>
      <c r="E365" s="535"/>
      <c r="F365" s="535"/>
      <c r="G365" s="535"/>
      <c r="H365" s="535"/>
      <c r="I365" s="535"/>
      <c r="J365" s="535"/>
      <c r="K365" s="535"/>
      <c r="L365" s="535"/>
      <c r="M365" s="535"/>
    </row>
    <row r="366" spans="1:13" x14ac:dyDescent="0.2">
      <c r="A366" s="535"/>
      <c r="B366" s="535"/>
      <c r="C366" s="535"/>
      <c r="D366" s="535"/>
      <c r="E366" s="535"/>
      <c r="F366" s="535"/>
      <c r="G366" s="535"/>
      <c r="H366" s="535"/>
      <c r="I366" s="535"/>
      <c r="J366" s="535"/>
      <c r="K366" s="535"/>
      <c r="L366" s="535"/>
      <c r="M366" s="535"/>
    </row>
    <row r="367" spans="1:13" x14ac:dyDescent="0.2">
      <c r="A367" s="535"/>
      <c r="B367" s="535"/>
      <c r="C367" s="535"/>
      <c r="D367" s="535"/>
      <c r="E367" s="535"/>
      <c r="F367" s="535"/>
      <c r="G367" s="535"/>
      <c r="H367" s="535"/>
      <c r="I367" s="535"/>
      <c r="J367" s="535"/>
      <c r="K367" s="535"/>
      <c r="L367" s="535"/>
      <c r="M367" s="535"/>
    </row>
    <row r="368" spans="1:13" x14ac:dyDescent="0.2">
      <c r="A368" s="535"/>
      <c r="B368" s="535"/>
      <c r="C368" s="535"/>
      <c r="D368" s="535"/>
      <c r="E368" s="535"/>
      <c r="F368" s="535"/>
      <c r="G368" s="535"/>
      <c r="H368" s="535"/>
      <c r="I368" s="535"/>
      <c r="J368" s="535"/>
      <c r="K368" s="535"/>
      <c r="L368" s="535"/>
      <c r="M368" s="535"/>
    </row>
    <row r="369" spans="1:13" x14ac:dyDescent="0.2">
      <c r="A369" s="535"/>
      <c r="B369" s="535"/>
      <c r="C369" s="535"/>
      <c r="D369" s="535"/>
      <c r="E369" s="535"/>
      <c r="F369" s="535"/>
      <c r="G369" s="535"/>
      <c r="H369" s="535"/>
      <c r="I369" s="535"/>
      <c r="J369" s="535"/>
      <c r="K369" s="535"/>
      <c r="L369" s="535"/>
      <c r="M369" s="535"/>
    </row>
    <row r="370" spans="1:13" x14ac:dyDescent="0.2">
      <c r="A370" s="535"/>
      <c r="B370" s="535"/>
      <c r="C370" s="535"/>
      <c r="D370" s="535"/>
      <c r="E370" s="535"/>
      <c r="F370" s="535"/>
      <c r="G370" s="535"/>
      <c r="H370" s="535"/>
      <c r="I370" s="535"/>
      <c r="J370" s="535"/>
      <c r="K370" s="535"/>
      <c r="L370" s="535"/>
      <c r="M370" s="535"/>
    </row>
    <row r="371" spans="1:13" x14ac:dyDescent="0.2">
      <c r="A371" s="535"/>
      <c r="B371" s="535"/>
      <c r="C371" s="535"/>
      <c r="D371" s="535"/>
      <c r="E371" s="535"/>
      <c r="F371" s="535"/>
      <c r="G371" s="535"/>
      <c r="H371" s="535"/>
      <c r="I371" s="535"/>
      <c r="J371" s="535"/>
      <c r="K371" s="535"/>
      <c r="L371" s="535"/>
      <c r="M371" s="535"/>
    </row>
    <row r="372" spans="1:13" x14ac:dyDescent="0.2">
      <c r="A372" s="535"/>
      <c r="B372" s="535"/>
      <c r="C372" s="535"/>
      <c r="D372" s="535"/>
      <c r="E372" s="535"/>
      <c r="F372" s="535"/>
      <c r="G372" s="535"/>
      <c r="H372" s="535"/>
      <c r="I372" s="535"/>
      <c r="J372" s="535"/>
      <c r="K372" s="535"/>
      <c r="L372" s="535"/>
      <c r="M372" s="535"/>
    </row>
    <row r="373" spans="1:13" x14ac:dyDescent="0.2">
      <c r="A373" s="535"/>
      <c r="B373" s="535"/>
      <c r="C373" s="535"/>
      <c r="D373" s="535"/>
      <c r="E373" s="535"/>
      <c r="F373" s="535"/>
      <c r="G373" s="535"/>
      <c r="H373" s="535"/>
      <c r="I373" s="535"/>
      <c r="J373" s="535"/>
      <c r="K373" s="535"/>
      <c r="L373" s="535"/>
      <c r="M373" s="535"/>
    </row>
    <row r="374" spans="1:13" x14ac:dyDescent="0.2">
      <c r="A374" s="535"/>
      <c r="B374" s="535"/>
      <c r="C374" s="535"/>
      <c r="D374" s="535"/>
      <c r="E374" s="535"/>
      <c r="F374" s="535"/>
      <c r="G374" s="535"/>
      <c r="H374" s="535"/>
      <c r="I374" s="535"/>
      <c r="J374" s="535"/>
      <c r="K374" s="535"/>
      <c r="L374" s="535"/>
      <c r="M374" s="535"/>
    </row>
    <row r="375" spans="1:13" x14ac:dyDescent="0.2">
      <c r="A375" s="535"/>
      <c r="B375" s="535"/>
      <c r="C375" s="535"/>
      <c r="D375" s="535"/>
      <c r="E375" s="535"/>
      <c r="F375" s="535"/>
      <c r="G375" s="535"/>
      <c r="H375" s="535"/>
      <c r="I375" s="535"/>
      <c r="J375" s="535"/>
      <c r="K375" s="535"/>
      <c r="L375" s="535"/>
      <c r="M375" s="535"/>
    </row>
    <row r="376" spans="1:13" x14ac:dyDescent="0.2">
      <c r="A376" s="535"/>
      <c r="B376" s="535"/>
      <c r="C376" s="535"/>
      <c r="D376" s="535"/>
      <c r="E376" s="535"/>
      <c r="F376" s="535"/>
      <c r="G376" s="535"/>
      <c r="H376" s="535"/>
      <c r="I376" s="535"/>
      <c r="J376" s="535"/>
      <c r="K376" s="535"/>
      <c r="L376" s="535"/>
      <c r="M376" s="535"/>
    </row>
    <row r="377" spans="1:13" x14ac:dyDescent="0.2">
      <c r="A377" s="535"/>
      <c r="B377" s="535"/>
      <c r="C377" s="535"/>
      <c r="D377" s="535"/>
      <c r="E377" s="535"/>
      <c r="F377" s="535"/>
      <c r="G377" s="535"/>
      <c r="H377" s="535"/>
      <c r="I377" s="535"/>
      <c r="J377" s="535"/>
      <c r="K377" s="535"/>
      <c r="L377" s="535"/>
      <c r="M377" s="535"/>
    </row>
    <row r="378" spans="1:13" x14ac:dyDescent="0.2">
      <c r="A378" s="535"/>
      <c r="B378" s="535"/>
      <c r="C378" s="535"/>
      <c r="D378" s="535"/>
      <c r="E378" s="535"/>
      <c r="F378" s="535"/>
      <c r="G378" s="535"/>
      <c r="H378" s="535"/>
      <c r="I378" s="535"/>
      <c r="J378" s="535"/>
      <c r="K378" s="535"/>
      <c r="L378" s="535"/>
      <c r="M378" s="535"/>
    </row>
    <row r="379" spans="1:13" x14ac:dyDescent="0.2">
      <c r="A379" s="535"/>
      <c r="B379" s="535"/>
      <c r="C379" s="535"/>
      <c r="D379" s="535"/>
      <c r="E379" s="535"/>
      <c r="F379" s="535"/>
      <c r="G379" s="535"/>
      <c r="H379" s="535"/>
      <c r="I379" s="535"/>
      <c r="J379" s="535"/>
      <c r="K379" s="535"/>
      <c r="L379" s="535"/>
      <c r="M379" s="535"/>
    </row>
    <row r="380" spans="1:13" x14ac:dyDescent="0.2">
      <c r="A380" s="535"/>
      <c r="B380" s="535"/>
      <c r="C380" s="535"/>
      <c r="D380" s="535"/>
      <c r="E380" s="535"/>
      <c r="F380" s="535"/>
      <c r="G380" s="535"/>
      <c r="H380" s="535"/>
      <c r="I380" s="535"/>
      <c r="J380" s="535"/>
      <c r="K380" s="535"/>
      <c r="L380" s="535"/>
      <c r="M380" s="535"/>
    </row>
    <row r="381" spans="1:13" x14ac:dyDescent="0.2">
      <c r="A381" s="535"/>
      <c r="B381" s="535"/>
      <c r="C381" s="535"/>
      <c r="D381" s="535"/>
      <c r="E381" s="535"/>
      <c r="F381" s="535"/>
      <c r="G381" s="535"/>
      <c r="H381" s="535"/>
      <c r="I381" s="535"/>
      <c r="J381" s="535"/>
      <c r="K381" s="535"/>
      <c r="L381" s="535"/>
      <c r="M381" s="535"/>
    </row>
    <row r="382" spans="1:13" x14ac:dyDescent="0.2">
      <c r="A382" s="535"/>
      <c r="B382" s="535"/>
      <c r="C382" s="535"/>
      <c r="D382" s="535"/>
      <c r="E382" s="535"/>
      <c r="F382" s="535"/>
      <c r="G382" s="535"/>
      <c r="H382" s="535"/>
      <c r="I382" s="535"/>
      <c r="J382" s="535"/>
      <c r="K382" s="535"/>
      <c r="L382" s="535"/>
      <c r="M382" s="535"/>
    </row>
    <row r="383" spans="1:13" x14ac:dyDescent="0.2">
      <c r="A383" s="535"/>
      <c r="B383" s="535"/>
      <c r="C383" s="535"/>
      <c r="D383" s="535"/>
      <c r="E383" s="535"/>
      <c r="F383" s="535"/>
      <c r="G383" s="535"/>
      <c r="H383" s="535"/>
      <c r="I383" s="535"/>
      <c r="J383" s="535"/>
      <c r="K383" s="535"/>
      <c r="L383" s="535"/>
      <c r="M383" s="535"/>
    </row>
    <row r="384" spans="1:13" x14ac:dyDescent="0.2">
      <c r="A384" s="535"/>
      <c r="B384" s="535"/>
      <c r="C384" s="535"/>
      <c r="D384" s="535"/>
      <c r="E384" s="535"/>
      <c r="F384" s="535"/>
      <c r="G384" s="535"/>
      <c r="H384" s="535"/>
      <c r="I384" s="535"/>
      <c r="J384" s="535"/>
      <c r="K384" s="535"/>
      <c r="L384" s="535"/>
      <c r="M384" s="535"/>
    </row>
    <row r="385" spans="1:13" x14ac:dyDescent="0.2">
      <c r="A385" s="535"/>
      <c r="B385" s="535"/>
      <c r="C385" s="535"/>
      <c r="D385" s="535"/>
      <c r="E385" s="535"/>
      <c r="F385" s="535"/>
      <c r="G385" s="535"/>
      <c r="H385" s="535"/>
      <c r="I385" s="535"/>
      <c r="J385" s="535"/>
      <c r="K385" s="535"/>
      <c r="L385" s="535"/>
      <c r="M385" s="535"/>
    </row>
    <row r="386" spans="1:13" x14ac:dyDescent="0.2">
      <c r="A386" s="535"/>
      <c r="B386" s="535"/>
      <c r="C386" s="535"/>
      <c r="D386" s="535"/>
      <c r="E386" s="535"/>
      <c r="F386" s="535"/>
      <c r="G386" s="535"/>
      <c r="H386" s="535"/>
      <c r="I386" s="535"/>
      <c r="J386" s="535"/>
      <c r="K386" s="535"/>
      <c r="L386" s="535"/>
      <c r="M386" s="535"/>
    </row>
    <row r="387" spans="1:13" x14ac:dyDescent="0.2">
      <c r="A387" s="535"/>
      <c r="B387" s="535"/>
      <c r="C387" s="535"/>
      <c r="D387" s="535"/>
      <c r="E387" s="535"/>
      <c r="F387" s="535"/>
      <c r="G387" s="535"/>
      <c r="H387" s="535"/>
      <c r="I387" s="535"/>
      <c r="J387" s="535"/>
      <c r="K387" s="535"/>
      <c r="L387" s="535"/>
      <c r="M387" s="535"/>
    </row>
    <row r="388" spans="1:13" x14ac:dyDescent="0.2">
      <c r="A388" s="535"/>
      <c r="B388" s="535"/>
      <c r="C388" s="535"/>
      <c r="D388" s="535"/>
      <c r="E388" s="535"/>
      <c r="F388" s="535"/>
      <c r="G388" s="535"/>
      <c r="H388" s="535"/>
      <c r="I388" s="535"/>
      <c r="J388" s="535"/>
      <c r="K388" s="535"/>
      <c r="L388" s="535"/>
      <c r="M388" s="535"/>
    </row>
    <row r="389" spans="1:13" x14ac:dyDescent="0.2">
      <c r="A389" s="535"/>
      <c r="B389" s="535"/>
      <c r="C389" s="535"/>
      <c r="D389" s="535"/>
      <c r="E389" s="535"/>
      <c r="F389" s="535"/>
      <c r="G389" s="535"/>
      <c r="H389" s="535"/>
      <c r="I389" s="535"/>
      <c r="J389" s="535"/>
      <c r="K389" s="535"/>
      <c r="L389" s="535"/>
      <c r="M389" s="535"/>
    </row>
    <row r="390" spans="1:13" x14ac:dyDescent="0.2">
      <c r="A390" s="535"/>
      <c r="B390" s="535"/>
      <c r="C390" s="535"/>
      <c r="D390" s="535"/>
      <c r="E390" s="535"/>
      <c r="F390" s="535"/>
      <c r="G390" s="535"/>
      <c r="H390" s="535"/>
      <c r="I390" s="535"/>
      <c r="J390" s="535"/>
      <c r="K390" s="535"/>
      <c r="L390" s="535"/>
      <c r="M390" s="535"/>
    </row>
    <row r="391" spans="1:13" x14ac:dyDescent="0.2">
      <c r="A391" s="535"/>
      <c r="B391" s="535"/>
      <c r="C391" s="535"/>
      <c r="D391" s="535"/>
      <c r="E391" s="535"/>
      <c r="F391" s="535"/>
      <c r="G391" s="535"/>
      <c r="H391" s="535"/>
      <c r="I391" s="535"/>
      <c r="J391" s="535"/>
      <c r="K391" s="535"/>
      <c r="L391" s="535"/>
      <c r="M391" s="535"/>
    </row>
    <row r="392" spans="1:13" x14ac:dyDescent="0.2">
      <c r="A392" s="535"/>
      <c r="B392" s="535"/>
      <c r="C392" s="535"/>
      <c r="D392" s="535"/>
      <c r="E392" s="535"/>
      <c r="F392" s="535"/>
      <c r="G392" s="535"/>
      <c r="H392" s="535"/>
      <c r="I392" s="535"/>
      <c r="J392" s="535"/>
      <c r="K392" s="535"/>
      <c r="L392" s="535"/>
      <c r="M392" s="535"/>
    </row>
    <row r="393" spans="1:13" x14ac:dyDescent="0.2">
      <c r="A393" s="535"/>
      <c r="B393" s="535"/>
      <c r="C393" s="535"/>
      <c r="D393" s="535"/>
      <c r="E393" s="535"/>
      <c r="F393" s="535"/>
      <c r="G393" s="535"/>
      <c r="H393" s="535"/>
      <c r="I393" s="535"/>
      <c r="J393" s="535"/>
      <c r="K393" s="535"/>
      <c r="L393" s="535"/>
      <c r="M393" s="535"/>
    </row>
    <row r="394" spans="1:13" x14ac:dyDescent="0.2">
      <c r="A394" s="535"/>
      <c r="B394" s="535"/>
      <c r="C394" s="535"/>
      <c r="D394" s="535"/>
      <c r="E394" s="535"/>
      <c r="F394" s="535"/>
      <c r="G394" s="535"/>
      <c r="H394" s="535"/>
      <c r="I394" s="535"/>
      <c r="J394" s="535"/>
      <c r="K394" s="535"/>
      <c r="L394" s="535"/>
      <c r="M394" s="535"/>
    </row>
    <row r="395" spans="1:13" x14ac:dyDescent="0.2">
      <c r="A395" s="535"/>
      <c r="B395" s="535"/>
      <c r="C395" s="535"/>
      <c r="D395" s="535"/>
      <c r="E395" s="535"/>
      <c r="F395" s="535"/>
      <c r="G395" s="535"/>
      <c r="H395" s="535"/>
      <c r="I395" s="535"/>
      <c r="J395" s="535"/>
      <c r="K395" s="535"/>
      <c r="L395" s="535"/>
      <c r="M395" s="535"/>
    </row>
    <row r="396" spans="1:13" x14ac:dyDescent="0.2">
      <c r="A396" s="535"/>
      <c r="B396" s="535"/>
      <c r="C396" s="535"/>
      <c r="D396" s="535"/>
      <c r="E396" s="535"/>
      <c r="F396" s="535"/>
      <c r="G396" s="535"/>
      <c r="H396" s="535"/>
      <c r="I396" s="535"/>
      <c r="J396" s="535"/>
      <c r="K396" s="535"/>
      <c r="L396" s="535"/>
      <c r="M396" s="535"/>
    </row>
    <row r="397" spans="1:13" x14ac:dyDescent="0.2">
      <c r="A397" s="535"/>
      <c r="B397" s="535"/>
      <c r="C397" s="535"/>
      <c r="D397" s="535"/>
      <c r="E397" s="535"/>
      <c r="F397" s="535"/>
      <c r="G397" s="535"/>
      <c r="H397" s="535"/>
      <c r="I397" s="535"/>
      <c r="J397" s="535"/>
      <c r="K397" s="535"/>
      <c r="L397" s="535"/>
      <c r="M397" s="535"/>
    </row>
    <row r="398" spans="1:13" x14ac:dyDescent="0.2">
      <c r="A398" s="535"/>
      <c r="B398" s="535"/>
      <c r="C398" s="535"/>
      <c r="D398" s="535"/>
      <c r="E398" s="535"/>
      <c r="F398" s="535"/>
      <c r="G398" s="535"/>
      <c r="H398" s="535"/>
      <c r="I398" s="535"/>
      <c r="J398" s="535"/>
      <c r="K398" s="535"/>
      <c r="L398" s="535"/>
      <c r="M398" s="535"/>
    </row>
    <row r="399" spans="1:13" x14ac:dyDescent="0.2">
      <c r="A399" s="535"/>
      <c r="B399" s="535"/>
      <c r="C399" s="535"/>
      <c r="D399" s="535"/>
      <c r="E399" s="535"/>
      <c r="F399" s="535"/>
      <c r="G399" s="535"/>
      <c r="H399" s="535"/>
      <c r="I399" s="535"/>
      <c r="J399" s="535"/>
      <c r="K399" s="535"/>
      <c r="L399" s="535"/>
      <c r="M399" s="535"/>
    </row>
    <row r="400" spans="1:13" x14ac:dyDescent="0.2">
      <c r="A400" s="535"/>
      <c r="B400" s="535"/>
      <c r="C400" s="535"/>
      <c r="D400" s="535"/>
      <c r="E400" s="535"/>
      <c r="F400" s="535"/>
      <c r="G400" s="535"/>
      <c r="H400" s="535"/>
      <c r="I400" s="535"/>
      <c r="J400" s="535"/>
      <c r="K400" s="535"/>
      <c r="L400" s="535"/>
      <c r="M400" s="535"/>
    </row>
    <row r="401" spans="1:13" x14ac:dyDescent="0.2">
      <c r="A401" s="535"/>
      <c r="B401" s="535"/>
      <c r="C401" s="535"/>
      <c r="D401" s="535"/>
      <c r="E401" s="535"/>
      <c r="F401" s="535"/>
      <c r="G401" s="535"/>
      <c r="H401" s="535"/>
      <c r="I401" s="535"/>
      <c r="J401" s="535"/>
      <c r="K401" s="535"/>
      <c r="L401" s="535"/>
      <c r="M401" s="535"/>
    </row>
    <row r="402" spans="1:13" x14ac:dyDescent="0.2">
      <c r="A402" s="535"/>
      <c r="B402" s="535"/>
      <c r="C402" s="535"/>
      <c r="D402" s="535"/>
      <c r="E402" s="535"/>
      <c r="F402" s="535"/>
      <c r="G402" s="535"/>
      <c r="H402" s="535"/>
      <c r="I402" s="535"/>
      <c r="J402" s="535"/>
      <c r="K402" s="535"/>
      <c r="L402" s="535"/>
      <c r="M402" s="535"/>
    </row>
    <row r="403" spans="1:13" x14ac:dyDescent="0.2">
      <c r="A403" s="535"/>
      <c r="B403" s="535"/>
      <c r="C403" s="535"/>
      <c r="D403" s="535"/>
      <c r="E403" s="535"/>
      <c r="F403" s="535"/>
      <c r="G403" s="535"/>
      <c r="H403" s="535"/>
      <c r="I403" s="535"/>
      <c r="J403" s="535"/>
      <c r="K403" s="535"/>
      <c r="L403" s="535"/>
      <c r="M403" s="535"/>
    </row>
    <row r="404" spans="1:13" x14ac:dyDescent="0.2">
      <c r="A404" s="535"/>
      <c r="B404" s="535"/>
      <c r="C404" s="535"/>
      <c r="D404" s="535"/>
      <c r="E404" s="535"/>
      <c r="F404" s="535"/>
      <c r="G404" s="535"/>
      <c r="H404" s="535"/>
      <c r="I404" s="535"/>
      <c r="J404" s="535"/>
      <c r="K404" s="535"/>
      <c r="L404" s="535"/>
      <c r="M404" s="535"/>
    </row>
    <row r="405" spans="1:13" x14ac:dyDescent="0.2">
      <c r="A405" s="535"/>
      <c r="B405" s="535"/>
      <c r="C405" s="535"/>
      <c r="D405" s="535"/>
      <c r="E405" s="535"/>
      <c r="F405" s="535"/>
      <c r="G405" s="535"/>
      <c r="H405" s="535"/>
      <c r="I405" s="535"/>
      <c r="J405" s="535"/>
      <c r="K405" s="535"/>
      <c r="L405" s="535"/>
      <c r="M405" s="535"/>
    </row>
    <row r="406" spans="1:13" x14ac:dyDescent="0.2">
      <c r="A406" s="535"/>
      <c r="B406" s="535"/>
      <c r="C406" s="535"/>
      <c r="D406" s="535"/>
      <c r="E406" s="535"/>
      <c r="F406" s="535"/>
      <c r="G406" s="535"/>
      <c r="H406" s="535"/>
      <c r="I406" s="535"/>
      <c r="J406" s="535"/>
      <c r="K406" s="535"/>
      <c r="L406" s="535"/>
      <c r="M406" s="535"/>
    </row>
    <row r="407" spans="1:13" x14ac:dyDescent="0.2">
      <c r="A407" s="535"/>
      <c r="B407" s="535"/>
      <c r="C407" s="535"/>
      <c r="D407" s="535"/>
      <c r="E407" s="535"/>
      <c r="F407" s="535"/>
      <c r="G407" s="535"/>
      <c r="H407" s="535"/>
      <c r="I407" s="535"/>
      <c r="J407" s="535"/>
      <c r="K407" s="535"/>
      <c r="L407" s="535"/>
      <c r="M407" s="535"/>
    </row>
    <row r="408" spans="1:13" x14ac:dyDescent="0.2">
      <c r="A408" s="535"/>
      <c r="B408" s="535"/>
      <c r="C408" s="535"/>
      <c r="D408" s="535"/>
      <c r="E408" s="535"/>
      <c r="F408" s="535"/>
      <c r="G408" s="535"/>
      <c r="H408" s="535"/>
      <c r="I408" s="535"/>
      <c r="J408" s="535"/>
      <c r="K408" s="535"/>
      <c r="L408" s="535"/>
      <c r="M408" s="535"/>
    </row>
    <row r="409" spans="1:13" x14ac:dyDescent="0.2">
      <c r="A409" s="535"/>
      <c r="B409" s="535"/>
      <c r="C409" s="535"/>
      <c r="D409" s="535"/>
      <c r="E409" s="535"/>
      <c r="F409" s="535"/>
      <c r="G409" s="535"/>
      <c r="H409" s="535"/>
      <c r="I409" s="535"/>
      <c r="J409" s="535"/>
      <c r="K409" s="535"/>
      <c r="L409" s="535"/>
      <c r="M409" s="535"/>
    </row>
    <row r="410" spans="1:13" x14ac:dyDescent="0.2">
      <c r="A410" s="535"/>
      <c r="B410" s="535"/>
      <c r="C410" s="535"/>
      <c r="D410" s="535"/>
      <c r="E410" s="535"/>
      <c r="F410" s="535"/>
      <c r="G410" s="535"/>
      <c r="H410" s="535"/>
      <c r="I410" s="535"/>
      <c r="J410" s="535"/>
      <c r="K410" s="535"/>
      <c r="L410" s="535"/>
      <c r="M410" s="535"/>
    </row>
    <row r="411" spans="1:13" x14ac:dyDescent="0.2">
      <c r="A411" s="535"/>
      <c r="B411" s="535"/>
      <c r="C411" s="535"/>
      <c r="D411" s="535"/>
      <c r="E411" s="535"/>
      <c r="F411" s="535"/>
      <c r="G411" s="535"/>
      <c r="H411" s="535"/>
      <c r="I411" s="535"/>
      <c r="J411" s="535"/>
      <c r="K411" s="535"/>
      <c r="L411" s="535"/>
      <c r="M411" s="535"/>
    </row>
    <row r="412" spans="1:13" x14ac:dyDescent="0.2">
      <c r="A412" s="535"/>
      <c r="B412" s="535"/>
      <c r="C412" s="535"/>
      <c r="D412" s="535"/>
      <c r="E412" s="535"/>
      <c r="F412" s="535"/>
      <c r="G412" s="535"/>
      <c r="H412" s="535"/>
      <c r="I412" s="535"/>
      <c r="J412" s="535"/>
      <c r="K412" s="535"/>
      <c r="L412" s="535"/>
      <c r="M412" s="535"/>
    </row>
    <row r="413" spans="1:13" x14ac:dyDescent="0.2">
      <c r="A413" s="535"/>
      <c r="B413" s="535"/>
      <c r="C413" s="535"/>
      <c r="D413" s="535"/>
      <c r="E413" s="535"/>
      <c r="F413" s="535"/>
      <c r="G413" s="535"/>
      <c r="H413" s="535"/>
      <c r="I413" s="535"/>
      <c r="J413" s="535"/>
      <c r="K413" s="535"/>
      <c r="L413" s="535"/>
      <c r="M413" s="535"/>
    </row>
    <row r="414" spans="1:13" x14ac:dyDescent="0.2">
      <c r="A414" s="535"/>
      <c r="B414" s="535"/>
      <c r="C414" s="535"/>
      <c r="D414" s="535"/>
      <c r="E414" s="535"/>
      <c r="F414" s="535"/>
      <c r="G414" s="535"/>
      <c r="H414" s="535"/>
      <c r="I414" s="535"/>
      <c r="J414" s="535"/>
      <c r="K414" s="535"/>
      <c r="L414" s="535"/>
      <c r="M414" s="535"/>
    </row>
    <row r="415" spans="1:13" x14ac:dyDescent="0.2">
      <c r="A415" s="535"/>
      <c r="B415" s="535"/>
      <c r="C415" s="535"/>
      <c r="D415" s="535"/>
      <c r="E415" s="535"/>
      <c r="F415" s="535"/>
      <c r="G415" s="535"/>
      <c r="H415" s="535"/>
      <c r="I415" s="535"/>
      <c r="J415" s="535"/>
      <c r="K415" s="535"/>
      <c r="L415" s="535"/>
      <c r="M415" s="535"/>
    </row>
    <row r="416" spans="1:13" x14ac:dyDescent="0.2">
      <c r="A416" s="535"/>
      <c r="B416" s="535"/>
      <c r="C416" s="535"/>
      <c r="D416" s="535"/>
      <c r="E416" s="535"/>
      <c r="F416" s="535"/>
      <c r="G416" s="535"/>
      <c r="H416" s="535"/>
      <c r="I416" s="535"/>
      <c r="J416" s="535"/>
      <c r="K416" s="535"/>
      <c r="L416" s="535"/>
      <c r="M416" s="535"/>
    </row>
    <row r="417" spans="1:13" x14ac:dyDescent="0.2">
      <c r="A417" s="535"/>
      <c r="B417" s="535"/>
      <c r="C417" s="535"/>
      <c r="D417" s="535"/>
      <c r="E417" s="535"/>
      <c r="F417" s="535"/>
      <c r="G417" s="535"/>
      <c r="H417" s="535"/>
      <c r="I417" s="535"/>
      <c r="J417" s="535"/>
      <c r="K417" s="535"/>
      <c r="L417" s="535"/>
      <c r="M417" s="535"/>
    </row>
    <row r="418" spans="1:13" x14ac:dyDescent="0.2">
      <c r="A418" s="535"/>
      <c r="B418" s="535"/>
      <c r="C418" s="535"/>
      <c r="D418" s="535"/>
      <c r="E418" s="535"/>
      <c r="F418" s="535"/>
      <c r="G418" s="535"/>
      <c r="H418" s="535"/>
      <c r="I418" s="535"/>
      <c r="J418" s="535"/>
      <c r="K418" s="535"/>
      <c r="L418" s="535"/>
      <c r="M418" s="535"/>
    </row>
    <row r="419" spans="1:13" x14ac:dyDescent="0.2">
      <c r="A419" s="535"/>
      <c r="B419" s="535"/>
      <c r="C419" s="535"/>
      <c r="D419" s="535"/>
      <c r="E419" s="535"/>
      <c r="F419" s="535"/>
      <c r="G419" s="535"/>
      <c r="H419" s="535"/>
      <c r="I419" s="535"/>
      <c r="J419" s="535"/>
      <c r="K419" s="535"/>
      <c r="L419" s="535"/>
      <c r="M419" s="535"/>
    </row>
    <row r="420" spans="1:13" x14ac:dyDescent="0.2">
      <c r="A420" s="535"/>
      <c r="B420" s="535"/>
      <c r="C420" s="535"/>
      <c r="D420" s="535"/>
      <c r="E420" s="535"/>
      <c r="F420" s="535"/>
      <c r="G420" s="535"/>
      <c r="H420" s="535"/>
      <c r="I420" s="535"/>
      <c r="J420" s="535"/>
      <c r="K420" s="535"/>
      <c r="L420" s="535"/>
      <c r="M420" s="535"/>
    </row>
    <row r="421" spans="1:13" x14ac:dyDescent="0.2">
      <c r="A421" s="535"/>
      <c r="B421" s="535"/>
      <c r="C421" s="535"/>
      <c r="D421" s="535"/>
      <c r="E421" s="535"/>
      <c r="F421" s="535"/>
      <c r="G421" s="535"/>
      <c r="H421" s="535"/>
      <c r="I421" s="535"/>
      <c r="J421" s="535"/>
      <c r="K421" s="535"/>
      <c r="L421" s="535"/>
      <c r="M421" s="535"/>
    </row>
    <row r="422" spans="1:13" x14ac:dyDescent="0.2">
      <c r="A422" s="535"/>
      <c r="B422" s="535"/>
      <c r="C422" s="535"/>
      <c r="D422" s="535"/>
      <c r="E422" s="535"/>
      <c r="F422" s="535"/>
      <c r="G422" s="535"/>
      <c r="H422" s="535"/>
      <c r="I422" s="535"/>
      <c r="J422" s="535"/>
      <c r="K422" s="535"/>
      <c r="L422" s="535"/>
      <c r="M422" s="535"/>
    </row>
    <row r="423" spans="1:13" x14ac:dyDescent="0.2">
      <c r="A423" s="535"/>
      <c r="B423" s="535"/>
      <c r="C423" s="535"/>
      <c r="D423" s="535"/>
      <c r="E423" s="535"/>
      <c r="F423" s="535"/>
      <c r="G423" s="535"/>
      <c r="H423" s="535"/>
      <c r="I423" s="535"/>
      <c r="J423" s="535"/>
      <c r="K423" s="535"/>
      <c r="L423" s="535"/>
      <c r="M423" s="535"/>
    </row>
    <row r="424" spans="1:13" x14ac:dyDescent="0.2">
      <c r="A424" s="535"/>
      <c r="B424" s="535"/>
      <c r="C424" s="535"/>
      <c r="D424" s="535"/>
      <c r="E424" s="535"/>
      <c r="F424" s="535"/>
      <c r="G424" s="535"/>
      <c r="H424" s="535"/>
      <c r="I424" s="535"/>
      <c r="J424" s="535"/>
      <c r="K424" s="535"/>
      <c r="L424" s="535"/>
      <c r="M424" s="535"/>
    </row>
    <row r="425" spans="1:13" x14ac:dyDescent="0.2">
      <c r="A425" s="535"/>
      <c r="B425" s="535"/>
      <c r="C425" s="535"/>
      <c r="D425" s="535"/>
      <c r="E425" s="535"/>
      <c r="F425" s="535"/>
      <c r="G425" s="535"/>
      <c r="H425" s="535"/>
      <c r="I425" s="535"/>
      <c r="J425" s="535"/>
      <c r="K425" s="535"/>
      <c r="L425" s="535"/>
      <c r="M425" s="535"/>
    </row>
    <row r="426" spans="1:13" x14ac:dyDescent="0.2">
      <c r="A426" s="535"/>
      <c r="B426" s="535"/>
      <c r="C426" s="535"/>
      <c r="D426" s="535"/>
      <c r="E426" s="535"/>
      <c r="F426" s="535"/>
      <c r="G426" s="535"/>
      <c r="H426" s="535"/>
      <c r="I426" s="535"/>
      <c r="J426" s="535"/>
      <c r="K426" s="535"/>
      <c r="L426" s="535"/>
      <c r="M426" s="535"/>
    </row>
    <row r="427" spans="1:13" x14ac:dyDescent="0.2">
      <c r="A427" s="535"/>
      <c r="B427" s="535"/>
      <c r="C427" s="535"/>
      <c r="D427" s="535"/>
      <c r="E427" s="535"/>
      <c r="F427" s="535"/>
      <c r="G427" s="535"/>
      <c r="H427" s="535"/>
      <c r="I427" s="535"/>
      <c r="J427" s="535"/>
      <c r="K427" s="535"/>
      <c r="L427" s="535"/>
      <c r="M427" s="535"/>
    </row>
    <row r="428" spans="1:13" x14ac:dyDescent="0.2">
      <c r="A428" s="535"/>
      <c r="B428" s="535"/>
      <c r="C428" s="535"/>
      <c r="D428" s="535"/>
      <c r="E428" s="535"/>
      <c r="F428" s="535"/>
      <c r="G428" s="535"/>
      <c r="H428" s="535"/>
      <c r="I428" s="535"/>
      <c r="J428" s="535"/>
      <c r="K428" s="535"/>
      <c r="L428" s="535"/>
      <c r="M428" s="535"/>
    </row>
    <row r="429" spans="1:13" x14ac:dyDescent="0.2">
      <c r="A429" s="535"/>
      <c r="B429" s="535"/>
      <c r="C429" s="535"/>
      <c r="D429" s="535"/>
      <c r="E429" s="535"/>
      <c r="F429" s="535"/>
      <c r="G429" s="535"/>
      <c r="H429" s="535"/>
      <c r="I429" s="535"/>
      <c r="J429" s="535"/>
      <c r="K429" s="535"/>
      <c r="L429" s="535"/>
      <c r="M429" s="535"/>
    </row>
    <row r="430" spans="1:13" x14ac:dyDescent="0.2">
      <c r="A430" s="535"/>
      <c r="B430" s="535"/>
      <c r="C430" s="535"/>
      <c r="D430" s="535"/>
      <c r="E430" s="535"/>
      <c r="F430" s="535"/>
      <c r="G430" s="535"/>
      <c r="H430" s="535"/>
      <c r="I430" s="535"/>
      <c r="J430" s="535"/>
      <c r="K430" s="535"/>
      <c r="L430" s="535"/>
      <c r="M430" s="535"/>
    </row>
    <row r="431" spans="1:13" x14ac:dyDescent="0.2">
      <c r="A431" s="535"/>
      <c r="B431" s="535"/>
      <c r="C431" s="535"/>
      <c r="D431" s="535"/>
      <c r="E431" s="535"/>
      <c r="F431" s="535"/>
      <c r="G431" s="535"/>
      <c r="H431" s="535"/>
      <c r="I431" s="535"/>
      <c r="J431" s="535"/>
      <c r="K431" s="535"/>
      <c r="L431" s="535"/>
      <c r="M431" s="535"/>
    </row>
    <row r="432" spans="1:13" x14ac:dyDescent="0.2">
      <c r="A432" s="535"/>
      <c r="B432" s="535"/>
      <c r="C432" s="535"/>
      <c r="D432" s="535"/>
      <c r="E432" s="535"/>
      <c r="F432" s="535"/>
      <c r="G432" s="535"/>
      <c r="H432" s="535"/>
      <c r="I432" s="535"/>
      <c r="J432" s="535"/>
      <c r="K432" s="535"/>
      <c r="L432" s="535"/>
      <c r="M432" s="535"/>
    </row>
    <row r="433" spans="1:13" x14ac:dyDescent="0.2">
      <c r="A433" s="535"/>
      <c r="B433" s="535"/>
      <c r="C433" s="535"/>
      <c r="D433" s="535"/>
      <c r="E433" s="535"/>
      <c r="F433" s="535"/>
      <c r="G433" s="535"/>
      <c r="H433" s="535"/>
      <c r="I433" s="535"/>
      <c r="J433" s="535"/>
      <c r="K433" s="535"/>
      <c r="L433" s="535"/>
      <c r="M433" s="535"/>
    </row>
    <row r="434" spans="1:13" x14ac:dyDescent="0.2">
      <c r="A434" s="535"/>
      <c r="B434" s="535"/>
      <c r="C434" s="535"/>
      <c r="D434" s="535"/>
      <c r="E434" s="535"/>
      <c r="F434" s="535"/>
      <c r="G434" s="535"/>
      <c r="H434" s="535"/>
      <c r="I434" s="535"/>
      <c r="J434" s="535"/>
      <c r="K434" s="535"/>
      <c r="L434" s="535"/>
      <c r="M434" s="535"/>
    </row>
    <row r="435" spans="1:13" x14ac:dyDescent="0.2">
      <c r="A435" s="535"/>
      <c r="B435" s="535"/>
      <c r="C435" s="535"/>
      <c r="D435" s="535"/>
      <c r="E435" s="535"/>
      <c r="F435" s="535"/>
      <c r="G435" s="535"/>
      <c r="H435" s="535"/>
      <c r="I435" s="535"/>
      <c r="J435" s="535"/>
      <c r="K435" s="535"/>
      <c r="L435" s="535"/>
      <c r="M435" s="535"/>
    </row>
    <row r="436" spans="1:13" x14ac:dyDescent="0.2">
      <c r="A436" s="535"/>
      <c r="B436" s="535"/>
      <c r="C436" s="535"/>
      <c r="D436" s="535"/>
      <c r="E436" s="535"/>
      <c r="F436" s="535"/>
      <c r="G436" s="535"/>
      <c r="H436" s="535"/>
      <c r="I436" s="535"/>
      <c r="J436" s="535"/>
      <c r="K436" s="535"/>
      <c r="L436" s="535"/>
      <c r="M436" s="535"/>
    </row>
    <row r="437" spans="1:13" x14ac:dyDescent="0.2">
      <c r="A437" s="535"/>
      <c r="B437" s="535"/>
      <c r="C437" s="535"/>
      <c r="D437" s="535"/>
      <c r="E437" s="535"/>
      <c r="F437" s="535"/>
      <c r="G437" s="535"/>
      <c r="H437" s="535"/>
      <c r="I437" s="535"/>
      <c r="J437" s="535"/>
      <c r="K437" s="535"/>
      <c r="L437" s="535"/>
      <c r="M437" s="535"/>
    </row>
  </sheetData>
  <autoFilter ref="A7:M7"/>
  <mergeCells count="9">
    <mergeCell ref="A5:M5"/>
    <mergeCell ref="O1:P1"/>
    <mergeCell ref="O2:P2"/>
    <mergeCell ref="C1:K1"/>
    <mergeCell ref="L1:M1"/>
    <mergeCell ref="L2:M2"/>
    <mergeCell ref="A1:B3"/>
    <mergeCell ref="C2:K3"/>
    <mergeCell ref="L3:M3"/>
  </mergeCells>
  <pageMargins left="0.7" right="0.7" top="0.75" bottom="0.75" header="0.3" footer="0.3"/>
  <pageSetup orientation="portrait" horizontalDpi="4294967292" verticalDpi="0"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Hoja10"/>
  <dimension ref="A1:W63"/>
  <sheetViews>
    <sheetView showGridLines="0" tabSelected="1" workbookViewId="0">
      <pane xSplit="2" ySplit="8" topLeftCell="L9" activePane="bottomRight" state="frozen"/>
      <selection pane="topRight" activeCell="C1" sqref="C1"/>
      <selection pane="bottomLeft" activeCell="A10" sqref="A10"/>
      <selection pane="bottomRight" activeCell="AB15" sqref="AB15"/>
    </sheetView>
  </sheetViews>
  <sheetFormatPr baseColWidth="10" defaultColWidth="11.42578125" defaultRowHeight="12.75" x14ac:dyDescent="0.2"/>
  <cols>
    <col min="1" max="1" width="11.85546875" customWidth="1"/>
    <col min="2" max="2" width="28.7109375" bestFit="1" customWidth="1"/>
    <col min="3" max="3" width="4.85546875" customWidth="1"/>
    <col min="6" max="7" width="12.42578125" customWidth="1"/>
    <col min="12" max="12" width="11.42578125" customWidth="1"/>
  </cols>
  <sheetData>
    <row r="1" spans="1:23" ht="34.15" customHeight="1" x14ac:dyDescent="0.2">
      <c r="A1" s="605"/>
      <c r="B1" s="605"/>
      <c r="C1" s="606"/>
      <c r="D1" s="606"/>
      <c r="E1" s="606"/>
      <c r="F1" s="606"/>
      <c r="G1" s="606"/>
      <c r="H1" s="606"/>
      <c r="I1" s="606"/>
      <c r="J1" s="606"/>
      <c r="K1" s="606"/>
      <c r="L1" s="606"/>
      <c r="M1" s="606"/>
      <c r="N1" s="606"/>
      <c r="O1" s="606"/>
      <c r="P1" s="606"/>
      <c r="Q1" s="606"/>
      <c r="R1" s="606"/>
      <c r="S1" s="606"/>
      <c r="T1" s="606"/>
      <c r="U1" s="608"/>
      <c r="V1" s="608"/>
      <c r="W1" s="608"/>
    </row>
    <row r="2" spans="1:23" ht="30.6" customHeight="1" x14ac:dyDescent="0.2">
      <c r="A2" s="605"/>
      <c r="B2" s="605"/>
      <c r="C2" s="606"/>
      <c r="D2" s="606"/>
      <c r="E2" s="606"/>
      <c r="F2" s="606"/>
      <c r="G2" s="606"/>
      <c r="H2" s="606"/>
      <c r="I2" s="606"/>
      <c r="J2" s="606"/>
      <c r="K2" s="606"/>
      <c r="L2" s="606"/>
      <c r="M2" s="606"/>
      <c r="N2" s="606"/>
      <c r="O2" s="606"/>
      <c r="P2" s="606"/>
      <c r="Q2" s="606"/>
      <c r="R2" s="606"/>
      <c r="S2" s="606"/>
      <c r="T2" s="606"/>
      <c r="U2" s="608"/>
      <c r="V2" s="608"/>
      <c r="W2" s="608"/>
    </row>
    <row r="3" spans="1:23" ht="31.9" customHeight="1" x14ac:dyDescent="0.2">
      <c r="A3" s="605"/>
      <c r="B3" s="605"/>
      <c r="C3" s="606"/>
      <c r="D3" s="606"/>
      <c r="E3" s="606"/>
      <c r="F3" s="606"/>
      <c r="G3" s="606"/>
      <c r="H3" s="606"/>
      <c r="I3" s="606"/>
      <c r="J3" s="606"/>
      <c r="K3" s="606"/>
      <c r="L3" s="606"/>
      <c r="M3" s="606"/>
      <c r="N3" s="606"/>
      <c r="O3" s="606"/>
      <c r="P3" s="606"/>
      <c r="Q3" s="606"/>
      <c r="R3" s="606"/>
      <c r="S3" s="606"/>
      <c r="T3" s="606"/>
      <c r="U3" s="609"/>
      <c r="V3" s="609"/>
      <c r="W3" s="609"/>
    </row>
    <row r="4" spans="1:23" x14ac:dyDescent="0.2">
      <c r="A4" s="563" t="s">
        <v>193</v>
      </c>
      <c r="B4" s="563"/>
      <c r="C4" s="563"/>
      <c r="D4" s="563"/>
      <c r="E4" s="563"/>
      <c r="F4" s="563"/>
      <c r="G4" s="563"/>
      <c r="H4" s="563"/>
      <c r="I4" s="563"/>
      <c r="J4" s="563"/>
      <c r="K4" s="563"/>
      <c r="L4" s="563"/>
      <c r="M4" s="563"/>
      <c r="N4" s="563"/>
      <c r="O4" s="563"/>
      <c r="P4" s="140"/>
      <c r="Q4" s="140"/>
      <c r="R4" s="140"/>
      <c r="S4" s="140"/>
      <c r="T4" s="140"/>
      <c r="U4" s="140"/>
      <c r="V4" s="140"/>
      <c r="W4" s="140"/>
    </row>
    <row r="5" spans="1:23" ht="15" customHeight="1" x14ac:dyDescent="0.2">
      <c r="A5" s="142"/>
      <c r="B5" s="142"/>
      <c r="C5" s="142"/>
      <c r="D5" s="140"/>
      <c r="E5" s="140"/>
      <c r="F5" s="140"/>
      <c r="G5" s="140"/>
      <c r="H5" s="140"/>
      <c r="I5" s="140"/>
      <c r="J5" s="140"/>
      <c r="K5" s="140"/>
      <c r="L5" s="140"/>
      <c r="M5" s="140"/>
      <c r="N5" s="140"/>
      <c r="O5" s="140"/>
      <c r="P5" s="140"/>
      <c r="Q5" s="140"/>
      <c r="R5" s="140"/>
      <c r="S5" s="140"/>
      <c r="T5" s="140"/>
      <c r="U5" s="140"/>
      <c r="V5" s="140"/>
      <c r="W5" s="140"/>
    </row>
    <row r="6" spans="1:23" ht="13.15" customHeight="1" x14ac:dyDescent="0.2">
      <c r="A6" s="141" t="s">
        <v>95</v>
      </c>
      <c r="B6" s="140"/>
      <c r="C6" s="140"/>
      <c r="D6" s="140"/>
      <c r="E6" s="140"/>
      <c r="F6" s="140"/>
      <c r="G6" s="140"/>
      <c r="H6" s="140"/>
      <c r="I6" s="140"/>
      <c r="J6" s="140"/>
      <c r="K6" s="140"/>
      <c r="L6" s="140"/>
      <c r="M6" s="140"/>
      <c r="N6" s="140"/>
      <c r="O6" s="140"/>
      <c r="P6" s="140"/>
      <c r="Q6" s="140"/>
      <c r="R6" s="140"/>
      <c r="S6" s="140"/>
      <c r="T6" s="140"/>
      <c r="U6" s="140"/>
      <c r="V6" s="140"/>
      <c r="W6" s="140"/>
    </row>
    <row r="7" spans="1:23" ht="16.149999999999999" customHeight="1" thickBot="1" x14ac:dyDescent="0.25">
      <c r="A7" s="140"/>
      <c r="B7" s="140"/>
      <c r="C7" s="140"/>
      <c r="D7" s="140"/>
      <c r="E7" s="140"/>
      <c r="F7" s="140"/>
      <c r="G7" s="140"/>
      <c r="H7" s="140"/>
      <c r="I7" s="140"/>
      <c r="J7" s="140"/>
      <c r="K7" s="140"/>
      <c r="L7" s="140"/>
      <c r="M7" s="140"/>
      <c r="N7" s="140"/>
      <c r="O7" s="140"/>
      <c r="P7" s="140"/>
      <c r="Q7" s="140"/>
      <c r="R7" s="140"/>
      <c r="S7" s="140"/>
      <c r="T7" s="140"/>
      <c r="U7" s="140"/>
      <c r="V7" s="140"/>
      <c r="W7" s="140"/>
    </row>
    <row r="8" spans="1:23" ht="45.75" thickBot="1" x14ac:dyDescent="0.25">
      <c r="A8" s="381" t="s">
        <v>3</v>
      </c>
      <c r="B8" s="382" t="s">
        <v>4</v>
      </c>
      <c r="C8" s="383" t="s">
        <v>35</v>
      </c>
      <c r="D8" s="384" t="s">
        <v>116</v>
      </c>
      <c r="E8" s="385" t="s">
        <v>117</v>
      </c>
      <c r="F8" s="385" t="s">
        <v>118</v>
      </c>
      <c r="G8" s="385" t="s">
        <v>119</v>
      </c>
      <c r="H8" s="385" t="s">
        <v>120</v>
      </c>
      <c r="I8" s="385" t="s">
        <v>121</v>
      </c>
      <c r="J8" s="385" t="s">
        <v>122</v>
      </c>
      <c r="K8" s="385" t="s">
        <v>123</v>
      </c>
      <c r="L8" s="385" t="s">
        <v>124</v>
      </c>
      <c r="M8" s="385" t="s">
        <v>125</v>
      </c>
      <c r="N8" s="385" t="s">
        <v>126</v>
      </c>
      <c r="O8" s="385" t="s">
        <v>127</v>
      </c>
      <c r="P8" s="385" t="s">
        <v>128</v>
      </c>
      <c r="Q8" s="385" t="s">
        <v>129</v>
      </c>
      <c r="R8" s="385" t="s">
        <v>130</v>
      </c>
      <c r="S8" s="385" t="s">
        <v>131</v>
      </c>
      <c r="T8" s="385" t="s">
        <v>132</v>
      </c>
      <c r="U8" s="385" t="s">
        <v>133</v>
      </c>
      <c r="V8" s="385" t="s">
        <v>134</v>
      </c>
      <c r="W8" s="386" t="s">
        <v>135</v>
      </c>
    </row>
    <row r="9" spans="1:23" x14ac:dyDescent="0.2">
      <c r="A9" s="297">
        <f>'RESUMEN DE LA CONTRATACION'!I8</f>
        <v>0</v>
      </c>
      <c r="B9" s="298">
        <f>'RESUMEN DE LA CONTRATACION'!B8</f>
        <v>0</v>
      </c>
      <c r="C9" s="387">
        <f>'RESUMEN DE LA CONTRATACION'!C8</f>
        <v>0</v>
      </c>
      <c r="D9" s="299">
        <f>'RESUMEN DE LA CONTRATACION'!F8</f>
        <v>0</v>
      </c>
      <c r="E9" s="300" t="str">
        <f>IF(C9="TC",D9/48,IF(C9="MT",D9/24," "))</f>
        <v xml:space="preserve"> </v>
      </c>
      <c r="F9" s="305"/>
      <c r="G9" s="306" t="str">
        <f>IF(C9="TC",(48-D9-F9)/48,IF(C9="MT",(24-D9-F9)/24," "))</f>
        <v xml:space="preserve"> </v>
      </c>
      <c r="H9" s="305"/>
      <c r="I9" s="305"/>
      <c r="J9" s="305"/>
      <c r="K9" s="305"/>
      <c r="L9" s="308">
        <f>C9</f>
        <v>0</v>
      </c>
      <c r="M9" s="305"/>
      <c r="N9" s="305"/>
      <c r="O9" s="305"/>
      <c r="P9" s="305"/>
      <c r="Q9" s="305"/>
      <c r="R9" s="305"/>
      <c r="S9" s="305"/>
      <c r="T9" s="305"/>
      <c r="U9" s="305"/>
      <c r="V9" s="305"/>
      <c r="W9" s="305"/>
    </row>
    <row r="10" spans="1:23" x14ac:dyDescent="0.2">
      <c r="A10" s="301">
        <f>'RESUMEN DE LA CONTRATACION'!I9</f>
        <v>0</v>
      </c>
      <c r="B10" s="302">
        <f>'RESUMEN DE LA CONTRATACION'!B9</f>
        <v>0</v>
      </c>
      <c r="C10" s="387">
        <f>'RESUMEN DE LA CONTRATACION'!C9</f>
        <v>0</v>
      </c>
      <c r="D10" s="303">
        <f>'RESUMEN DE LA CONTRATACION'!F9</f>
        <v>0</v>
      </c>
      <c r="E10" s="300" t="str">
        <f t="shared" ref="E10:E63" si="0">IF(C10="TC",D10/48,IF(C10="MT",D10/24," "))</f>
        <v xml:space="preserve"> </v>
      </c>
      <c r="F10" s="307"/>
      <c r="G10" s="307"/>
      <c r="H10" s="307"/>
      <c r="I10" s="307"/>
      <c r="J10" s="307"/>
      <c r="K10" s="307"/>
      <c r="L10" s="308">
        <f t="shared" ref="L10:L63" si="1">C10</f>
        <v>0</v>
      </c>
      <c r="M10" s="307"/>
      <c r="N10" s="307"/>
      <c r="O10" s="307"/>
      <c r="P10" s="307"/>
      <c r="Q10" s="307"/>
      <c r="R10" s="307"/>
      <c r="S10" s="307"/>
      <c r="T10" s="307"/>
      <c r="U10" s="307"/>
      <c r="V10" s="307"/>
      <c r="W10" s="307"/>
    </row>
    <row r="11" spans="1:23" x14ac:dyDescent="0.2">
      <c r="A11" s="301">
        <f>'RESUMEN DE LA CONTRATACION'!I10</f>
        <v>0</v>
      </c>
      <c r="B11" s="302">
        <f>'RESUMEN DE LA CONTRATACION'!B10</f>
        <v>0</v>
      </c>
      <c r="C11" s="387">
        <f>'RESUMEN DE LA CONTRATACION'!C10</f>
        <v>0</v>
      </c>
      <c r="D11" s="303">
        <f>'RESUMEN DE LA CONTRATACION'!F10</f>
        <v>0</v>
      </c>
      <c r="E11" s="300" t="str">
        <f t="shared" si="0"/>
        <v xml:space="preserve"> </v>
      </c>
      <c r="F11" s="307"/>
      <c r="G11" s="307" t="str">
        <f>IF(C11="TC",(48-D11-F11)/48,IF(C11="MT",(24-D11-F11)/24," "))</f>
        <v xml:space="preserve"> </v>
      </c>
      <c r="H11" s="307"/>
      <c r="I11" s="307"/>
      <c r="J11" s="307"/>
      <c r="K11" s="307"/>
      <c r="L11" s="308">
        <f t="shared" si="1"/>
        <v>0</v>
      </c>
      <c r="M11" s="307"/>
      <c r="N11" s="307"/>
      <c r="O11" s="307"/>
      <c r="P11" s="307"/>
      <c r="Q11" s="307"/>
      <c r="R11" s="307"/>
      <c r="S11" s="307"/>
      <c r="T11" s="307"/>
      <c r="U11" s="307"/>
      <c r="V11" s="307"/>
      <c r="W11" s="307"/>
    </row>
    <row r="12" spans="1:23" x14ac:dyDescent="0.2">
      <c r="A12" s="301">
        <f>'RESUMEN DE LA CONTRATACION'!I11</f>
        <v>0</v>
      </c>
      <c r="B12" s="302">
        <f>'RESUMEN DE LA CONTRATACION'!B11</f>
        <v>0</v>
      </c>
      <c r="C12" s="387">
        <f>'RESUMEN DE LA CONTRATACION'!C11</f>
        <v>0</v>
      </c>
      <c r="D12" s="303">
        <f>'RESUMEN DE LA CONTRATACION'!F11</f>
        <v>0</v>
      </c>
      <c r="E12" s="300" t="str">
        <f t="shared" si="0"/>
        <v xml:space="preserve"> </v>
      </c>
      <c r="F12" s="307"/>
      <c r="G12" s="307"/>
      <c r="H12" s="307"/>
      <c r="I12" s="307"/>
      <c r="J12" s="307"/>
      <c r="K12" s="307"/>
      <c r="L12" s="308">
        <f t="shared" si="1"/>
        <v>0</v>
      </c>
      <c r="M12" s="307"/>
      <c r="N12" s="307"/>
      <c r="O12" s="307"/>
      <c r="P12" s="307"/>
      <c r="Q12" s="307"/>
      <c r="R12" s="307"/>
      <c r="S12" s="307"/>
      <c r="T12" s="307"/>
      <c r="U12" s="307"/>
      <c r="V12" s="307"/>
      <c r="W12" s="307"/>
    </row>
    <row r="13" spans="1:23" x14ac:dyDescent="0.2">
      <c r="A13" s="301">
        <f>'RESUMEN DE LA CONTRATACION'!I12</f>
        <v>0</v>
      </c>
      <c r="B13" s="302">
        <f>'RESUMEN DE LA CONTRATACION'!B12</f>
        <v>0</v>
      </c>
      <c r="C13" s="387">
        <f>'RESUMEN DE LA CONTRATACION'!C12</f>
        <v>0</v>
      </c>
      <c r="D13" s="303">
        <f>'RESUMEN DE LA CONTRATACION'!F12</f>
        <v>0</v>
      </c>
      <c r="E13" s="300" t="str">
        <f t="shared" si="0"/>
        <v xml:space="preserve"> </v>
      </c>
      <c r="F13" s="307"/>
      <c r="G13" s="307"/>
      <c r="H13" s="307"/>
      <c r="I13" s="307"/>
      <c r="J13" s="307"/>
      <c r="K13" s="307"/>
      <c r="L13" s="308">
        <f t="shared" si="1"/>
        <v>0</v>
      </c>
      <c r="M13" s="307"/>
      <c r="N13" s="307"/>
      <c r="O13" s="307"/>
      <c r="P13" s="307"/>
      <c r="Q13" s="307"/>
      <c r="R13" s="307"/>
      <c r="S13" s="307"/>
      <c r="T13" s="307"/>
      <c r="U13" s="307"/>
      <c r="V13" s="307"/>
      <c r="W13" s="307"/>
    </row>
    <row r="14" spans="1:23" x14ac:dyDescent="0.2">
      <c r="A14" s="301">
        <f>'RESUMEN DE LA CONTRATACION'!I13</f>
        <v>0</v>
      </c>
      <c r="B14" s="302">
        <f>'RESUMEN DE LA CONTRATACION'!B13</f>
        <v>0</v>
      </c>
      <c r="C14" s="387">
        <f>'RESUMEN DE LA CONTRATACION'!C13</f>
        <v>0</v>
      </c>
      <c r="D14" s="303">
        <f>'RESUMEN DE LA CONTRATACION'!F13</f>
        <v>0</v>
      </c>
      <c r="E14" s="300" t="str">
        <f t="shared" si="0"/>
        <v xml:space="preserve"> </v>
      </c>
      <c r="F14" s="307"/>
      <c r="G14" s="307"/>
      <c r="H14" s="307"/>
      <c r="I14" s="307"/>
      <c r="J14" s="307"/>
      <c r="K14" s="307"/>
      <c r="L14" s="308">
        <f t="shared" si="1"/>
        <v>0</v>
      </c>
      <c r="M14" s="307"/>
      <c r="N14" s="307"/>
      <c r="O14" s="307"/>
      <c r="P14" s="307"/>
      <c r="Q14" s="307"/>
      <c r="R14" s="307"/>
      <c r="S14" s="307"/>
      <c r="T14" s="307"/>
      <c r="U14" s="307"/>
      <c r="V14" s="307"/>
      <c r="W14" s="307"/>
    </row>
    <row r="15" spans="1:23" x14ac:dyDescent="0.2">
      <c r="A15" s="301">
        <f>'RESUMEN DE LA CONTRATACION'!I14</f>
        <v>0</v>
      </c>
      <c r="B15" s="302">
        <f>'RESUMEN DE LA CONTRATACION'!B14</f>
        <v>0</v>
      </c>
      <c r="C15" s="387">
        <f>'RESUMEN DE LA CONTRATACION'!C14</f>
        <v>0</v>
      </c>
      <c r="D15" s="303">
        <f>'RESUMEN DE LA CONTRATACION'!F14</f>
        <v>0</v>
      </c>
      <c r="E15" s="300" t="str">
        <f t="shared" si="0"/>
        <v xml:space="preserve"> </v>
      </c>
      <c r="F15" s="307"/>
      <c r="G15" s="307"/>
      <c r="H15" s="307"/>
      <c r="I15" s="307"/>
      <c r="J15" s="307"/>
      <c r="K15" s="307"/>
      <c r="L15" s="308">
        <f t="shared" si="1"/>
        <v>0</v>
      </c>
      <c r="M15" s="307"/>
      <c r="N15" s="307"/>
      <c r="O15" s="307"/>
      <c r="P15" s="307"/>
      <c r="Q15" s="307"/>
      <c r="R15" s="307"/>
      <c r="S15" s="307"/>
      <c r="T15" s="307"/>
      <c r="U15" s="307"/>
      <c r="V15" s="307"/>
      <c r="W15" s="307"/>
    </row>
    <row r="16" spans="1:23" x14ac:dyDescent="0.2">
      <c r="A16" s="301">
        <f>'RESUMEN DE LA CONTRATACION'!I15</f>
        <v>0</v>
      </c>
      <c r="B16" s="302">
        <f>'RESUMEN DE LA CONTRATACION'!B15</f>
        <v>0</v>
      </c>
      <c r="C16" s="387">
        <f>'RESUMEN DE LA CONTRATACION'!C15</f>
        <v>0</v>
      </c>
      <c r="D16" s="303">
        <f>'RESUMEN DE LA CONTRATACION'!F15</f>
        <v>0</v>
      </c>
      <c r="E16" s="300" t="str">
        <f t="shared" si="0"/>
        <v xml:space="preserve"> </v>
      </c>
      <c r="F16" s="307"/>
      <c r="G16" s="307"/>
      <c r="H16" s="307"/>
      <c r="I16" s="307"/>
      <c r="J16" s="307"/>
      <c r="K16" s="307"/>
      <c r="L16" s="308">
        <f t="shared" si="1"/>
        <v>0</v>
      </c>
      <c r="M16" s="307"/>
      <c r="N16" s="307"/>
      <c r="O16" s="307"/>
      <c r="P16" s="307"/>
      <c r="Q16" s="307"/>
      <c r="R16" s="307"/>
      <c r="S16" s="307"/>
      <c r="T16" s="307"/>
      <c r="U16" s="307"/>
      <c r="V16" s="307"/>
      <c r="W16" s="307"/>
    </row>
    <row r="17" spans="1:23" x14ac:dyDescent="0.2">
      <c r="A17" s="301">
        <f>'RESUMEN DE LA CONTRATACION'!I16</f>
        <v>0</v>
      </c>
      <c r="B17" s="302">
        <f>'RESUMEN DE LA CONTRATACION'!B16</f>
        <v>0</v>
      </c>
      <c r="C17" s="387">
        <f>'RESUMEN DE LA CONTRATACION'!C16</f>
        <v>0</v>
      </c>
      <c r="D17" s="303">
        <f>'RESUMEN DE LA CONTRATACION'!F16</f>
        <v>0</v>
      </c>
      <c r="E17" s="300" t="str">
        <f t="shared" si="0"/>
        <v xml:space="preserve"> </v>
      </c>
      <c r="F17" s="307"/>
      <c r="G17" s="307"/>
      <c r="H17" s="307"/>
      <c r="I17" s="307"/>
      <c r="J17" s="307"/>
      <c r="K17" s="307"/>
      <c r="L17" s="308">
        <f t="shared" si="1"/>
        <v>0</v>
      </c>
      <c r="M17" s="307"/>
      <c r="N17" s="307"/>
      <c r="O17" s="307"/>
      <c r="P17" s="307"/>
      <c r="Q17" s="307"/>
      <c r="R17" s="307"/>
      <c r="S17" s="307"/>
      <c r="T17" s="307"/>
      <c r="U17" s="307"/>
      <c r="V17" s="307"/>
      <c r="W17" s="307"/>
    </row>
    <row r="18" spans="1:23" x14ac:dyDescent="0.2">
      <c r="A18" s="301">
        <f>'RESUMEN DE LA CONTRATACION'!I17</f>
        <v>0</v>
      </c>
      <c r="B18" s="302">
        <f>'RESUMEN DE LA CONTRATACION'!B17</f>
        <v>0</v>
      </c>
      <c r="C18" s="387">
        <f>'RESUMEN DE LA CONTRATACION'!C17</f>
        <v>0</v>
      </c>
      <c r="D18" s="303">
        <f>'RESUMEN DE LA CONTRATACION'!F17</f>
        <v>0</v>
      </c>
      <c r="E18" s="300" t="str">
        <f t="shared" si="0"/>
        <v xml:space="preserve"> </v>
      </c>
      <c r="F18" s="307"/>
      <c r="G18" s="307"/>
      <c r="H18" s="307"/>
      <c r="I18" s="307"/>
      <c r="J18" s="307"/>
      <c r="K18" s="307"/>
      <c r="L18" s="308">
        <f t="shared" si="1"/>
        <v>0</v>
      </c>
      <c r="M18" s="307"/>
      <c r="N18" s="307"/>
      <c r="O18" s="307"/>
      <c r="P18" s="307"/>
      <c r="Q18" s="307"/>
      <c r="R18" s="307"/>
      <c r="S18" s="307"/>
      <c r="T18" s="307"/>
      <c r="U18" s="307"/>
      <c r="V18" s="307"/>
      <c r="W18" s="307"/>
    </row>
    <row r="19" spans="1:23" x14ac:dyDescent="0.2">
      <c r="A19" s="301">
        <f>'RESUMEN DE LA CONTRATACION'!I18</f>
        <v>0</v>
      </c>
      <c r="B19" s="302">
        <f>'RESUMEN DE LA CONTRATACION'!B18</f>
        <v>0</v>
      </c>
      <c r="C19" s="387">
        <f>'RESUMEN DE LA CONTRATACION'!C18</f>
        <v>0</v>
      </c>
      <c r="D19" s="303">
        <f>'RESUMEN DE LA CONTRATACION'!F18</f>
        <v>0</v>
      </c>
      <c r="E19" s="300" t="str">
        <f t="shared" si="0"/>
        <v xml:space="preserve"> </v>
      </c>
      <c r="F19" s="307"/>
      <c r="G19" s="307"/>
      <c r="H19" s="307"/>
      <c r="I19" s="307"/>
      <c r="J19" s="307"/>
      <c r="K19" s="307"/>
      <c r="L19" s="308">
        <f t="shared" si="1"/>
        <v>0</v>
      </c>
      <c r="M19" s="307"/>
      <c r="N19" s="307"/>
      <c r="O19" s="307"/>
      <c r="P19" s="307"/>
      <c r="Q19" s="307"/>
      <c r="R19" s="307"/>
      <c r="S19" s="307"/>
      <c r="T19" s="307"/>
      <c r="U19" s="307"/>
      <c r="V19" s="307"/>
      <c r="W19" s="307"/>
    </row>
    <row r="20" spans="1:23" x14ac:dyDescent="0.2">
      <c r="A20" s="301">
        <f>'RESUMEN DE LA CONTRATACION'!I19</f>
        <v>0</v>
      </c>
      <c r="B20" s="302">
        <f>'RESUMEN DE LA CONTRATACION'!B19</f>
        <v>0</v>
      </c>
      <c r="C20" s="387">
        <f>'RESUMEN DE LA CONTRATACION'!C19</f>
        <v>0</v>
      </c>
      <c r="D20" s="303">
        <f>'RESUMEN DE LA CONTRATACION'!F19</f>
        <v>0</v>
      </c>
      <c r="E20" s="300" t="str">
        <f t="shared" si="0"/>
        <v xml:space="preserve"> </v>
      </c>
      <c r="F20" s="307"/>
      <c r="G20" s="307"/>
      <c r="H20" s="307"/>
      <c r="I20" s="307"/>
      <c r="J20" s="307"/>
      <c r="K20" s="307"/>
      <c r="L20" s="308">
        <f t="shared" si="1"/>
        <v>0</v>
      </c>
      <c r="M20" s="307"/>
      <c r="N20" s="307"/>
      <c r="O20" s="307"/>
      <c r="P20" s="307"/>
      <c r="Q20" s="307"/>
      <c r="R20" s="307"/>
      <c r="S20" s="307"/>
      <c r="T20" s="307"/>
      <c r="U20" s="307"/>
      <c r="V20" s="307"/>
      <c r="W20" s="307"/>
    </row>
    <row r="21" spans="1:23" x14ac:dyDescent="0.2">
      <c r="A21" s="301">
        <f>'RESUMEN DE LA CONTRATACION'!I20</f>
        <v>0</v>
      </c>
      <c r="B21" s="302">
        <f>'RESUMEN DE LA CONTRATACION'!B20</f>
        <v>0</v>
      </c>
      <c r="C21" s="387">
        <f>'RESUMEN DE LA CONTRATACION'!C20</f>
        <v>0</v>
      </c>
      <c r="D21" s="303">
        <f>'RESUMEN DE LA CONTRATACION'!F20</f>
        <v>0</v>
      </c>
      <c r="E21" s="300" t="str">
        <f t="shared" si="0"/>
        <v xml:space="preserve"> </v>
      </c>
      <c r="F21" s="307"/>
      <c r="G21" s="307"/>
      <c r="H21" s="307"/>
      <c r="I21" s="307"/>
      <c r="J21" s="307"/>
      <c r="K21" s="307"/>
      <c r="L21" s="308">
        <f t="shared" si="1"/>
        <v>0</v>
      </c>
      <c r="M21" s="307"/>
      <c r="N21" s="307"/>
      <c r="O21" s="307"/>
      <c r="P21" s="307"/>
      <c r="Q21" s="307"/>
      <c r="R21" s="307"/>
      <c r="S21" s="307"/>
      <c r="T21" s="307"/>
      <c r="U21" s="307"/>
      <c r="V21" s="307"/>
      <c r="W21" s="307"/>
    </row>
    <row r="22" spans="1:23" ht="12.75" customHeight="1" x14ac:dyDescent="0.2">
      <c r="A22" s="301">
        <f>'RESUMEN DE LA CONTRATACION'!I21</f>
        <v>0</v>
      </c>
      <c r="B22" s="302">
        <f>'RESUMEN DE LA CONTRATACION'!B21</f>
        <v>0</v>
      </c>
      <c r="C22" s="387">
        <f>'RESUMEN DE LA CONTRATACION'!C21</f>
        <v>0</v>
      </c>
      <c r="D22" s="304">
        <f>'RESUMEN DE LA CONTRATACION'!F21</f>
        <v>0</v>
      </c>
      <c r="E22" s="300" t="str">
        <f t="shared" si="0"/>
        <v xml:space="preserve"> </v>
      </c>
      <c r="F22" s="307"/>
      <c r="G22" s="307"/>
      <c r="H22" s="307"/>
      <c r="I22" s="307"/>
      <c r="J22" s="307"/>
      <c r="K22" s="307"/>
      <c r="L22" s="308">
        <f t="shared" si="1"/>
        <v>0</v>
      </c>
      <c r="M22" s="307"/>
      <c r="N22" s="307"/>
      <c r="O22" s="307"/>
      <c r="P22" s="307"/>
      <c r="Q22" s="307"/>
      <c r="R22" s="307"/>
      <c r="S22" s="307"/>
      <c r="T22" s="307"/>
      <c r="U22" s="307"/>
      <c r="V22" s="307"/>
      <c r="W22" s="307"/>
    </row>
    <row r="23" spans="1:23" x14ac:dyDescent="0.2">
      <c r="A23" s="301">
        <f>'RESUMEN DE LA CONTRATACION'!I22</f>
        <v>0</v>
      </c>
      <c r="B23" s="302">
        <f>'RESUMEN DE LA CONTRATACION'!B22</f>
        <v>0</v>
      </c>
      <c r="C23" s="387">
        <f>'RESUMEN DE LA CONTRATACION'!C22</f>
        <v>0</v>
      </c>
      <c r="D23" s="303">
        <f>'RESUMEN DE LA CONTRATACION'!F22</f>
        <v>0</v>
      </c>
      <c r="E23" s="300" t="str">
        <f t="shared" si="0"/>
        <v xml:space="preserve"> </v>
      </c>
      <c r="F23" s="307"/>
      <c r="G23" s="307"/>
      <c r="H23" s="307"/>
      <c r="I23" s="307"/>
      <c r="J23" s="307"/>
      <c r="K23" s="307"/>
      <c r="L23" s="308">
        <f t="shared" si="1"/>
        <v>0</v>
      </c>
      <c r="M23" s="307"/>
      <c r="N23" s="307"/>
      <c r="O23" s="307"/>
      <c r="P23" s="307"/>
      <c r="Q23" s="307"/>
      <c r="R23" s="307"/>
      <c r="S23" s="307"/>
      <c r="T23" s="307"/>
      <c r="U23" s="307"/>
      <c r="V23" s="307"/>
      <c r="W23" s="307"/>
    </row>
    <row r="24" spans="1:23" x14ac:dyDescent="0.2">
      <c r="A24" s="301">
        <f>'RESUMEN DE LA CONTRATACION'!I23</f>
        <v>0</v>
      </c>
      <c r="B24" s="302">
        <f>'RESUMEN DE LA CONTRATACION'!B23</f>
        <v>0</v>
      </c>
      <c r="C24" s="387">
        <f>'RESUMEN DE LA CONTRATACION'!C23</f>
        <v>0</v>
      </c>
      <c r="D24" s="303">
        <f>'RESUMEN DE LA CONTRATACION'!F23</f>
        <v>0</v>
      </c>
      <c r="E24" s="300" t="str">
        <f t="shared" si="0"/>
        <v xml:space="preserve"> </v>
      </c>
      <c r="F24" s="307"/>
      <c r="G24" s="307"/>
      <c r="H24" s="307"/>
      <c r="I24" s="307"/>
      <c r="J24" s="307"/>
      <c r="K24" s="307"/>
      <c r="L24" s="308">
        <f t="shared" si="1"/>
        <v>0</v>
      </c>
      <c r="M24" s="307"/>
      <c r="N24" s="307"/>
      <c r="O24" s="307"/>
      <c r="P24" s="307"/>
      <c r="Q24" s="307"/>
      <c r="R24" s="307"/>
      <c r="S24" s="307"/>
      <c r="T24" s="307"/>
      <c r="U24" s="307"/>
      <c r="V24" s="307"/>
      <c r="W24" s="307"/>
    </row>
    <row r="25" spans="1:23" x14ac:dyDescent="0.2">
      <c r="A25" s="301">
        <f>'RESUMEN DE LA CONTRATACION'!I24</f>
        <v>0</v>
      </c>
      <c r="B25" s="302">
        <f>'RESUMEN DE LA CONTRATACION'!B24</f>
        <v>0</v>
      </c>
      <c r="C25" s="387">
        <f>'RESUMEN DE LA CONTRATACION'!C24</f>
        <v>0</v>
      </c>
      <c r="D25" s="303">
        <f>'RESUMEN DE LA CONTRATACION'!F24</f>
        <v>0</v>
      </c>
      <c r="E25" s="300" t="str">
        <f t="shared" si="0"/>
        <v xml:space="preserve"> </v>
      </c>
      <c r="F25" s="307"/>
      <c r="G25" s="307"/>
      <c r="H25" s="307"/>
      <c r="I25" s="307"/>
      <c r="J25" s="307"/>
      <c r="K25" s="307"/>
      <c r="L25" s="308">
        <f t="shared" si="1"/>
        <v>0</v>
      </c>
      <c r="M25" s="307"/>
      <c r="N25" s="307"/>
      <c r="O25" s="307"/>
      <c r="P25" s="307"/>
      <c r="Q25" s="307"/>
      <c r="R25" s="307"/>
      <c r="S25" s="307"/>
      <c r="T25" s="307"/>
      <c r="U25" s="307"/>
      <c r="V25" s="307"/>
      <c r="W25" s="307"/>
    </row>
    <row r="26" spans="1:23" x14ac:dyDescent="0.2">
      <c r="A26" s="301">
        <f>'RESUMEN DE LA CONTRATACION'!I25</f>
        <v>0</v>
      </c>
      <c r="B26" s="302">
        <f>'RESUMEN DE LA CONTRATACION'!B25</f>
        <v>0</v>
      </c>
      <c r="C26" s="387">
        <f>'RESUMEN DE LA CONTRATACION'!C25</f>
        <v>0</v>
      </c>
      <c r="D26" s="303">
        <f>'RESUMEN DE LA CONTRATACION'!F25</f>
        <v>0</v>
      </c>
      <c r="E26" s="300" t="str">
        <f t="shared" si="0"/>
        <v xml:space="preserve"> </v>
      </c>
      <c r="F26" s="307"/>
      <c r="G26" s="307"/>
      <c r="H26" s="307"/>
      <c r="I26" s="307"/>
      <c r="J26" s="307"/>
      <c r="K26" s="307"/>
      <c r="L26" s="308">
        <f t="shared" si="1"/>
        <v>0</v>
      </c>
      <c r="M26" s="307"/>
      <c r="N26" s="307"/>
      <c r="O26" s="307"/>
      <c r="P26" s="307"/>
      <c r="Q26" s="307"/>
      <c r="R26" s="307"/>
      <c r="S26" s="307"/>
      <c r="T26" s="307"/>
      <c r="U26" s="307"/>
      <c r="V26" s="307"/>
      <c r="W26" s="307"/>
    </row>
    <row r="27" spans="1:23" x14ac:dyDescent="0.2">
      <c r="A27" s="301">
        <f>'RESUMEN DE LA CONTRATACION'!I26</f>
        <v>0</v>
      </c>
      <c r="B27" s="302">
        <f>'RESUMEN DE LA CONTRATACION'!B26</f>
        <v>0</v>
      </c>
      <c r="C27" s="387">
        <f>'RESUMEN DE LA CONTRATACION'!C26</f>
        <v>0</v>
      </c>
      <c r="D27" s="303">
        <f>'RESUMEN DE LA CONTRATACION'!F26</f>
        <v>0</v>
      </c>
      <c r="E27" s="300" t="str">
        <f t="shared" si="0"/>
        <v xml:space="preserve"> </v>
      </c>
      <c r="F27" s="307"/>
      <c r="G27" s="307"/>
      <c r="H27" s="307"/>
      <c r="I27" s="307"/>
      <c r="J27" s="307"/>
      <c r="K27" s="307"/>
      <c r="L27" s="308">
        <f t="shared" si="1"/>
        <v>0</v>
      </c>
      <c r="M27" s="307"/>
      <c r="N27" s="307"/>
      <c r="O27" s="307"/>
      <c r="P27" s="307"/>
      <c r="Q27" s="307"/>
      <c r="R27" s="307"/>
      <c r="S27" s="307"/>
      <c r="T27" s="307"/>
      <c r="U27" s="307"/>
      <c r="V27" s="307"/>
      <c r="W27" s="307"/>
    </row>
    <row r="28" spans="1:23" x14ac:dyDescent="0.2">
      <c r="A28" s="301">
        <f>'RESUMEN DE LA CONTRATACION'!I27</f>
        <v>0</v>
      </c>
      <c r="B28" s="302">
        <f>'RESUMEN DE LA CONTRATACION'!B27</f>
        <v>0</v>
      </c>
      <c r="C28" s="387">
        <f>'RESUMEN DE LA CONTRATACION'!C27</f>
        <v>0</v>
      </c>
      <c r="D28" s="303">
        <f>'RESUMEN DE LA CONTRATACION'!F27</f>
        <v>0</v>
      </c>
      <c r="E28" s="300" t="str">
        <f t="shared" si="0"/>
        <v xml:space="preserve"> </v>
      </c>
      <c r="F28" s="307"/>
      <c r="G28" s="307"/>
      <c r="H28" s="307"/>
      <c r="I28" s="307"/>
      <c r="J28" s="307"/>
      <c r="K28" s="307"/>
      <c r="L28" s="308">
        <f t="shared" si="1"/>
        <v>0</v>
      </c>
      <c r="M28" s="307"/>
      <c r="N28" s="307"/>
      <c r="O28" s="307"/>
      <c r="P28" s="307"/>
      <c r="Q28" s="307"/>
      <c r="R28" s="307"/>
      <c r="S28" s="307"/>
      <c r="T28" s="307"/>
      <c r="U28" s="307"/>
      <c r="V28" s="307"/>
      <c r="W28" s="307"/>
    </row>
    <row r="29" spans="1:23" x14ac:dyDescent="0.2">
      <c r="A29" s="301">
        <f>'RESUMEN DE LA CONTRATACION'!I28</f>
        <v>0</v>
      </c>
      <c r="B29" s="302">
        <f>'RESUMEN DE LA CONTRATACION'!B28</f>
        <v>0</v>
      </c>
      <c r="C29" s="387">
        <f>'RESUMEN DE LA CONTRATACION'!C28</f>
        <v>0</v>
      </c>
      <c r="D29" s="303">
        <f>'RESUMEN DE LA CONTRATACION'!F28</f>
        <v>0</v>
      </c>
      <c r="E29" s="300" t="str">
        <f t="shared" si="0"/>
        <v xml:space="preserve"> </v>
      </c>
      <c r="F29" s="307"/>
      <c r="G29" s="307"/>
      <c r="H29" s="307"/>
      <c r="I29" s="307"/>
      <c r="J29" s="307"/>
      <c r="K29" s="307"/>
      <c r="L29" s="308">
        <f t="shared" si="1"/>
        <v>0</v>
      </c>
      <c r="M29" s="307"/>
      <c r="N29" s="307"/>
      <c r="O29" s="307"/>
      <c r="P29" s="307"/>
      <c r="Q29" s="307"/>
      <c r="R29" s="307"/>
      <c r="S29" s="307"/>
      <c r="T29" s="307"/>
      <c r="U29" s="307"/>
      <c r="V29" s="307"/>
      <c r="W29" s="307"/>
    </row>
    <row r="30" spans="1:23" x14ac:dyDescent="0.2">
      <c r="A30" s="301">
        <f>'RESUMEN DE LA CONTRATACION'!I29</f>
        <v>0</v>
      </c>
      <c r="B30" s="302">
        <f>'RESUMEN DE LA CONTRATACION'!B29</f>
        <v>0</v>
      </c>
      <c r="C30" s="387">
        <f>'RESUMEN DE LA CONTRATACION'!C29</f>
        <v>0</v>
      </c>
      <c r="D30" s="303">
        <f>'RESUMEN DE LA CONTRATACION'!F29</f>
        <v>0</v>
      </c>
      <c r="E30" s="300" t="str">
        <f t="shared" si="0"/>
        <v xml:space="preserve"> </v>
      </c>
      <c r="F30" s="307"/>
      <c r="G30" s="307"/>
      <c r="H30" s="307"/>
      <c r="I30" s="307"/>
      <c r="J30" s="307"/>
      <c r="K30" s="307"/>
      <c r="L30" s="308">
        <f t="shared" si="1"/>
        <v>0</v>
      </c>
      <c r="M30" s="307"/>
      <c r="N30" s="307"/>
      <c r="O30" s="307"/>
      <c r="P30" s="307"/>
      <c r="Q30" s="307"/>
      <c r="R30" s="307"/>
      <c r="S30" s="307"/>
      <c r="T30" s="307"/>
      <c r="U30" s="307"/>
      <c r="V30" s="307"/>
      <c r="W30" s="307"/>
    </row>
    <row r="31" spans="1:23" x14ac:dyDescent="0.2">
      <c r="A31" s="301">
        <f>'RESUMEN DE LA CONTRATACION'!I30</f>
        <v>0</v>
      </c>
      <c r="B31" s="302">
        <f>'RESUMEN DE LA CONTRATACION'!B30</f>
        <v>0</v>
      </c>
      <c r="C31" s="387">
        <f>'RESUMEN DE LA CONTRATACION'!C30</f>
        <v>0</v>
      </c>
      <c r="D31" s="303">
        <f>'RESUMEN DE LA CONTRATACION'!F30</f>
        <v>0</v>
      </c>
      <c r="E31" s="300" t="str">
        <f t="shared" si="0"/>
        <v xml:space="preserve"> </v>
      </c>
      <c r="F31" s="307"/>
      <c r="G31" s="307"/>
      <c r="H31" s="307"/>
      <c r="I31" s="307"/>
      <c r="J31" s="307"/>
      <c r="K31" s="307"/>
      <c r="L31" s="308">
        <f t="shared" si="1"/>
        <v>0</v>
      </c>
      <c r="M31" s="307"/>
      <c r="N31" s="307"/>
      <c r="O31" s="307"/>
      <c r="P31" s="307"/>
      <c r="Q31" s="307"/>
      <c r="R31" s="307"/>
      <c r="S31" s="307"/>
      <c r="T31" s="307"/>
      <c r="U31" s="307"/>
      <c r="V31" s="307"/>
      <c r="W31" s="307"/>
    </row>
    <row r="32" spans="1:23" x14ac:dyDescent="0.2">
      <c r="A32" s="301">
        <f>'RESUMEN DE LA CONTRATACION'!I31</f>
        <v>0</v>
      </c>
      <c r="B32" s="302">
        <f>'RESUMEN DE LA CONTRATACION'!B31</f>
        <v>0</v>
      </c>
      <c r="C32" s="387">
        <f>'RESUMEN DE LA CONTRATACION'!C31</f>
        <v>0</v>
      </c>
      <c r="D32" s="303">
        <f>'RESUMEN DE LA CONTRATACION'!F31</f>
        <v>0</v>
      </c>
      <c r="E32" s="300" t="str">
        <f t="shared" si="0"/>
        <v xml:space="preserve"> </v>
      </c>
      <c r="F32" s="307"/>
      <c r="G32" s="307"/>
      <c r="H32" s="307"/>
      <c r="I32" s="307"/>
      <c r="J32" s="307"/>
      <c r="K32" s="307"/>
      <c r="L32" s="308">
        <f t="shared" si="1"/>
        <v>0</v>
      </c>
      <c r="M32" s="307"/>
      <c r="N32" s="307"/>
      <c r="O32" s="307"/>
      <c r="P32" s="307"/>
      <c r="Q32" s="307"/>
      <c r="R32" s="307"/>
      <c r="S32" s="307"/>
      <c r="T32" s="307"/>
      <c r="U32" s="307"/>
      <c r="V32" s="307"/>
      <c r="W32" s="307"/>
    </row>
    <row r="33" spans="1:23" x14ac:dyDescent="0.2">
      <c r="A33" s="301">
        <f>'RESUMEN DE LA CONTRATACION'!I32</f>
        <v>0</v>
      </c>
      <c r="B33" s="302">
        <f>'RESUMEN DE LA CONTRATACION'!B32</f>
        <v>0</v>
      </c>
      <c r="C33" s="387">
        <f>'RESUMEN DE LA CONTRATACION'!C32</f>
        <v>0</v>
      </c>
      <c r="D33" s="303">
        <f>'RESUMEN DE LA CONTRATACION'!F32</f>
        <v>0</v>
      </c>
      <c r="E33" s="300" t="str">
        <f t="shared" si="0"/>
        <v xml:space="preserve"> </v>
      </c>
      <c r="F33" s="307"/>
      <c r="G33" s="307"/>
      <c r="H33" s="307"/>
      <c r="I33" s="307"/>
      <c r="J33" s="307"/>
      <c r="K33" s="307"/>
      <c r="L33" s="308">
        <f t="shared" si="1"/>
        <v>0</v>
      </c>
      <c r="M33" s="307"/>
      <c r="N33" s="307"/>
      <c r="O33" s="307"/>
      <c r="P33" s="307"/>
      <c r="Q33" s="307"/>
      <c r="R33" s="307"/>
      <c r="S33" s="307"/>
      <c r="T33" s="307"/>
      <c r="U33" s="307"/>
      <c r="V33" s="307"/>
      <c r="W33" s="307"/>
    </row>
    <row r="34" spans="1:23" x14ac:dyDescent="0.2">
      <c r="A34" s="301">
        <f>'RESUMEN DE LA CONTRATACION'!I33</f>
        <v>0</v>
      </c>
      <c r="B34" s="302">
        <f>'RESUMEN DE LA CONTRATACION'!B33</f>
        <v>0</v>
      </c>
      <c r="C34" s="387">
        <f>'RESUMEN DE LA CONTRATACION'!C33</f>
        <v>0</v>
      </c>
      <c r="D34" s="303">
        <f>'RESUMEN DE LA CONTRATACION'!F33</f>
        <v>0</v>
      </c>
      <c r="E34" s="300" t="str">
        <f t="shared" si="0"/>
        <v xml:space="preserve"> </v>
      </c>
      <c r="F34" s="307"/>
      <c r="G34" s="307"/>
      <c r="H34" s="307"/>
      <c r="I34" s="307"/>
      <c r="J34" s="307"/>
      <c r="K34" s="307"/>
      <c r="L34" s="308">
        <f t="shared" si="1"/>
        <v>0</v>
      </c>
      <c r="M34" s="307"/>
      <c r="N34" s="307"/>
      <c r="O34" s="307"/>
      <c r="P34" s="307"/>
      <c r="Q34" s="307"/>
      <c r="R34" s="307"/>
      <c r="S34" s="307"/>
      <c r="T34" s="307"/>
      <c r="U34" s="307"/>
      <c r="V34" s="307"/>
      <c r="W34" s="307"/>
    </row>
    <row r="35" spans="1:23" x14ac:dyDescent="0.2">
      <c r="A35" s="301">
        <f>'RESUMEN DE LA CONTRATACION'!I34</f>
        <v>0</v>
      </c>
      <c r="B35" s="302">
        <f>'RESUMEN DE LA CONTRATACION'!B34</f>
        <v>0</v>
      </c>
      <c r="C35" s="387">
        <f>'RESUMEN DE LA CONTRATACION'!C34</f>
        <v>0</v>
      </c>
      <c r="D35" s="303">
        <f>'RESUMEN DE LA CONTRATACION'!F34</f>
        <v>0</v>
      </c>
      <c r="E35" s="300" t="str">
        <f t="shared" si="0"/>
        <v xml:space="preserve"> </v>
      </c>
      <c r="F35" s="307"/>
      <c r="G35" s="307"/>
      <c r="H35" s="307"/>
      <c r="I35" s="307"/>
      <c r="J35" s="307"/>
      <c r="K35" s="307"/>
      <c r="L35" s="308">
        <f t="shared" si="1"/>
        <v>0</v>
      </c>
      <c r="M35" s="307"/>
      <c r="N35" s="307"/>
      <c r="O35" s="307"/>
      <c r="P35" s="307"/>
      <c r="Q35" s="307"/>
      <c r="R35" s="307"/>
      <c r="S35" s="307"/>
      <c r="T35" s="307"/>
      <c r="U35" s="307"/>
      <c r="V35" s="307"/>
      <c r="W35" s="307"/>
    </row>
    <row r="36" spans="1:23" x14ac:dyDescent="0.2">
      <c r="A36" s="301">
        <f>'RESUMEN DE LA CONTRATACION'!I35</f>
        <v>0</v>
      </c>
      <c r="B36" s="302">
        <f>'RESUMEN DE LA CONTRATACION'!B35</f>
        <v>0</v>
      </c>
      <c r="C36" s="387">
        <f>'RESUMEN DE LA CONTRATACION'!C35</f>
        <v>0</v>
      </c>
      <c r="D36" s="303">
        <f>'RESUMEN DE LA CONTRATACION'!F35</f>
        <v>0</v>
      </c>
      <c r="E36" s="300" t="str">
        <f t="shared" si="0"/>
        <v xml:space="preserve"> </v>
      </c>
      <c r="F36" s="307"/>
      <c r="G36" s="307"/>
      <c r="H36" s="307"/>
      <c r="I36" s="307"/>
      <c r="J36" s="307"/>
      <c r="K36" s="307"/>
      <c r="L36" s="308">
        <f t="shared" si="1"/>
        <v>0</v>
      </c>
      <c r="M36" s="307"/>
      <c r="N36" s="307"/>
      <c r="O36" s="307"/>
      <c r="P36" s="307"/>
      <c r="Q36" s="307"/>
      <c r="R36" s="307"/>
      <c r="S36" s="307"/>
      <c r="T36" s="307"/>
      <c r="U36" s="307"/>
      <c r="V36" s="307"/>
      <c r="W36" s="307"/>
    </row>
    <row r="37" spans="1:23" x14ac:dyDescent="0.2">
      <c r="A37" s="301">
        <f>'RESUMEN DE LA CONTRATACION'!I36</f>
        <v>0</v>
      </c>
      <c r="B37" s="302">
        <f>'RESUMEN DE LA CONTRATACION'!B36</f>
        <v>0</v>
      </c>
      <c r="C37" s="387">
        <f>'RESUMEN DE LA CONTRATACION'!C36</f>
        <v>0</v>
      </c>
      <c r="D37" s="303">
        <f>'RESUMEN DE LA CONTRATACION'!F36</f>
        <v>0</v>
      </c>
      <c r="E37" s="300" t="str">
        <f t="shared" si="0"/>
        <v xml:space="preserve"> </v>
      </c>
      <c r="F37" s="307"/>
      <c r="G37" s="307"/>
      <c r="H37" s="307"/>
      <c r="I37" s="307"/>
      <c r="J37" s="307"/>
      <c r="K37" s="307"/>
      <c r="L37" s="308">
        <f t="shared" si="1"/>
        <v>0</v>
      </c>
      <c r="M37" s="307"/>
      <c r="N37" s="307"/>
      <c r="O37" s="307"/>
      <c r="P37" s="307"/>
      <c r="Q37" s="307"/>
      <c r="R37" s="307"/>
      <c r="S37" s="307"/>
      <c r="T37" s="307"/>
      <c r="U37" s="307"/>
      <c r="V37" s="307"/>
      <c r="W37" s="307"/>
    </row>
    <row r="38" spans="1:23" x14ac:dyDescent="0.2">
      <c r="A38" s="301">
        <f>'RESUMEN DE LA CONTRATACION'!I37</f>
        <v>0</v>
      </c>
      <c r="B38" s="302">
        <f>'RESUMEN DE LA CONTRATACION'!B37</f>
        <v>0</v>
      </c>
      <c r="C38" s="387">
        <f>'RESUMEN DE LA CONTRATACION'!C37</f>
        <v>0</v>
      </c>
      <c r="D38" s="303">
        <f>'RESUMEN DE LA CONTRATACION'!F37</f>
        <v>0</v>
      </c>
      <c r="E38" s="300" t="str">
        <f t="shared" si="0"/>
        <v xml:space="preserve"> </v>
      </c>
      <c r="F38" s="307"/>
      <c r="G38" s="307"/>
      <c r="H38" s="307"/>
      <c r="I38" s="307"/>
      <c r="J38" s="307"/>
      <c r="K38" s="307"/>
      <c r="L38" s="308">
        <f t="shared" si="1"/>
        <v>0</v>
      </c>
      <c r="M38" s="307"/>
      <c r="N38" s="307"/>
      <c r="O38" s="307"/>
      <c r="P38" s="307"/>
      <c r="Q38" s="307"/>
      <c r="R38" s="307"/>
      <c r="S38" s="307"/>
      <c r="T38" s="307"/>
      <c r="U38" s="307"/>
      <c r="V38" s="307"/>
      <c r="W38" s="307"/>
    </row>
    <row r="39" spans="1:23" x14ac:dyDescent="0.2">
      <c r="A39" s="301">
        <f>'RESUMEN DE LA CONTRATACION'!I38</f>
        <v>0</v>
      </c>
      <c r="B39" s="302">
        <f>'RESUMEN DE LA CONTRATACION'!B38</f>
        <v>0</v>
      </c>
      <c r="C39" s="387">
        <f>'RESUMEN DE LA CONTRATACION'!C38</f>
        <v>0</v>
      </c>
      <c r="D39" s="303">
        <f>'RESUMEN DE LA CONTRATACION'!F38</f>
        <v>0</v>
      </c>
      <c r="E39" s="300" t="str">
        <f t="shared" si="0"/>
        <v xml:space="preserve"> </v>
      </c>
      <c r="F39" s="307"/>
      <c r="G39" s="307"/>
      <c r="H39" s="307"/>
      <c r="I39" s="307"/>
      <c r="J39" s="307"/>
      <c r="K39" s="307"/>
      <c r="L39" s="308">
        <f t="shared" si="1"/>
        <v>0</v>
      </c>
      <c r="M39" s="307"/>
      <c r="N39" s="307"/>
      <c r="O39" s="307"/>
      <c r="P39" s="307"/>
      <c r="Q39" s="307"/>
      <c r="R39" s="307"/>
      <c r="S39" s="307"/>
      <c r="T39" s="307"/>
      <c r="U39" s="307"/>
      <c r="V39" s="307"/>
      <c r="W39" s="307"/>
    </row>
    <row r="40" spans="1:23" x14ac:dyDescent="0.2">
      <c r="A40" s="301">
        <f>'RESUMEN DE LA CONTRATACION'!I39</f>
        <v>0</v>
      </c>
      <c r="B40" s="302">
        <f>'RESUMEN DE LA CONTRATACION'!B39</f>
        <v>0</v>
      </c>
      <c r="C40" s="387">
        <f>'RESUMEN DE LA CONTRATACION'!C39</f>
        <v>0</v>
      </c>
      <c r="D40" s="303">
        <f>'RESUMEN DE LA CONTRATACION'!F39</f>
        <v>0</v>
      </c>
      <c r="E40" s="300" t="str">
        <f t="shared" si="0"/>
        <v xml:space="preserve"> </v>
      </c>
      <c r="F40" s="307"/>
      <c r="G40" s="307"/>
      <c r="H40" s="307"/>
      <c r="I40" s="307"/>
      <c r="J40" s="307"/>
      <c r="K40" s="307"/>
      <c r="L40" s="308">
        <f t="shared" si="1"/>
        <v>0</v>
      </c>
      <c r="M40" s="307"/>
      <c r="N40" s="307"/>
      <c r="O40" s="307"/>
      <c r="P40" s="307"/>
      <c r="Q40" s="307"/>
      <c r="R40" s="307"/>
      <c r="S40" s="307"/>
      <c r="T40" s="307"/>
      <c r="U40" s="307"/>
      <c r="V40" s="307"/>
      <c r="W40" s="307"/>
    </row>
    <row r="41" spans="1:23" x14ac:dyDescent="0.2">
      <c r="A41" s="301">
        <f>'RESUMEN DE LA CONTRATACION'!I40</f>
        <v>0</v>
      </c>
      <c r="B41" s="302">
        <f>'RESUMEN DE LA CONTRATACION'!B40</f>
        <v>0</v>
      </c>
      <c r="C41" s="387">
        <f>'RESUMEN DE LA CONTRATACION'!C40</f>
        <v>0</v>
      </c>
      <c r="D41" s="303">
        <f>'RESUMEN DE LA CONTRATACION'!F40</f>
        <v>0</v>
      </c>
      <c r="E41" s="300" t="str">
        <f t="shared" si="0"/>
        <v xml:space="preserve"> </v>
      </c>
      <c r="F41" s="307"/>
      <c r="G41" s="307"/>
      <c r="H41" s="307"/>
      <c r="I41" s="307"/>
      <c r="J41" s="307"/>
      <c r="K41" s="307"/>
      <c r="L41" s="308">
        <f t="shared" si="1"/>
        <v>0</v>
      </c>
      <c r="M41" s="307"/>
      <c r="N41" s="307"/>
      <c r="O41" s="307"/>
      <c r="P41" s="307"/>
      <c r="Q41" s="307"/>
      <c r="R41" s="307"/>
      <c r="S41" s="307"/>
      <c r="T41" s="307"/>
      <c r="U41" s="307"/>
      <c r="V41" s="307"/>
      <c r="W41" s="307"/>
    </row>
    <row r="42" spans="1:23" x14ac:dyDescent="0.2">
      <c r="A42" s="301">
        <f>'RESUMEN DE LA CONTRATACION'!I41</f>
        <v>0</v>
      </c>
      <c r="B42" s="302">
        <f>'RESUMEN DE LA CONTRATACION'!B41</f>
        <v>0</v>
      </c>
      <c r="C42" s="387">
        <f>'RESUMEN DE LA CONTRATACION'!C41</f>
        <v>0</v>
      </c>
      <c r="D42" s="303">
        <f>'RESUMEN DE LA CONTRATACION'!F41</f>
        <v>0</v>
      </c>
      <c r="E42" s="300" t="str">
        <f t="shared" si="0"/>
        <v xml:space="preserve"> </v>
      </c>
      <c r="F42" s="307"/>
      <c r="G42" s="307"/>
      <c r="H42" s="307"/>
      <c r="I42" s="307"/>
      <c r="J42" s="307"/>
      <c r="K42" s="307"/>
      <c r="L42" s="308">
        <f t="shared" si="1"/>
        <v>0</v>
      </c>
      <c r="M42" s="307"/>
      <c r="N42" s="307"/>
      <c r="O42" s="307"/>
      <c r="P42" s="307"/>
      <c r="Q42" s="307"/>
      <c r="R42" s="307"/>
      <c r="S42" s="307"/>
      <c r="T42" s="307"/>
      <c r="U42" s="307"/>
      <c r="V42" s="307"/>
      <c r="W42" s="307"/>
    </row>
    <row r="43" spans="1:23" x14ac:dyDescent="0.2">
      <c r="A43" s="301">
        <f>'RESUMEN DE LA CONTRATACION'!I42</f>
        <v>0</v>
      </c>
      <c r="B43" s="302">
        <f>'RESUMEN DE LA CONTRATACION'!B42</f>
        <v>0</v>
      </c>
      <c r="C43" s="387">
        <f>'RESUMEN DE LA CONTRATACION'!C42</f>
        <v>0</v>
      </c>
      <c r="D43" s="303">
        <f>'RESUMEN DE LA CONTRATACION'!F42</f>
        <v>0</v>
      </c>
      <c r="E43" s="300" t="str">
        <f t="shared" si="0"/>
        <v xml:space="preserve"> </v>
      </c>
      <c r="F43" s="307"/>
      <c r="G43" s="307"/>
      <c r="H43" s="307"/>
      <c r="I43" s="307"/>
      <c r="J43" s="307"/>
      <c r="K43" s="307"/>
      <c r="L43" s="308">
        <f t="shared" si="1"/>
        <v>0</v>
      </c>
      <c r="M43" s="307"/>
      <c r="N43" s="307"/>
      <c r="O43" s="307"/>
      <c r="P43" s="307"/>
      <c r="Q43" s="307"/>
      <c r="R43" s="307"/>
      <c r="S43" s="307"/>
      <c r="T43" s="307"/>
      <c r="U43" s="307"/>
      <c r="V43" s="307"/>
      <c r="W43" s="307"/>
    </row>
    <row r="44" spans="1:23" x14ac:dyDescent="0.2">
      <c r="A44" s="301">
        <f>'RESUMEN DE LA CONTRATACION'!I43</f>
        <v>0</v>
      </c>
      <c r="B44" s="302">
        <f>'RESUMEN DE LA CONTRATACION'!B43</f>
        <v>0</v>
      </c>
      <c r="C44" s="387">
        <f>'RESUMEN DE LA CONTRATACION'!C43</f>
        <v>0</v>
      </c>
      <c r="D44" s="303">
        <f>'RESUMEN DE LA CONTRATACION'!F43</f>
        <v>0</v>
      </c>
      <c r="E44" s="300" t="str">
        <f t="shared" si="0"/>
        <v xml:space="preserve"> </v>
      </c>
      <c r="F44" s="307"/>
      <c r="G44" s="307"/>
      <c r="H44" s="307"/>
      <c r="I44" s="307"/>
      <c r="J44" s="307"/>
      <c r="K44" s="307"/>
      <c r="L44" s="308">
        <f t="shared" si="1"/>
        <v>0</v>
      </c>
      <c r="M44" s="307"/>
      <c r="N44" s="307"/>
      <c r="O44" s="307"/>
      <c r="P44" s="307"/>
      <c r="Q44" s="307"/>
      <c r="R44" s="307"/>
      <c r="S44" s="307"/>
      <c r="T44" s="307"/>
      <c r="U44" s="307"/>
      <c r="V44" s="307"/>
      <c r="W44" s="307"/>
    </row>
    <row r="45" spans="1:23" x14ac:dyDescent="0.2">
      <c r="A45" s="301">
        <f>'RESUMEN DE LA CONTRATACION'!I44</f>
        <v>0</v>
      </c>
      <c r="B45" s="302">
        <f>'RESUMEN DE LA CONTRATACION'!B44</f>
        <v>0</v>
      </c>
      <c r="C45" s="387">
        <f>'RESUMEN DE LA CONTRATACION'!C44</f>
        <v>0</v>
      </c>
      <c r="D45" s="303">
        <f>'RESUMEN DE LA CONTRATACION'!F44</f>
        <v>0</v>
      </c>
      <c r="E45" s="300" t="str">
        <f t="shared" si="0"/>
        <v xml:space="preserve"> </v>
      </c>
      <c r="F45" s="307"/>
      <c r="G45" s="307"/>
      <c r="H45" s="307"/>
      <c r="I45" s="307"/>
      <c r="J45" s="307"/>
      <c r="K45" s="307"/>
      <c r="L45" s="308">
        <f t="shared" si="1"/>
        <v>0</v>
      </c>
      <c r="M45" s="307"/>
      <c r="N45" s="307"/>
      <c r="O45" s="307"/>
      <c r="P45" s="307"/>
      <c r="Q45" s="307"/>
      <c r="R45" s="307"/>
      <c r="S45" s="307"/>
      <c r="T45" s="307"/>
      <c r="U45" s="307"/>
      <c r="V45" s="307"/>
      <c r="W45" s="307"/>
    </row>
    <row r="46" spans="1:23" x14ac:dyDescent="0.2">
      <c r="A46" s="301">
        <f>'RESUMEN DE LA CONTRATACION'!I45</f>
        <v>0</v>
      </c>
      <c r="B46" s="302">
        <f>'RESUMEN DE LA CONTRATACION'!B45</f>
        <v>0</v>
      </c>
      <c r="C46" s="387">
        <f>'RESUMEN DE LA CONTRATACION'!C45</f>
        <v>0</v>
      </c>
      <c r="D46" s="303">
        <f>'RESUMEN DE LA CONTRATACION'!F45</f>
        <v>0</v>
      </c>
      <c r="E46" s="300" t="str">
        <f t="shared" si="0"/>
        <v xml:space="preserve"> </v>
      </c>
      <c r="F46" s="307"/>
      <c r="G46" s="307"/>
      <c r="H46" s="307"/>
      <c r="I46" s="307"/>
      <c r="J46" s="307"/>
      <c r="K46" s="307"/>
      <c r="L46" s="308">
        <f t="shared" si="1"/>
        <v>0</v>
      </c>
      <c r="M46" s="307"/>
      <c r="N46" s="307"/>
      <c r="O46" s="307"/>
      <c r="P46" s="307"/>
      <c r="Q46" s="307"/>
      <c r="R46" s="307"/>
      <c r="S46" s="307"/>
      <c r="T46" s="307"/>
      <c r="U46" s="307"/>
      <c r="V46" s="307"/>
      <c r="W46" s="307"/>
    </row>
    <row r="47" spans="1:23" x14ac:dyDescent="0.2">
      <c r="A47" s="301">
        <f>'RESUMEN DE LA CONTRATACION'!I46</f>
        <v>0</v>
      </c>
      <c r="B47" s="302">
        <f>'RESUMEN DE LA CONTRATACION'!B46</f>
        <v>0</v>
      </c>
      <c r="C47" s="387">
        <f>'RESUMEN DE LA CONTRATACION'!C46</f>
        <v>0</v>
      </c>
      <c r="D47" s="303">
        <f>'RESUMEN DE LA CONTRATACION'!F46</f>
        <v>0</v>
      </c>
      <c r="E47" s="300" t="str">
        <f t="shared" si="0"/>
        <v xml:space="preserve"> </v>
      </c>
      <c r="F47" s="307"/>
      <c r="G47" s="307"/>
      <c r="H47" s="307"/>
      <c r="I47" s="307"/>
      <c r="J47" s="307"/>
      <c r="K47" s="307"/>
      <c r="L47" s="308">
        <f t="shared" si="1"/>
        <v>0</v>
      </c>
      <c r="M47" s="307"/>
      <c r="N47" s="307"/>
      <c r="O47" s="307"/>
      <c r="P47" s="307"/>
      <c r="Q47" s="307"/>
      <c r="R47" s="307"/>
      <c r="S47" s="307"/>
      <c r="T47" s="307"/>
      <c r="U47" s="307"/>
      <c r="V47" s="307"/>
      <c r="W47" s="307"/>
    </row>
    <row r="48" spans="1:23" x14ac:dyDescent="0.2">
      <c r="A48" s="301">
        <f>'RESUMEN DE LA CONTRATACION'!I47</f>
        <v>0</v>
      </c>
      <c r="B48" s="302">
        <f>'RESUMEN DE LA CONTRATACION'!B47</f>
        <v>0</v>
      </c>
      <c r="C48" s="387">
        <f>'RESUMEN DE LA CONTRATACION'!C47</f>
        <v>0</v>
      </c>
      <c r="D48" s="303">
        <f>'RESUMEN DE LA CONTRATACION'!F47</f>
        <v>0</v>
      </c>
      <c r="E48" s="300" t="str">
        <f t="shared" si="0"/>
        <v xml:space="preserve"> </v>
      </c>
      <c r="F48" s="307"/>
      <c r="G48" s="307"/>
      <c r="H48" s="307"/>
      <c r="I48" s="307"/>
      <c r="J48" s="307"/>
      <c r="K48" s="307"/>
      <c r="L48" s="308">
        <f t="shared" si="1"/>
        <v>0</v>
      </c>
      <c r="M48" s="307"/>
      <c r="N48" s="307"/>
      <c r="O48" s="307"/>
      <c r="P48" s="307"/>
      <c r="Q48" s="307"/>
      <c r="R48" s="307"/>
      <c r="S48" s="307"/>
      <c r="T48" s="307"/>
      <c r="U48" s="307"/>
      <c r="V48" s="307"/>
      <c r="W48" s="307"/>
    </row>
    <row r="49" spans="1:23" x14ac:dyDescent="0.2">
      <c r="A49" s="301">
        <f>'RESUMEN DE LA CONTRATACION'!I48</f>
        <v>0</v>
      </c>
      <c r="B49" s="302">
        <f>'RESUMEN DE LA CONTRATACION'!B48</f>
        <v>0</v>
      </c>
      <c r="C49" s="387">
        <f>'RESUMEN DE LA CONTRATACION'!C48</f>
        <v>0</v>
      </c>
      <c r="D49" s="303">
        <f>'RESUMEN DE LA CONTRATACION'!F48</f>
        <v>0</v>
      </c>
      <c r="E49" s="300" t="str">
        <f t="shared" si="0"/>
        <v xml:space="preserve"> </v>
      </c>
      <c r="F49" s="307"/>
      <c r="G49" s="307"/>
      <c r="H49" s="307"/>
      <c r="I49" s="307"/>
      <c r="J49" s="307"/>
      <c r="K49" s="307"/>
      <c r="L49" s="308">
        <f t="shared" si="1"/>
        <v>0</v>
      </c>
      <c r="M49" s="307"/>
      <c r="N49" s="307"/>
      <c r="O49" s="307"/>
      <c r="P49" s="307"/>
      <c r="Q49" s="307"/>
      <c r="R49" s="307"/>
      <c r="S49" s="307"/>
      <c r="T49" s="307"/>
      <c r="U49" s="307"/>
      <c r="V49" s="307"/>
      <c r="W49" s="307"/>
    </row>
    <row r="50" spans="1:23" x14ac:dyDescent="0.2">
      <c r="A50" s="301">
        <f>'RESUMEN DE LA CONTRATACION'!I49</f>
        <v>0</v>
      </c>
      <c r="B50" s="302">
        <f>'RESUMEN DE LA CONTRATACION'!B49</f>
        <v>0</v>
      </c>
      <c r="C50" s="387">
        <f>'RESUMEN DE LA CONTRATACION'!C49</f>
        <v>0</v>
      </c>
      <c r="D50" s="303">
        <f>'RESUMEN DE LA CONTRATACION'!F49</f>
        <v>0</v>
      </c>
      <c r="E50" s="300" t="str">
        <f t="shared" si="0"/>
        <v xml:space="preserve"> </v>
      </c>
      <c r="F50" s="307"/>
      <c r="G50" s="307"/>
      <c r="H50" s="307"/>
      <c r="I50" s="307"/>
      <c r="J50" s="307"/>
      <c r="K50" s="307"/>
      <c r="L50" s="308">
        <f t="shared" si="1"/>
        <v>0</v>
      </c>
      <c r="M50" s="307"/>
      <c r="N50" s="307"/>
      <c r="O50" s="307"/>
      <c r="P50" s="307"/>
      <c r="Q50" s="307"/>
      <c r="R50" s="307"/>
      <c r="S50" s="307"/>
      <c r="T50" s="307"/>
      <c r="U50" s="307"/>
      <c r="V50" s="307"/>
      <c r="W50" s="307"/>
    </row>
    <row r="51" spans="1:23" x14ac:dyDescent="0.2">
      <c r="A51" s="301">
        <f>'RESUMEN DE LA CONTRATACION'!I50</f>
        <v>0</v>
      </c>
      <c r="B51" s="302">
        <f>'RESUMEN DE LA CONTRATACION'!B50</f>
        <v>0</v>
      </c>
      <c r="C51" s="387">
        <f>'RESUMEN DE LA CONTRATACION'!C50</f>
        <v>0</v>
      </c>
      <c r="D51" s="303">
        <f>'RESUMEN DE LA CONTRATACION'!F50</f>
        <v>0</v>
      </c>
      <c r="E51" s="300" t="str">
        <f t="shared" si="0"/>
        <v xml:space="preserve"> </v>
      </c>
      <c r="F51" s="307"/>
      <c r="G51" s="307"/>
      <c r="H51" s="307"/>
      <c r="I51" s="307"/>
      <c r="J51" s="307"/>
      <c r="K51" s="307"/>
      <c r="L51" s="308">
        <f t="shared" si="1"/>
        <v>0</v>
      </c>
      <c r="M51" s="307"/>
      <c r="N51" s="307"/>
      <c r="O51" s="307"/>
      <c r="P51" s="307"/>
      <c r="Q51" s="307"/>
      <c r="R51" s="307"/>
      <c r="S51" s="307"/>
      <c r="T51" s="307"/>
      <c r="U51" s="307"/>
      <c r="V51" s="307"/>
      <c r="W51" s="307"/>
    </row>
    <row r="52" spans="1:23" x14ac:dyDescent="0.2">
      <c r="A52" s="301">
        <f>'RESUMEN DE LA CONTRATACION'!I51</f>
        <v>0</v>
      </c>
      <c r="B52" s="302">
        <f>'RESUMEN DE LA CONTRATACION'!B51</f>
        <v>0</v>
      </c>
      <c r="C52" s="387">
        <f>'RESUMEN DE LA CONTRATACION'!C51</f>
        <v>0</v>
      </c>
      <c r="D52" s="303">
        <f>'RESUMEN DE LA CONTRATACION'!F51</f>
        <v>0</v>
      </c>
      <c r="E52" s="300" t="str">
        <f t="shared" si="0"/>
        <v xml:space="preserve"> </v>
      </c>
      <c r="F52" s="307"/>
      <c r="G52" s="307"/>
      <c r="H52" s="307"/>
      <c r="I52" s="307"/>
      <c r="J52" s="307"/>
      <c r="K52" s="307"/>
      <c r="L52" s="308">
        <f t="shared" si="1"/>
        <v>0</v>
      </c>
      <c r="M52" s="307"/>
      <c r="N52" s="307"/>
      <c r="O52" s="307"/>
      <c r="P52" s="307"/>
      <c r="Q52" s="307"/>
      <c r="R52" s="307"/>
      <c r="S52" s="307"/>
      <c r="T52" s="307"/>
      <c r="U52" s="307"/>
      <c r="V52" s="307"/>
      <c r="W52" s="307"/>
    </row>
    <row r="53" spans="1:23" x14ac:dyDescent="0.2">
      <c r="A53" s="301">
        <f>'RESUMEN DE LA CONTRATACION'!I52</f>
        <v>0</v>
      </c>
      <c r="B53" s="302">
        <f>'RESUMEN DE LA CONTRATACION'!B52</f>
        <v>0</v>
      </c>
      <c r="C53" s="387">
        <f>'RESUMEN DE LA CONTRATACION'!C52</f>
        <v>0</v>
      </c>
      <c r="D53" s="303">
        <f>'RESUMEN DE LA CONTRATACION'!F52</f>
        <v>0</v>
      </c>
      <c r="E53" s="300" t="str">
        <f t="shared" si="0"/>
        <v xml:space="preserve"> </v>
      </c>
      <c r="F53" s="307"/>
      <c r="G53" s="307"/>
      <c r="H53" s="307"/>
      <c r="I53" s="307"/>
      <c r="J53" s="307"/>
      <c r="K53" s="307"/>
      <c r="L53" s="308">
        <f t="shared" si="1"/>
        <v>0</v>
      </c>
      <c r="M53" s="307"/>
      <c r="N53" s="307"/>
      <c r="O53" s="307"/>
      <c r="P53" s="307"/>
      <c r="Q53" s="307"/>
      <c r="R53" s="307"/>
      <c r="S53" s="307"/>
      <c r="T53" s="307"/>
      <c r="U53" s="307"/>
      <c r="V53" s="307"/>
      <c r="W53" s="307"/>
    </row>
    <row r="54" spans="1:23" x14ac:dyDescent="0.2">
      <c r="A54" s="301">
        <f>'RESUMEN DE LA CONTRATACION'!I53</f>
        <v>0</v>
      </c>
      <c r="B54" s="302">
        <f>'RESUMEN DE LA CONTRATACION'!B53</f>
        <v>0</v>
      </c>
      <c r="C54" s="387">
        <f>'RESUMEN DE LA CONTRATACION'!C53</f>
        <v>0</v>
      </c>
      <c r="D54" s="303">
        <f>'RESUMEN DE LA CONTRATACION'!F53</f>
        <v>0</v>
      </c>
      <c r="E54" s="300" t="str">
        <f t="shared" si="0"/>
        <v xml:space="preserve"> </v>
      </c>
      <c r="F54" s="307"/>
      <c r="G54" s="307"/>
      <c r="H54" s="307"/>
      <c r="I54" s="307"/>
      <c r="J54" s="307"/>
      <c r="K54" s="307"/>
      <c r="L54" s="308">
        <f t="shared" si="1"/>
        <v>0</v>
      </c>
      <c r="M54" s="307"/>
      <c r="N54" s="307"/>
      <c r="O54" s="307"/>
      <c r="P54" s="307"/>
      <c r="Q54" s="307"/>
      <c r="R54" s="307"/>
      <c r="S54" s="307"/>
      <c r="T54" s="307"/>
      <c r="U54" s="307"/>
      <c r="V54" s="307"/>
      <c r="W54" s="307"/>
    </row>
    <row r="55" spans="1:23" x14ac:dyDescent="0.2">
      <c r="A55" s="301">
        <f>'RESUMEN DE LA CONTRATACION'!I54</f>
        <v>0</v>
      </c>
      <c r="B55" s="302">
        <f>'RESUMEN DE LA CONTRATACION'!B54</f>
        <v>0</v>
      </c>
      <c r="C55" s="387">
        <f>'RESUMEN DE LA CONTRATACION'!C54</f>
        <v>0</v>
      </c>
      <c r="D55" s="303">
        <f>'RESUMEN DE LA CONTRATACION'!F54</f>
        <v>0</v>
      </c>
      <c r="E55" s="300" t="str">
        <f t="shared" si="0"/>
        <v xml:space="preserve"> </v>
      </c>
      <c r="F55" s="307"/>
      <c r="G55" s="307"/>
      <c r="H55" s="307"/>
      <c r="I55" s="307"/>
      <c r="J55" s="307"/>
      <c r="K55" s="307"/>
      <c r="L55" s="308">
        <f t="shared" si="1"/>
        <v>0</v>
      </c>
      <c r="M55" s="307"/>
      <c r="N55" s="307"/>
      <c r="O55" s="307"/>
      <c r="P55" s="307"/>
      <c r="Q55" s="307"/>
      <c r="R55" s="307"/>
      <c r="S55" s="307"/>
      <c r="T55" s="307"/>
      <c r="U55" s="307"/>
      <c r="V55" s="307"/>
      <c r="W55" s="307"/>
    </row>
    <row r="56" spans="1:23" x14ac:dyDescent="0.2">
      <c r="A56" s="301">
        <f>'RESUMEN DE LA CONTRATACION'!I55</f>
        <v>0</v>
      </c>
      <c r="B56" s="302">
        <f>'RESUMEN DE LA CONTRATACION'!B55</f>
        <v>0</v>
      </c>
      <c r="C56" s="387">
        <f>'RESUMEN DE LA CONTRATACION'!C55</f>
        <v>0</v>
      </c>
      <c r="D56" s="303">
        <f>'RESUMEN DE LA CONTRATACION'!F55</f>
        <v>0</v>
      </c>
      <c r="E56" s="300" t="str">
        <f t="shared" si="0"/>
        <v xml:space="preserve"> </v>
      </c>
      <c r="F56" s="307"/>
      <c r="G56" s="307"/>
      <c r="H56" s="307"/>
      <c r="I56" s="307"/>
      <c r="J56" s="307"/>
      <c r="K56" s="307"/>
      <c r="L56" s="308">
        <f t="shared" si="1"/>
        <v>0</v>
      </c>
      <c r="M56" s="307"/>
      <c r="N56" s="307"/>
      <c r="O56" s="307"/>
      <c r="P56" s="307"/>
      <c r="Q56" s="307"/>
      <c r="R56" s="307"/>
      <c r="S56" s="307"/>
      <c r="T56" s="307"/>
      <c r="U56" s="307"/>
      <c r="V56" s="307"/>
      <c r="W56" s="307"/>
    </row>
    <row r="57" spans="1:23" x14ac:dyDescent="0.2">
      <c r="A57" s="301">
        <f>'RESUMEN DE LA CONTRATACION'!I56</f>
        <v>0</v>
      </c>
      <c r="B57" s="302">
        <f>'RESUMEN DE LA CONTRATACION'!B56</f>
        <v>0</v>
      </c>
      <c r="C57" s="387">
        <f>'RESUMEN DE LA CONTRATACION'!C56</f>
        <v>0</v>
      </c>
      <c r="D57" s="303">
        <f>'RESUMEN DE LA CONTRATACION'!F56</f>
        <v>0</v>
      </c>
      <c r="E57" s="300" t="str">
        <f t="shared" si="0"/>
        <v xml:space="preserve"> </v>
      </c>
      <c r="F57" s="307"/>
      <c r="G57" s="307"/>
      <c r="H57" s="307"/>
      <c r="I57" s="307"/>
      <c r="J57" s="307"/>
      <c r="K57" s="307"/>
      <c r="L57" s="308">
        <f t="shared" si="1"/>
        <v>0</v>
      </c>
      <c r="M57" s="307"/>
      <c r="N57" s="307"/>
      <c r="O57" s="307"/>
      <c r="P57" s="307"/>
      <c r="Q57" s="307"/>
      <c r="R57" s="307"/>
      <c r="S57" s="307"/>
      <c r="T57" s="307"/>
      <c r="U57" s="307"/>
      <c r="V57" s="307"/>
      <c r="W57" s="307"/>
    </row>
    <row r="58" spans="1:23" x14ac:dyDescent="0.2">
      <c r="A58" s="301">
        <f>'RESUMEN DE LA CONTRATACION'!I57</f>
        <v>0</v>
      </c>
      <c r="B58" s="302">
        <f>'RESUMEN DE LA CONTRATACION'!B57</f>
        <v>0</v>
      </c>
      <c r="C58" s="387">
        <f>'RESUMEN DE LA CONTRATACION'!C57</f>
        <v>0</v>
      </c>
      <c r="D58" s="303">
        <f>'RESUMEN DE LA CONTRATACION'!F57</f>
        <v>0</v>
      </c>
      <c r="E58" s="300" t="str">
        <f t="shared" si="0"/>
        <v xml:space="preserve"> </v>
      </c>
      <c r="F58" s="307"/>
      <c r="G58" s="307"/>
      <c r="H58" s="307"/>
      <c r="I58" s="307"/>
      <c r="J58" s="307"/>
      <c r="K58" s="307"/>
      <c r="L58" s="308">
        <f t="shared" si="1"/>
        <v>0</v>
      </c>
      <c r="M58" s="307"/>
      <c r="N58" s="307"/>
      <c r="O58" s="307"/>
      <c r="P58" s="307"/>
      <c r="Q58" s="307"/>
      <c r="R58" s="307"/>
      <c r="S58" s="307"/>
      <c r="T58" s="307"/>
      <c r="U58" s="307"/>
      <c r="V58" s="307"/>
      <c r="W58" s="307"/>
    </row>
    <row r="59" spans="1:23" x14ac:dyDescent="0.2">
      <c r="A59" s="301">
        <f>'RESUMEN DE LA CONTRATACION'!I58</f>
        <v>0</v>
      </c>
      <c r="B59" s="302">
        <f>'RESUMEN DE LA CONTRATACION'!B58</f>
        <v>0</v>
      </c>
      <c r="C59" s="387">
        <f>'RESUMEN DE LA CONTRATACION'!C58</f>
        <v>0</v>
      </c>
      <c r="D59" s="303">
        <f>'RESUMEN DE LA CONTRATACION'!F58</f>
        <v>0</v>
      </c>
      <c r="E59" s="300" t="str">
        <f t="shared" si="0"/>
        <v xml:space="preserve"> </v>
      </c>
      <c r="F59" s="307"/>
      <c r="G59" s="307"/>
      <c r="H59" s="307"/>
      <c r="I59" s="307"/>
      <c r="J59" s="307"/>
      <c r="K59" s="307"/>
      <c r="L59" s="308">
        <f t="shared" si="1"/>
        <v>0</v>
      </c>
      <c r="M59" s="307"/>
      <c r="N59" s="307"/>
      <c r="O59" s="307"/>
      <c r="P59" s="307"/>
      <c r="Q59" s="307"/>
      <c r="R59" s="307"/>
      <c r="S59" s="307"/>
      <c r="T59" s="307"/>
      <c r="U59" s="307"/>
      <c r="V59" s="307"/>
      <c r="W59" s="307"/>
    </row>
    <row r="60" spans="1:23" x14ac:dyDescent="0.2">
      <c r="A60" s="301">
        <f>'RESUMEN DE LA CONTRATACION'!I59</f>
        <v>0</v>
      </c>
      <c r="B60" s="302">
        <f>'RESUMEN DE LA CONTRATACION'!B59</f>
        <v>0</v>
      </c>
      <c r="C60" s="387">
        <f>'RESUMEN DE LA CONTRATACION'!C59</f>
        <v>0</v>
      </c>
      <c r="D60" s="303">
        <f>'RESUMEN DE LA CONTRATACION'!F59</f>
        <v>0</v>
      </c>
      <c r="E60" s="300" t="str">
        <f t="shared" si="0"/>
        <v xml:space="preserve"> </v>
      </c>
      <c r="F60" s="307"/>
      <c r="G60" s="307"/>
      <c r="H60" s="307"/>
      <c r="I60" s="307"/>
      <c r="J60" s="307"/>
      <c r="K60" s="307"/>
      <c r="L60" s="308">
        <f t="shared" si="1"/>
        <v>0</v>
      </c>
      <c r="M60" s="307"/>
      <c r="N60" s="307"/>
      <c r="O60" s="307"/>
      <c r="P60" s="307"/>
      <c r="Q60" s="307"/>
      <c r="R60" s="307"/>
      <c r="S60" s="307"/>
      <c r="T60" s="307"/>
      <c r="U60" s="307"/>
      <c r="V60" s="307"/>
      <c r="W60" s="307"/>
    </row>
    <row r="61" spans="1:23" x14ac:dyDescent="0.2">
      <c r="A61" s="301">
        <f>'RESUMEN DE LA CONTRATACION'!I60</f>
        <v>0</v>
      </c>
      <c r="B61" s="302">
        <f>'RESUMEN DE LA CONTRATACION'!B60</f>
        <v>0</v>
      </c>
      <c r="C61" s="387">
        <f>'RESUMEN DE LA CONTRATACION'!C60</f>
        <v>0</v>
      </c>
      <c r="D61" s="303">
        <f>'RESUMEN DE LA CONTRATACION'!F60</f>
        <v>0</v>
      </c>
      <c r="E61" s="300" t="str">
        <f t="shared" si="0"/>
        <v xml:space="preserve"> </v>
      </c>
      <c r="F61" s="307"/>
      <c r="G61" s="307"/>
      <c r="H61" s="307"/>
      <c r="I61" s="307"/>
      <c r="J61" s="307"/>
      <c r="K61" s="307"/>
      <c r="L61" s="308">
        <f t="shared" si="1"/>
        <v>0</v>
      </c>
      <c r="M61" s="307"/>
      <c r="N61" s="307"/>
      <c r="O61" s="307"/>
      <c r="P61" s="307"/>
      <c r="Q61" s="307"/>
      <c r="R61" s="307"/>
      <c r="S61" s="307"/>
      <c r="T61" s="307"/>
      <c r="U61" s="307"/>
      <c r="V61" s="307"/>
      <c r="W61" s="307"/>
    </row>
    <row r="62" spans="1:23" x14ac:dyDescent="0.2">
      <c r="A62" s="301">
        <f>'RESUMEN DE LA CONTRATACION'!I61</f>
        <v>0</v>
      </c>
      <c r="B62" s="302">
        <f>'RESUMEN DE LA CONTRATACION'!B61</f>
        <v>0</v>
      </c>
      <c r="C62" s="387">
        <f>'RESUMEN DE LA CONTRATACION'!C61</f>
        <v>0</v>
      </c>
      <c r="D62" s="303">
        <f>'RESUMEN DE LA CONTRATACION'!F61</f>
        <v>0</v>
      </c>
      <c r="E62" s="300" t="str">
        <f t="shared" si="0"/>
        <v xml:space="preserve"> </v>
      </c>
      <c r="F62" s="307"/>
      <c r="G62" s="307"/>
      <c r="H62" s="307"/>
      <c r="I62" s="307"/>
      <c r="J62" s="307"/>
      <c r="K62" s="307"/>
      <c r="L62" s="308">
        <f t="shared" si="1"/>
        <v>0</v>
      </c>
      <c r="M62" s="307"/>
      <c r="N62" s="307"/>
      <c r="O62" s="307"/>
      <c r="P62" s="307"/>
      <c r="Q62" s="307"/>
      <c r="R62" s="307"/>
      <c r="S62" s="307"/>
      <c r="T62" s="307"/>
      <c r="U62" s="307"/>
      <c r="V62" s="307"/>
      <c r="W62" s="307"/>
    </row>
    <row r="63" spans="1:23" x14ac:dyDescent="0.2">
      <c r="A63" s="301">
        <f>'RESUMEN DE LA CONTRATACION'!I62</f>
        <v>0</v>
      </c>
      <c r="B63" s="302">
        <f>'RESUMEN DE LA CONTRATACION'!B62</f>
        <v>0</v>
      </c>
      <c r="C63" s="387">
        <f>'RESUMEN DE LA CONTRATACION'!C62</f>
        <v>0</v>
      </c>
      <c r="D63" s="303">
        <f>'RESUMEN DE LA CONTRATACION'!F62</f>
        <v>0</v>
      </c>
      <c r="E63" s="300" t="str">
        <f t="shared" si="0"/>
        <v xml:space="preserve"> </v>
      </c>
      <c r="F63" s="307"/>
      <c r="G63" s="307"/>
      <c r="H63" s="307"/>
      <c r="I63" s="307"/>
      <c r="J63" s="307"/>
      <c r="K63" s="307"/>
      <c r="L63" s="308">
        <f t="shared" si="1"/>
        <v>0</v>
      </c>
      <c r="M63" s="307"/>
      <c r="N63" s="307"/>
      <c r="O63" s="307"/>
      <c r="P63" s="307"/>
      <c r="Q63" s="307"/>
      <c r="R63" s="307"/>
      <c r="S63" s="307"/>
      <c r="T63" s="307"/>
      <c r="U63" s="307"/>
      <c r="V63" s="307"/>
      <c r="W63" s="307"/>
    </row>
  </sheetData>
  <mergeCells count="6">
    <mergeCell ref="U1:W1"/>
    <mergeCell ref="U2:W2"/>
    <mergeCell ref="C1:T1"/>
    <mergeCell ref="A1:B3"/>
    <mergeCell ref="C2:T3"/>
    <mergeCell ref="U3:W3"/>
  </mergeCells>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BASE DE DATOS DOCENTES</vt:lpstr>
      <vt:lpstr>OFERTA</vt:lpstr>
      <vt:lpstr>B.D. CONTRATACIONES</vt:lpstr>
      <vt:lpstr>CARGA DOCENTE</vt:lpstr>
      <vt:lpstr>RESUMEN DE LA CONTRATACION</vt:lpstr>
      <vt:lpstr>LABOR ACADÉMICA </vt:lpstr>
      <vt:lpstr>REGISTRO MATERIAS</vt:lpstr>
      <vt:lpstr>PROYECCION ESTUDIANTES</vt:lpstr>
      <vt:lpstr>MATRICULADOS </vt:lpstr>
      <vt:lpstr>SNIES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ASISTENTE CALIDAD</cp:lastModifiedBy>
  <cp:revision/>
  <cp:lastPrinted>2023-02-15T13:45:33Z</cp:lastPrinted>
  <dcterms:created xsi:type="dcterms:W3CDTF">1996-11-27T10:00:04Z</dcterms:created>
  <dcterms:modified xsi:type="dcterms:W3CDTF">2023-03-09T16:43:00Z</dcterms:modified>
</cp:coreProperties>
</file>